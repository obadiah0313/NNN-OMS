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swin sem 4\FYP\"/>
    </mc:Choice>
  </mc:AlternateContent>
  <xr:revisionPtr revIDLastSave="0" documentId="13_ncr:1_{DA37028E-D0C2-48A4-9660-6CC17B431531}" xr6:coauthVersionLast="44" xr6:coauthVersionMax="45" xr10:uidLastSave="{00000000-0000-0000-0000-000000000000}"/>
  <bookViews>
    <workbookView xWindow="8430" yWindow="2445" windowWidth="21600" windowHeight="11385" tabRatio="597" firstSheet="2" activeTab="2" xr2:uid="{00000000-000D-0000-FFFF-FFFF00000000}"/>
  </bookViews>
  <sheets>
    <sheet name="New Release Brief" sheetId="10" r:id="rId1"/>
    <sheet name="Total" sheetId="3" r:id="rId2"/>
    <sheet name="GBD_Asia" sheetId="1" r:id="rId3"/>
    <sheet name="Deletions" sheetId="4" r:id="rId4"/>
  </sheets>
  <definedNames>
    <definedName name="_xlnm._FilterDatabase" localSheetId="3" hidden="1">Deletions!$A$4:$CG$2304</definedName>
    <definedName name="_xlnm._FilterDatabase" localSheetId="2" hidden="1">GBD_Asia!$A$1:$T$2000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6" i="1" l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149" i="1"/>
  <c r="T149" i="1"/>
  <c r="S107" i="1"/>
  <c r="T107" i="1"/>
  <c r="S2" i="1"/>
  <c r="T2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60" i="1"/>
  <c r="T60" i="1"/>
  <c r="S3" i="1"/>
  <c r="T3" i="1"/>
  <c r="S4" i="1"/>
  <c r="T4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19" i="1"/>
  <c r="T19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0" i="1"/>
  <c r="T20" i="1"/>
  <c r="S21" i="1"/>
  <c r="T21" i="1"/>
  <c r="S22" i="1"/>
  <c r="T22" i="1"/>
  <c r="S23" i="1"/>
  <c r="T23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24" i="1"/>
  <c r="T24" i="1"/>
  <c r="S25" i="1"/>
  <c r="T25" i="1"/>
  <c r="S26" i="1"/>
  <c r="T26" i="1"/>
  <c r="S302" i="1"/>
  <c r="T302" i="1"/>
  <c r="S27" i="1"/>
  <c r="T27" i="1"/>
  <c r="S303" i="1"/>
  <c r="T303" i="1"/>
  <c r="S28" i="1"/>
  <c r="T28" i="1"/>
  <c r="S29" i="1"/>
  <c r="T29" i="1"/>
  <c r="S30" i="1"/>
  <c r="T30" i="1"/>
  <c r="S5" i="1"/>
  <c r="T5" i="1"/>
  <c r="S31" i="1"/>
  <c r="T31" i="1"/>
  <c r="S32" i="1"/>
  <c r="T32" i="1"/>
  <c r="S33" i="1"/>
  <c r="T33" i="1"/>
  <c r="S34" i="1"/>
  <c r="T34" i="1"/>
  <c r="S35" i="1"/>
  <c r="T35" i="1"/>
  <c r="S36" i="1"/>
  <c r="T36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7" i="1"/>
  <c r="T37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8" i="1"/>
  <c r="T38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9" i="1"/>
  <c r="T39" i="1"/>
  <c r="S381" i="1"/>
  <c r="T381" i="1"/>
  <c r="S382" i="1"/>
  <c r="T382" i="1"/>
  <c r="S383" i="1"/>
  <c r="T383" i="1"/>
  <c r="S40" i="1"/>
  <c r="T40" i="1"/>
  <c r="S41" i="1"/>
  <c r="T41" i="1"/>
  <c r="S42" i="1"/>
  <c r="T42" i="1"/>
  <c r="S384" i="1"/>
  <c r="T384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385" i="1"/>
  <c r="T385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73" i="1"/>
  <c r="T73" i="1"/>
  <c r="S74" i="1"/>
  <c r="T74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159" i="1"/>
  <c r="T159" i="1"/>
  <c r="S160" i="1"/>
  <c r="T160" i="1"/>
  <c r="S10" i="1"/>
  <c r="T10" i="1"/>
  <c r="S150" i="1"/>
  <c r="T150" i="1"/>
  <c r="S452" i="1"/>
  <c r="T452" i="1"/>
  <c r="S453" i="1"/>
  <c r="T453" i="1"/>
  <c r="S454" i="1"/>
  <c r="T454" i="1"/>
  <c r="S11" i="1"/>
  <c r="T11" i="1"/>
  <c r="S12" i="1"/>
  <c r="T12" i="1"/>
  <c r="S151" i="1"/>
  <c r="T151" i="1"/>
  <c r="S152" i="1"/>
  <c r="T152" i="1"/>
  <c r="S153" i="1"/>
  <c r="T153" i="1"/>
  <c r="S161" i="1"/>
  <c r="T161" i="1"/>
  <c r="S13" i="1"/>
  <c r="T13" i="1"/>
  <c r="S154" i="1"/>
  <c r="T154" i="1"/>
  <c r="S14" i="1"/>
  <c r="T14" i="1"/>
  <c r="S162" i="1"/>
  <c r="T162" i="1"/>
  <c r="S163" i="1"/>
  <c r="T163" i="1"/>
  <c r="S15" i="1"/>
  <c r="T15" i="1"/>
  <c r="S16" i="1"/>
  <c r="T16" i="1"/>
  <c r="S17" i="1"/>
  <c r="T17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77" i="1"/>
  <c r="T77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75" i="1"/>
  <c r="T75" i="1"/>
  <c r="S76" i="1"/>
  <c r="T76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108" i="1"/>
  <c r="T108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109" i="1"/>
  <c r="T109" i="1"/>
  <c r="S110" i="1"/>
  <c r="T110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116" i="1"/>
  <c r="T116" i="1"/>
  <c r="S124" i="1"/>
  <c r="T124" i="1"/>
  <c r="S61" i="1"/>
  <c r="T61" i="1"/>
  <c r="S62" i="1"/>
  <c r="T62" i="1"/>
  <c r="S63" i="1"/>
  <c r="T63" i="1"/>
  <c r="S6" i="1"/>
  <c r="T6" i="1"/>
  <c r="S7" i="1"/>
  <c r="T7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117" i="1"/>
  <c r="T117" i="1"/>
  <c r="S708" i="1"/>
  <c r="T708" i="1"/>
  <c r="S709" i="1"/>
  <c r="T709" i="1"/>
  <c r="S78" i="1"/>
  <c r="T78" i="1"/>
  <c r="S8" i="1"/>
  <c r="T8" i="1"/>
  <c r="S155" i="1"/>
  <c r="T155" i="1"/>
  <c r="S156" i="1"/>
  <c r="T156" i="1"/>
  <c r="S64" i="1"/>
  <c r="T64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125" i="1"/>
  <c r="T125" i="1"/>
  <c r="S725" i="1"/>
  <c r="T725" i="1"/>
  <c r="S726" i="1"/>
  <c r="T726" i="1"/>
  <c r="S83" i="1"/>
  <c r="T83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118" i="1"/>
  <c r="T118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126" i="1"/>
  <c r="T126" i="1"/>
  <c r="S127" i="1"/>
  <c r="T127" i="1"/>
  <c r="S84" i="1"/>
  <c r="T84" i="1"/>
  <c r="S85" i="1"/>
  <c r="T85" i="1"/>
  <c r="S128" i="1"/>
  <c r="T128" i="1"/>
  <c r="S129" i="1"/>
  <c r="T129" i="1"/>
  <c r="S130" i="1"/>
  <c r="T130" i="1"/>
  <c r="S86" i="1"/>
  <c r="T86" i="1"/>
  <c r="S87" i="1"/>
  <c r="T87" i="1"/>
  <c r="S88" i="1"/>
  <c r="T88" i="1"/>
  <c r="S89" i="1"/>
  <c r="T89" i="1"/>
  <c r="S90" i="1"/>
  <c r="T90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91" i="1"/>
  <c r="T91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92" i="1"/>
  <c r="T92" i="1"/>
  <c r="S813" i="1"/>
  <c r="T813" i="1"/>
  <c r="S814" i="1"/>
  <c r="T814" i="1"/>
  <c r="S131" i="1"/>
  <c r="T131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132" i="1"/>
  <c r="T132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93" i="1"/>
  <c r="T93" i="1"/>
  <c r="S836" i="1"/>
  <c r="T836" i="1"/>
  <c r="S837" i="1"/>
  <c r="T837" i="1"/>
  <c r="S133" i="1"/>
  <c r="T133" i="1"/>
  <c r="S134" i="1"/>
  <c r="T134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94" i="1"/>
  <c r="T94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95" i="1"/>
  <c r="T95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96" i="1"/>
  <c r="T96" i="1"/>
  <c r="S65" i="1"/>
  <c r="T65" i="1"/>
  <c r="S890" i="1"/>
  <c r="T890" i="1"/>
  <c r="S66" i="1"/>
  <c r="T66" i="1"/>
  <c r="S67" i="1"/>
  <c r="T67" i="1"/>
  <c r="S68" i="1"/>
  <c r="T68" i="1"/>
  <c r="S891" i="1"/>
  <c r="T891" i="1"/>
  <c r="S892" i="1"/>
  <c r="T892" i="1"/>
  <c r="S893" i="1"/>
  <c r="T893" i="1"/>
  <c r="S135" i="1"/>
  <c r="T135" i="1"/>
  <c r="S69" i="1"/>
  <c r="T69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7" i="1"/>
  <c r="T97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70" i="1"/>
  <c r="T70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136" i="1"/>
  <c r="T136" i="1"/>
  <c r="S928" i="1"/>
  <c r="T928" i="1"/>
  <c r="S929" i="1"/>
  <c r="T929" i="1"/>
  <c r="S930" i="1"/>
  <c r="T930" i="1"/>
  <c r="S98" i="1"/>
  <c r="T98" i="1"/>
  <c r="S931" i="1"/>
  <c r="T931" i="1"/>
  <c r="S932" i="1"/>
  <c r="T932" i="1"/>
  <c r="S137" i="1"/>
  <c r="T137" i="1"/>
  <c r="S933" i="1"/>
  <c r="T933" i="1"/>
  <c r="S934" i="1"/>
  <c r="T934" i="1"/>
  <c r="S935" i="1"/>
  <c r="T935" i="1"/>
  <c r="S936" i="1"/>
  <c r="T936" i="1"/>
  <c r="S937" i="1"/>
  <c r="T937" i="1"/>
  <c r="S138" i="1"/>
  <c r="T138" i="1"/>
  <c r="S139" i="1"/>
  <c r="T139" i="1"/>
  <c r="S99" i="1"/>
  <c r="T99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79" i="1"/>
  <c r="T79" i="1"/>
  <c r="S119" i="1"/>
  <c r="T119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80" i="1"/>
  <c r="T80" i="1"/>
  <c r="S140" i="1"/>
  <c r="T140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0" i="1"/>
  <c r="T10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41" i="1"/>
  <c r="T141" i="1"/>
  <c r="S1103" i="1"/>
  <c r="T1103" i="1"/>
  <c r="S1104" i="1"/>
  <c r="T1104" i="1"/>
  <c r="S1105" i="1"/>
  <c r="T1105" i="1"/>
  <c r="S142" i="1"/>
  <c r="T142" i="1"/>
  <c r="S143" i="1"/>
  <c r="T143" i="1"/>
  <c r="S144" i="1"/>
  <c r="T144" i="1"/>
  <c r="S145" i="1"/>
  <c r="T145" i="1"/>
  <c r="S146" i="1"/>
  <c r="T146" i="1"/>
  <c r="S101" i="1"/>
  <c r="T101" i="1"/>
  <c r="S1106" i="1"/>
  <c r="T1106" i="1"/>
  <c r="S1107" i="1"/>
  <c r="T1107" i="1"/>
  <c r="S102" i="1"/>
  <c r="T102" i="1"/>
  <c r="S1108" i="1"/>
  <c r="T1108" i="1"/>
  <c r="S111" i="1"/>
  <c r="T111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2" i="1"/>
  <c r="T112" i="1"/>
  <c r="S113" i="1"/>
  <c r="T113" i="1"/>
  <c r="S114" i="1"/>
  <c r="T114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03" i="1"/>
  <c r="T103" i="1"/>
  <c r="S104" i="1"/>
  <c r="T104" i="1"/>
  <c r="S1191" i="1"/>
  <c r="T1191" i="1"/>
  <c r="S1192" i="1"/>
  <c r="T1192" i="1"/>
  <c r="S1193" i="1"/>
  <c r="T1193" i="1"/>
  <c r="S164" i="1"/>
  <c r="T164" i="1"/>
  <c r="S105" i="1"/>
  <c r="T105" i="1"/>
  <c r="S106" i="1"/>
  <c r="T106" i="1"/>
  <c r="S18" i="1"/>
  <c r="T18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" i="1"/>
  <c r="T120" i="1"/>
  <c r="S121" i="1"/>
  <c r="T121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2" i="1"/>
  <c r="T122" i="1"/>
  <c r="S123" i="1"/>
  <c r="T123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47" i="1"/>
  <c r="T147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81" i="1"/>
  <c r="T81" i="1"/>
  <c r="S148" i="1"/>
  <c r="T148" i="1"/>
  <c r="S1619" i="1"/>
  <c r="T1619" i="1"/>
  <c r="S1620" i="1"/>
  <c r="T1620" i="1"/>
  <c r="S1621" i="1"/>
  <c r="T1621" i="1"/>
  <c r="S1622" i="1"/>
  <c r="T1622" i="1"/>
  <c r="S1623" i="1"/>
  <c r="T1623" i="1"/>
  <c r="S71" i="1"/>
  <c r="T71" i="1"/>
  <c r="S9" i="1"/>
  <c r="T9" i="1"/>
  <c r="S82" i="1"/>
  <c r="T82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72" i="1"/>
  <c r="T72" i="1"/>
  <c r="S1630" i="1"/>
  <c r="T1630" i="1"/>
  <c r="S1631" i="1"/>
  <c r="T1631" i="1"/>
  <c r="S115" i="1"/>
  <c r="T115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57" i="1"/>
  <c r="T157" i="1"/>
  <c r="S158" i="1"/>
  <c r="T158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T165" i="1"/>
  <c r="S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149" i="1"/>
  <c r="I107" i="1"/>
  <c r="I2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60" i="1"/>
  <c r="I3" i="1"/>
  <c r="I4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19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0" i="1"/>
  <c r="I21" i="1"/>
  <c r="I22" i="1"/>
  <c r="I23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24" i="1"/>
  <c r="I25" i="1"/>
  <c r="I26" i="1"/>
  <c r="I302" i="1"/>
  <c r="I27" i="1"/>
  <c r="I303" i="1"/>
  <c r="I28" i="1"/>
  <c r="I29" i="1"/>
  <c r="I30" i="1"/>
  <c r="I5" i="1"/>
  <c r="I31" i="1"/>
  <c r="I32" i="1"/>
  <c r="I33" i="1"/>
  <c r="I34" i="1"/>
  <c r="I35" i="1"/>
  <c r="I36" i="1"/>
  <c r="I304" i="1"/>
  <c r="I305" i="1"/>
  <c r="I306" i="1"/>
  <c r="I307" i="1"/>
  <c r="I308" i="1"/>
  <c r="I309" i="1"/>
  <c r="I37" i="1"/>
  <c r="I310" i="1"/>
  <c r="I311" i="1"/>
  <c r="I312" i="1"/>
  <c r="I313" i="1"/>
  <c r="I314" i="1"/>
  <c r="I315" i="1"/>
  <c r="I316" i="1"/>
  <c r="I317" i="1"/>
  <c r="I318" i="1"/>
  <c r="I319" i="1"/>
  <c r="I320" i="1"/>
  <c r="I38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9" i="1"/>
  <c r="I381" i="1"/>
  <c r="I382" i="1"/>
  <c r="I383" i="1"/>
  <c r="I40" i="1"/>
  <c r="I41" i="1"/>
  <c r="I42" i="1"/>
  <c r="I384" i="1"/>
  <c r="I43" i="1"/>
  <c r="I44" i="1"/>
  <c r="I45" i="1"/>
  <c r="I46" i="1"/>
  <c r="I47" i="1"/>
  <c r="I48" i="1"/>
  <c r="I49" i="1"/>
  <c r="I50" i="1"/>
  <c r="I385" i="1"/>
  <c r="I51" i="1"/>
  <c r="I52" i="1"/>
  <c r="I53" i="1"/>
  <c r="I54" i="1"/>
  <c r="I55" i="1"/>
  <c r="I56" i="1"/>
  <c r="I57" i="1"/>
  <c r="I58" i="1"/>
  <c r="I59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73" i="1"/>
  <c r="I74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159" i="1"/>
  <c r="I160" i="1"/>
  <c r="I10" i="1"/>
  <c r="I150" i="1"/>
  <c r="I452" i="1"/>
  <c r="I453" i="1"/>
  <c r="I454" i="1"/>
  <c r="I11" i="1"/>
  <c r="I12" i="1"/>
  <c r="I151" i="1"/>
  <c r="I152" i="1"/>
  <c r="I153" i="1"/>
  <c r="I161" i="1"/>
  <c r="I13" i="1"/>
  <c r="I154" i="1"/>
  <c r="I14" i="1"/>
  <c r="I162" i="1"/>
  <c r="I163" i="1"/>
  <c r="I15" i="1"/>
  <c r="I16" i="1"/>
  <c r="I17" i="1"/>
  <c r="I455" i="1"/>
  <c r="I456" i="1"/>
  <c r="I457" i="1"/>
  <c r="I458" i="1"/>
  <c r="I459" i="1"/>
  <c r="I460" i="1"/>
  <c r="I461" i="1"/>
  <c r="I462" i="1"/>
  <c r="I77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75" i="1"/>
  <c r="I76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108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109" i="1"/>
  <c r="I110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116" i="1"/>
  <c r="I124" i="1"/>
  <c r="I61" i="1"/>
  <c r="I62" i="1"/>
  <c r="I63" i="1"/>
  <c r="I6" i="1"/>
  <c r="I7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117" i="1"/>
  <c r="I708" i="1"/>
  <c r="I709" i="1"/>
  <c r="I78" i="1"/>
  <c r="I8" i="1"/>
  <c r="I155" i="1"/>
  <c r="I156" i="1"/>
  <c r="I64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125" i="1"/>
  <c r="I725" i="1"/>
  <c r="I726" i="1"/>
  <c r="I83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118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126" i="1"/>
  <c r="I127" i="1"/>
  <c r="I84" i="1"/>
  <c r="I85" i="1"/>
  <c r="I128" i="1"/>
  <c r="I129" i="1"/>
  <c r="I130" i="1"/>
  <c r="I86" i="1"/>
  <c r="I87" i="1"/>
  <c r="I88" i="1"/>
  <c r="I89" i="1"/>
  <c r="I90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91" i="1"/>
  <c r="I805" i="1"/>
  <c r="I806" i="1"/>
  <c r="I807" i="1"/>
  <c r="I808" i="1"/>
  <c r="I809" i="1"/>
  <c r="I810" i="1"/>
  <c r="I811" i="1"/>
  <c r="I812" i="1"/>
  <c r="I92" i="1"/>
  <c r="I813" i="1"/>
  <c r="I814" i="1"/>
  <c r="I131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132" i="1"/>
  <c r="I829" i="1"/>
  <c r="I830" i="1"/>
  <c r="I831" i="1"/>
  <c r="I832" i="1"/>
  <c r="I833" i="1"/>
  <c r="I834" i="1"/>
  <c r="I835" i="1"/>
  <c r="I93" i="1"/>
  <c r="I836" i="1"/>
  <c r="I837" i="1"/>
  <c r="I133" i="1"/>
  <c r="I134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94" i="1"/>
  <c r="I872" i="1"/>
  <c r="I873" i="1"/>
  <c r="I874" i="1"/>
  <c r="I875" i="1"/>
  <c r="I876" i="1"/>
  <c r="I877" i="1"/>
  <c r="I95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96" i="1"/>
  <c r="I65" i="1"/>
  <c r="I890" i="1"/>
  <c r="I66" i="1"/>
  <c r="I67" i="1"/>
  <c r="I68" i="1"/>
  <c r="I891" i="1"/>
  <c r="I892" i="1"/>
  <c r="I893" i="1"/>
  <c r="I135" i="1"/>
  <c r="I69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7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70" i="1"/>
  <c r="I920" i="1"/>
  <c r="I921" i="1"/>
  <c r="I922" i="1"/>
  <c r="I923" i="1"/>
  <c r="I924" i="1"/>
  <c r="I925" i="1"/>
  <c r="I926" i="1"/>
  <c r="I927" i="1"/>
  <c r="I136" i="1"/>
  <c r="I928" i="1"/>
  <c r="I929" i="1"/>
  <c r="I930" i="1"/>
  <c r="I98" i="1"/>
  <c r="I931" i="1"/>
  <c r="I932" i="1"/>
  <c r="I137" i="1"/>
  <c r="I933" i="1"/>
  <c r="I934" i="1"/>
  <c r="I935" i="1"/>
  <c r="I936" i="1"/>
  <c r="I937" i="1"/>
  <c r="I138" i="1"/>
  <c r="I139" i="1"/>
  <c r="I99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79" i="1"/>
  <c r="I119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80" i="1"/>
  <c r="I140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41" i="1"/>
  <c r="I1103" i="1"/>
  <c r="I1104" i="1"/>
  <c r="I1105" i="1"/>
  <c r="I142" i="1"/>
  <c r="I143" i="1"/>
  <c r="I144" i="1"/>
  <c r="I145" i="1"/>
  <c r="I146" i="1"/>
  <c r="I101" i="1"/>
  <c r="I1106" i="1"/>
  <c r="I1107" i="1"/>
  <c r="I102" i="1"/>
  <c r="I1108" i="1"/>
  <c r="I111" i="1"/>
  <c r="I1109" i="1"/>
  <c r="I1110" i="1"/>
  <c r="I1111" i="1"/>
  <c r="I1112" i="1"/>
  <c r="I1113" i="1"/>
  <c r="I1114" i="1"/>
  <c r="I1115" i="1"/>
  <c r="I112" i="1"/>
  <c r="I113" i="1"/>
  <c r="I114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03" i="1"/>
  <c r="I104" i="1"/>
  <c r="I1191" i="1"/>
  <c r="I1192" i="1"/>
  <c r="I1193" i="1"/>
  <c r="I164" i="1"/>
  <c r="I105" i="1"/>
  <c r="I106" i="1"/>
  <c r="I18" i="1"/>
  <c r="I1194" i="1"/>
  <c r="I1195" i="1"/>
  <c r="I1196" i="1"/>
  <c r="I1197" i="1"/>
  <c r="I1198" i="1"/>
  <c r="I1199" i="1"/>
  <c r="I1200" i="1"/>
  <c r="I120" i="1"/>
  <c r="I121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2" i="1"/>
  <c r="I123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47" i="1"/>
  <c r="I1613" i="1"/>
  <c r="I1614" i="1"/>
  <c r="I1615" i="1"/>
  <c r="I1616" i="1"/>
  <c r="I1617" i="1"/>
  <c r="I1618" i="1"/>
  <c r="I81" i="1"/>
  <c r="I148" i="1"/>
  <c r="I1619" i="1"/>
  <c r="I1620" i="1"/>
  <c r="I1621" i="1"/>
  <c r="I1622" i="1"/>
  <c r="I1623" i="1"/>
  <c r="I71" i="1"/>
  <c r="I9" i="1"/>
  <c r="I82" i="1"/>
  <c r="I1624" i="1"/>
  <c r="I1625" i="1"/>
  <c r="I1626" i="1"/>
  <c r="I1627" i="1"/>
  <c r="I1628" i="1"/>
  <c r="I1629" i="1"/>
  <c r="I72" i="1"/>
  <c r="I1630" i="1"/>
  <c r="I1631" i="1"/>
  <c r="I115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57" i="1"/>
  <c r="I158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165" i="1"/>
  <c r="I2" i="10"/>
  <c r="C12" i="3"/>
  <c r="C14" i="3"/>
  <c r="C13" i="3"/>
  <c r="C11" i="3"/>
  <c r="C10" i="3"/>
  <c r="C22" i="3"/>
  <c r="C6" i="3"/>
  <c r="D22" i="3"/>
  <c r="A22" i="3"/>
  <c r="C19" i="3"/>
  <c r="A19" i="3"/>
  <c r="B19" i="3"/>
  <c r="B35" i="3"/>
  <c r="D34" i="3"/>
  <c r="B34" i="3"/>
  <c r="D33" i="3"/>
  <c r="B33" i="3"/>
  <c r="D32" i="3"/>
  <c r="B32" i="3"/>
  <c r="B26" i="3"/>
  <c r="D12" i="3"/>
  <c r="C9" i="3"/>
  <c r="C15" i="3"/>
  <c r="D15" i="3"/>
  <c r="D13" i="3"/>
  <c r="H26" i="3"/>
  <c r="L26" i="3"/>
  <c r="P26" i="3"/>
  <c r="R26" i="3"/>
  <c r="T26" i="3"/>
  <c r="B28" i="3"/>
  <c r="A2" i="3"/>
  <c r="B22" i="3"/>
  <c r="J28" i="3"/>
  <c r="B27" i="3"/>
  <c r="D10" i="3"/>
  <c r="D19" i="3"/>
  <c r="D9" i="3"/>
  <c r="D14" i="3"/>
  <c r="D11" i="3"/>
</calcChain>
</file>

<file path=xl/sharedStrings.xml><?xml version="1.0" encoding="utf-8"?>
<sst xmlns="http://schemas.openxmlformats.org/spreadsheetml/2006/main" count="29828" uniqueCount="12329">
  <si>
    <t>Go loud:</t>
  </si>
  <si>
    <t>Distributors and stores can pre-order:</t>
  </si>
  <si>
    <t>Now</t>
  </si>
  <si>
    <t xml:space="preserve">On Sale: </t>
  </si>
  <si>
    <t>Stores can take pre-orders from:</t>
  </si>
  <si>
    <t>Beasts vs Other Beasts</t>
  </si>
  <si>
    <t>Warhammer Community articles for these releases can be found at -</t>
  </si>
  <si>
    <t>https://www.warhammer-community.com/2020/03/09/the-fight-of-the-millenniumgw-homepage-post-1/</t>
  </si>
  <si>
    <t>https://www.warhammer-community.com/2020/03/15/sunday-preview-beasts-vs-other-beasts/</t>
  </si>
  <si>
    <t>https://www.youtube.com/watch?v=LckPg1KAxS8</t>
  </si>
  <si>
    <t>https://www.youtube.com/watch?v=-qHwM7GvMl4</t>
  </si>
  <si>
    <t>Psychic Awakening: Saga of the Beast</t>
  </si>
  <si>
    <t>The next release in the Psychic Awakening series</t>
  </si>
  <si>
    <t>An essential purchase for every collector, especially for Ork and Space Wolves players, with extensive updates for each army</t>
  </si>
  <si>
    <t>The perfect purchase alongside the Prophecy of the Wolf</t>
  </si>
  <si>
    <t>Type of Product</t>
  </si>
  <si>
    <t>Status</t>
  </si>
  <si>
    <t>System</t>
  </si>
  <si>
    <t>Race</t>
  </si>
  <si>
    <t>Sales Code</t>
  </si>
  <si>
    <t xml:space="preserve">RRP  </t>
  </si>
  <si>
    <t>Hardback, 80pp</t>
  </si>
  <si>
    <t>Range item</t>
  </si>
  <si>
    <t>WH 40K</t>
  </si>
  <si>
    <t>Various</t>
  </si>
  <si>
    <t>40-35</t>
  </si>
  <si>
    <t>Prophecy of the Wolf</t>
  </si>
  <si>
    <t>Contains 23 plastic Citadel miniatures, 3 of which are brand-new:</t>
  </si>
  <si>
    <t>Ghazghkull Thraka and Makari for Orks, and Ragnar Blackmane for Space Wolves</t>
  </si>
  <si>
    <t>Also includes: 10 Primaris Infiltrators/Incursors (48-97), 5 Ork Nobz and 1 Grot Ammo Runt (50-12), 3 Ork Meganobz and 1 Grot Oiler (50-08)</t>
  </si>
  <si>
    <t>Approx 34% added value</t>
  </si>
  <si>
    <t xml:space="preserve"> Ork and Space Wolves players are going to want this set purely for Ghazghkull and Ragnar</t>
  </si>
  <si>
    <t>Multipart plastic kit</t>
  </si>
  <si>
    <t>PW-60</t>
  </si>
  <si>
    <t>Ragnar Blackmane: Saga of the Beast</t>
  </si>
  <si>
    <t>Author: David Annandale • Duration: 5 CDs</t>
  </si>
  <si>
    <t>Format: CD audio drama • Languages: English</t>
  </si>
  <si>
    <t>Great audio drama box set featuring Ragnar Blackmane</t>
  </si>
  <si>
    <t>CD audio drama</t>
  </si>
  <si>
    <t>BL2696</t>
  </si>
  <si>
    <t>Sagas of the Space Wolves</t>
  </si>
  <si>
    <t>Omnibus</t>
  </si>
  <si>
    <t>Various authors</t>
  </si>
  <si>
    <t>A great collection of stories focusing on the Space Wolves chapter</t>
  </si>
  <si>
    <t>Paperback, 944pp</t>
  </si>
  <si>
    <t>Space Wolf</t>
  </si>
  <si>
    <t>BL2695</t>
  </si>
  <si>
    <t>Valdor: Birth of the Imperium</t>
  </si>
  <si>
    <t>New Release</t>
  </si>
  <si>
    <t>By Chris Wraight</t>
  </si>
  <si>
    <t>Nearing the end of the wars of Unity, Valdor’s courage and purpose is put to the test as never before</t>
  </si>
  <si>
    <t>Ties in Adeptus Custodes and The Horus Heresy</t>
  </si>
  <si>
    <t>Hardback, 208pp</t>
  </si>
  <si>
    <t>Horus Heresy</t>
  </si>
  <si>
    <t>BL2804</t>
  </si>
  <si>
    <t>Road to Redemption</t>
  </si>
  <si>
    <t>By Mike Brooks</t>
  </si>
  <si>
    <t>A new Necromunda novel featuring House Cawdor</t>
  </si>
  <si>
    <t>Paperback, 304pp</t>
  </si>
  <si>
    <t>Necromunda</t>
  </si>
  <si>
    <t>House Cawdor</t>
  </si>
  <si>
    <t>BL2811</t>
  </si>
  <si>
    <t>Customer Name</t>
  </si>
  <si>
    <t>Customer No</t>
  </si>
  <si>
    <t>Total price</t>
  </si>
  <si>
    <t>Consists of:</t>
  </si>
  <si>
    <t>Best Sellers: Foundation</t>
  </si>
  <si>
    <t>Extra: Box 200a</t>
  </si>
  <si>
    <t>Extra: Box 200b</t>
  </si>
  <si>
    <t>Extra: Paint 150 (BS:A)</t>
  </si>
  <si>
    <t>Extra: Paint 210</t>
  </si>
  <si>
    <t>Extra: Paint 360</t>
  </si>
  <si>
    <t>Total of Stockist Ranges</t>
  </si>
  <si>
    <t>Full order form analysis by game system:</t>
  </si>
  <si>
    <t>40K</t>
  </si>
  <si>
    <t>Warhammer: Age of Sigmar</t>
  </si>
  <si>
    <t>The Lord of the Rings / The Hobbit</t>
  </si>
  <si>
    <t>Other</t>
  </si>
  <si>
    <t>GBD</t>
  </si>
  <si>
    <t>UKR</t>
  </si>
  <si>
    <t>Price list</t>
  </si>
  <si>
    <t>MRP</t>
  </si>
  <si>
    <t>Order weight (kg)</t>
  </si>
  <si>
    <t>Order dimensions</t>
  </si>
  <si>
    <t>Air factor</t>
  </si>
  <si>
    <t>Est. packed dimensions</t>
  </si>
  <si>
    <t>A size carton dimensions</t>
  </si>
  <si>
    <t>Est equiv. # A sized cartons</t>
  </si>
  <si>
    <t>A sized carton dimensional weight</t>
  </si>
  <si>
    <t>Dimesional weight</t>
  </si>
  <si>
    <t>Equivalent # 'A' sized cartons</t>
  </si>
  <si>
    <t>(estimates - not to be relied on)</t>
  </si>
  <si>
    <t>Dimensional weight (kg)</t>
  </si>
  <si>
    <t>Estimated chargeable 'A' cartons</t>
  </si>
  <si>
    <t>Not to be relied on - in testing!!</t>
  </si>
  <si>
    <t>Country of origin summary</t>
  </si>
  <si>
    <t>GB</t>
  </si>
  <si>
    <t>CN</t>
  </si>
  <si>
    <t>BE</t>
  </si>
  <si>
    <t>GE</t>
  </si>
  <si>
    <t>LT</t>
  </si>
  <si>
    <t>PL</t>
  </si>
  <si>
    <t>TW</t>
  </si>
  <si>
    <t>Manufacturer's Recommended Prices (MRPs) are not binding on any Games Workshop trade customers.</t>
  </si>
  <si>
    <t xml:space="preserve">As independent retailers, you are entirely free to select your own retail prices for Games Workshop products and your </t>
  </si>
  <si>
    <t>prices can be higher, lower, or the same price as the RRP. The prices and informations shown are correct at time</t>
  </si>
  <si>
    <t xml:space="preserve"> of sending, please contact us for current availability and current trade prices</t>
  </si>
  <si>
    <t>Release Date (Last 3 Months)</t>
  </si>
  <si>
    <t>Module</t>
  </si>
  <si>
    <t>SS Code</t>
  </si>
  <si>
    <t>Product Code</t>
  </si>
  <si>
    <t>Description</t>
  </si>
  <si>
    <t>RSL</t>
  </si>
  <si>
    <t>Order Quantity</t>
  </si>
  <si>
    <t>Order Value</t>
  </si>
  <si>
    <t>Cube (cm3)</t>
  </si>
  <si>
    <t>Product Type</t>
  </si>
  <si>
    <t>Qty in Pack</t>
  </si>
  <si>
    <t>Barcode</t>
  </si>
  <si>
    <t>Commodity Code</t>
  </si>
  <si>
    <t>Country of Origin</t>
  </si>
  <si>
    <t>Weight (kg)</t>
  </si>
  <si>
    <t>Order Weight</t>
  </si>
  <si>
    <t>Order Cube</t>
  </si>
  <si>
    <t>60040199114</t>
  </si>
  <si>
    <t>PSYCHIC AWAKENING: SAGA OF THE BEAST ENG</t>
  </si>
  <si>
    <t>0</t>
  </si>
  <si>
    <t>Warhammer 40,000</t>
  </si>
  <si>
    <t>WH40K Generic</t>
  </si>
  <si>
    <t>Generic</t>
  </si>
  <si>
    <t>1</t>
  </si>
  <si>
    <t>9781788267854</t>
  </si>
  <si>
    <t>49019900</t>
  </si>
  <si>
    <t>PW-15</t>
  </si>
  <si>
    <t>15010199029</t>
  </si>
  <si>
    <t>WH40K: PROPHECY OF THE WOLF (CHINESE)</t>
  </si>
  <si>
    <t>5011921129928</t>
  </si>
  <si>
    <t>95030095</t>
  </si>
  <si>
    <t>60010199029</t>
  </si>
  <si>
    <t>WH40K: PROPHECY OF THE WOLF (ENGLISH)</t>
  </si>
  <si>
    <t>5011921129874</t>
  </si>
  <si>
    <t>53-10</t>
  </si>
  <si>
    <t>99120101252</t>
  </si>
  <si>
    <t>SPACE WOLVES FENRISIAN WOLVES</t>
  </si>
  <si>
    <t>Space Marines</t>
  </si>
  <si>
    <t>5011921118496</t>
  </si>
  <si>
    <t>60100181743</t>
  </si>
  <si>
    <t>SAGAS OF THE SPACE WOLVES (PB)</t>
  </si>
  <si>
    <t>Black Library</t>
  </si>
  <si>
    <t>9781789990843</t>
  </si>
  <si>
    <t>60680181700</t>
  </si>
  <si>
    <t>RAGNAR BLACKMANE SAGA OF THE BEAST (ADB)</t>
  </si>
  <si>
    <t>9781789990935</t>
  </si>
  <si>
    <t>85234920</t>
  </si>
  <si>
    <t>60040181717</t>
  </si>
  <si>
    <t>VALDOR: BIRTH OF THE IMPERIUM (HB)</t>
  </si>
  <si>
    <t>9781789990751</t>
  </si>
  <si>
    <t>60100581024</t>
  </si>
  <si>
    <t>NECROMUNDA: ROAD TO REDEMPTION (PB)</t>
  </si>
  <si>
    <t>9781789990430</t>
  </si>
  <si>
    <t>52-08</t>
  </si>
  <si>
    <t>99120108025</t>
  </si>
  <si>
    <t>ADEPTA SORORITAS IMMOLATOR</t>
  </si>
  <si>
    <t>Imperial Forces</t>
  </si>
  <si>
    <t>5011921126217</t>
  </si>
  <si>
    <t>52-15</t>
  </si>
  <si>
    <t>99070108006</t>
  </si>
  <si>
    <t>ADEPTA SORORITAS IMAGIFIER</t>
  </si>
  <si>
    <t>5011921126194</t>
  </si>
  <si>
    <t>52-16</t>
  </si>
  <si>
    <t>99120108022</t>
  </si>
  <si>
    <t>ADEPTA SORORITAS DIALOGUS</t>
  </si>
  <si>
    <t>5011921126200</t>
  </si>
  <si>
    <t>52-21</t>
  </si>
  <si>
    <t>99120108034</t>
  </si>
  <si>
    <t>ADEPTA SORORITAS CANONESS</t>
  </si>
  <si>
    <t>5011921131174</t>
  </si>
  <si>
    <t>52-23</t>
  </si>
  <si>
    <t>99120108036</t>
  </si>
  <si>
    <t>ADEPTA SORORITAS REPENTIA SQUAD</t>
  </si>
  <si>
    <t>5011921131198</t>
  </si>
  <si>
    <t>52-26</t>
  </si>
  <si>
    <t>99120108039</t>
  </si>
  <si>
    <t>ADEPTA SORORITAS RHINO</t>
  </si>
  <si>
    <t>5011921131228</t>
  </si>
  <si>
    <t>52-27</t>
  </si>
  <si>
    <t>99120108040</t>
  </si>
  <si>
    <t>ADEPTA SORORITAS SERAPHIM SQUAD</t>
  </si>
  <si>
    <t>5011921131235</t>
  </si>
  <si>
    <t>52-29</t>
  </si>
  <si>
    <t>99120108042</t>
  </si>
  <si>
    <t>ADEPTA SORORITAS BATTLE SANCTUM</t>
  </si>
  <si>
    <t>5011921133635</t>
  </si>
  <si>
    <t>WD03-60</t>
  </si>
  <si>
    <t>60249999592</t>
  </si>
  <si>
    <t>WHITE DWARF MARCH 2020 (ENGLISH)</t>
  </si>
  <si>
    <t>5011921131808</t>
  </si>
  <si>
    <t>49029000</t>
  </si>
  <si>
    <t>48-27</t>
  </si>
  <si>
    <t>99120101228</t>
  </si>
  <si>
    <t>SPACE MARINE DROP POD</t>
  </si>
  <si>
    <t>5011921092208</t>
  </si>
  <si>
    <t>E:B200a</t>
  </si>
  <si>
    <t>48-69</t>
  </si>
  <si>
    <t>99120101184</t>
  </si>
  <si>
    <t>SPACE MARINES PRIMARIS  AGGRESSORS</t>
  </si>
  <si>
    <t>5011921085569</t>
  </si>
  <si>
    <t>E:B200b</t>
  </si>
  <si>
    <t>48-71</t>
  </si>
  <si>
    <t>99120101186</t>
  </si>
  <si>
    <t>SPACE MARINES PRIMARIS REIVERS</t>
  </si>
  <si>
    <t>5011921085583</t>
  </si>
  <si>
    <t>48-75</t>
  </si>
  <si>
    <t>99120101190</t>
  </si>
  <si>
    <t>SPACE MARINES PRIMARIS INTERCESSORS</t>
  </si>
  <si>
    <t>5011921086184</t>
  </si>
  <si>
    <t>48-76</t>
  </si>
  <si>
    <t>99120101189</t>
  </si>
  <si>
    <t>SPACE MARINES PRIMARIS HELLBLASTERS</t>
  </si>
  <si>
    <t>5011921086191</t>
  </si>
  <si>
    <t>48-93</t>
  </si>
  <si>
    <t>99120101260</t>
  </si>
  <si>
    <t>SPACE MARINES PRIMARIS ELIMINATORS</t>
  </si>
  <si>
    <t>5011921120451</t>
  </si>
  <si>
    <t>48-94</t>
  </si>
  <si>
    <t>99120101262</t>
  </si>
  <si>
    <t>SPACE MARINES PRIMARIS IMPULSOR</t>
  </si>
  <si>
    <t>5011921121434</t>
  </si>
  <si>
    <t>48-97</t>
  </si>
  <si>
    <t>99120101263</t>
  </si>
  <si>
    <t>SPACE MARINES PRIMARIS INFILTRATORS</t>
  </si>
  <si>
    <t>5011921121427</t>
  </si>
  <si>
    <t>53-01-60</t>
  </si>
  <si>
    <t>60030101040</t>
  </si>
  <si>
    <t>CODEX: SPACE WOLVES (HB) (ENGLISH)</t>
  </si>
  <si>
    <t>9781788260602</t>
  </si>
  <si>
    <t>53-06</t>
  </si>
  <si>
    <t>99120101137</t>
  </si>
  <si>
    <t>SPACE WOLVES PACK</t>
  </si>
  <si>
    <t>5011921064823</t>
  </si>
  <si>
    <t>53-07</t>
  </si>
  <si>
    <t>99120101079</t>
  </si>
  <si>
    <t>SPACE WOLVES WOLF GUARD TERMINATORS</t>
  </si>
  <si>
    <t>5011921016587</t>
  </si>
  <si>
    <t>53-09</t>
  </si>
  <si>
    <t>99120101220</t>
  </si>
  <si>
    <t>SPACE WOLVES THUNDERWOLF CAVALRY</t>
  </si>
  <si>
    <t>5011921091768</t>
  </si>
  <si>
    <t>53-11</t>
  </si>
  <si>
    <t>99120101117</t>
  </si>
  <si>
    <t>SPACE WOLVES STORMFANG GUNSHIP</t>
  </si>
  <si>
    <t>5011921052479</t>
  </si>
  <si>
    <t>53-12</t>
  </si>
  <si>
    <t>99120101218</t>
  </si>
  <si>
    <t>SPACE WOLVES VENERABLE DREADNOUGHT</t>
  </si>
  <si>
    <t>5011921091638</t>
  </si>
  <si>
    <t>53-16</t>
  </si>
  <si>
    <t>99120101219</t>
  </si>
  <si>
    <t>SPACE WOLVES WULFEN</t>
  </si>
  <si>
    <t>5011921091751</t>
  </si>
  <si>
    <t>53-17</t>
  </si>
  <si>
    <t>99070101019</t>
  </si>
  <si>
    <t>SPACE WOLVES ULRIK THE SLAYER</t>
  </si>
  <si>
    <t>5011921069279</t>
  </si>
  <si>
    <t>53-19</t>
  </si>
  <si>
    <t>99070101018</t>
  </si>
  <si>
    <t>SPACE WOLVES IRON PRIEST</t>
  </si>
  <si>
    <t>5011921069262</t>
  </si>
  <si>
    <t>53-25</t>
  </si>
  <si>
    <t>99070101038</t>
  </si>
  <si>
    <t>SPACE WOLVES PRIMARIS UPGRADES</t>
  </si>
  <si>
    <t>5011921094967</t>
  </si>
  <si>
    <t>53-80</t>
  </si>
  <si>
    <t>99070101012</t>
  </si>
  <si>
    <t>SPACE WOLVES UPGRADES</t>
  </si>
  <si>
    <t>5011921060146</t>
  </si>
  <si>
    <t>70-53</t>
  </si>
  <si>
    <t>99120101244</t>
  </si>
  <si>
    <t>START COLLECTING! PRIMARIS SPACE WOLVES</t>
  </si>
  <si>
    <t>5011921110971</t>
  </si>
  <si>
    <t>50-01-60</t>
  </si>
  <si>
    <t>60030103010</t>
  </si>
  <si>
    <t>CODEX: ORKS (HB) (ENGLISH)</t>
  </si>
  <si>
    <t>Orks</t>
  </si>
  <si>
    <t>9781788262620</t>
  </si>
  <si>
    <t>50-09</t>
  </si>
  <si>
    <t>99120103012</t>
  </si>
  <si>
    <t>ORK TRUKK</t>
  </si>
  <si>
    <t>5011921902392</t>
  </si>
  <si>
    <t>BS:F</t>
  </si>
  <si>
    <t>50-10</t>
  </si>
  <si>
    <t>99120103052</t>
  </si>
  <si>
    <t>ORK BOYZ</t>
  </si>
  <si>
    <t>5011921096138</t>
  </si>
  <si>
    <t>50-12</t>
  </si>
  <si>
    <t>99120103055</t>
  </si>
  <si>
    <t>ORK NOBZ</t>
  </si>
  <si>
    <t>5011921096169</t>
  </si>
  <si>
    <t>50-16</t>
  </si>
  <si>
    <t>99120103053</t>
  </si>
  <si>
    <t>ORKS GRETCHIN</t>
  </si>
  <si>
    <t>5011921096145</t>
  </si>
  <si>
    <t>50-17</t>
  </si>
  <si>
    <t>99120103024</t>
  </si>
  <si>
    <t>ORK KILLA KANS</t>
  </si>
  <si>
    <t>5011921018369</t>
  </si>
  <si>
    <t>50-19</t>
  </si>
  <si>
    <t>99120103034</t>
  </si>
  <si>
    <t>ORK GORKANAUT</t>
  </si>
  <si>
    <t>5011921050826</t>
  </si>
  <si>
    <t>50-20</t>
  </si>
  <si>
    <t>99120103017</t>
  </si>
  <si>
    <t>ORK BATTLEWAGON</t>
  </si>
  <si>
    <t>5011921011940</t>
  </si>
  <si>
    <t>50-22</t>
  </si>
  <si>
    <t>99120103054</t>
  </si>
  <si>
    <t>ORK LOOTAS</t>
  </si>
  <si>
    <t>5011921096152</t>
  </si>
  <si>
    <t>50-24</t>
  </si>
  <si>
    <t>99120103033</t>
  </si>
  <si>
    <t>ORK FLASH GITZ</t>
  </si>
  <si>
    <t>5011921050840</t>
  </si>
  <si>
    <t>50-25</t>
  </si>
  <si>
    <t>99070103003</t>
  </si>
  <si>
    <t>ORKS PAINBOY</t>
  </si>
  <si>
    <t>5011921098156</t>
  </si>
  <si>
    <t>50-26</t>
  </si>
  <si>
    <t>99120103029</t>
  </si>
  <si>
    <t>ORK MEK GUN</t>
  </si>
  <si>
    <t>5011921050772</t>
  </si>
  <si>
    <t>50-32</t>
  </si>
  <si>
    <t>99120103043</t>
  </si>
  <si>
    <t>ORK WAZBOM BLASTAJET</t>
  </si>
  <si>
    <t>5011921071685</t>
  </si>
  <si>
    <t>50-33</t>
  </si>
  <si>
    <t>99120103058</t>
  </si>
  <si>
    <t>ORKS WARBOSS GRUKK'S BOSS MOB</t>
  </si>
  <si>
    <t>5011921096190</t>
  </si>
  <si>
    <t>50-34</t>
  </si>
  <si>
    <t>99120103067</t>
  </si>
  <si>
    <t>ORKS SHOKKJUMP DRAGSTA</t>
  </si>
  <si>
    <t>5011921108015</t>
  </si>
  <si>
    <t>50-35</t>
  </si>
  <si>
    <t>99120103066</t>
  </si>
  <si>
    <t>ORKS RUKKATRUKK SQUIGBUGGY</t>
  </si>
  <si>
    <t>5011921108022</t>
  </si>
  <si>
    <t>50-36</t>
  </si>
  <si>
    <t>99120103065</t>
  </si>
  <si>
    <t>ORKS MEGATRAKK SCRAPJET</t>
  </si>
  <si>
    <t>5011921108008</t>
  </si>
  <si>
    <t>50-37</t>
  </si>
  <si>
    <t>99120103064</t>
  </si>
  <si>
    <t>ORKS KUSTOM BOOSTA-BLASTA</t>
  </si>
  <si>
    <t>5011921107995</t>
  </si>
  <si>
    <t>50-38</t>
  </si>
  <si>
    <t>99120103063</t>
  </si>
  <si>
    <t>ORKS DEFFKILLA WARTRIKE</t>
  </si>
  <si>
    <t>5011921107971</t>
  </si>
  <si>
    <t>50-39</t>
  </si>
  <si>
    <t>99120103062</t>
  </si>
  <si>
    <t>ORKS BOOMDAKKA SNAZZWAGON</t>
  </si>
  <si>
    <t>5011921107964</t>
  </si>
  <si>
    <t>70-50</t>
  </si>
  <si>
    <t>99120103048</t>
  </si>
  <si>
    <t>START COLLECTING! ORKS</t>
  </si>
  <si>
    <t>5011921088485</t>
  </si>
  <si>
    <t>BF-01</t>
  </si>
  <si>
    <t>15010699022</t>
  </si>
  <si>
    <t>WARHAMMER QUEST: BLACKSTONE FORTRESS CHN</t>
  </si>
  <si>
    <t>5011921136902</t>
  </si>
  <si>
    <t>BL2691</t>
  </si>
  <si>
    <t>60040181732</t>
  </si>
  <si>
    <t>LAST CHANCERS: ARMAGEDDON SAINT (HB)</t>
  </si>
  <si>
    <t>9781789990607</t>
  </si>
  <si>
    <t>BL2692</t>
  </si>
  <si>
    <t>60100181739</t>
  </si>
  <si>
    <t>BELISARIUS CAWL: THE GREAT WORK (PB)</t>
  </si>
  <si>
    <t>9781789990584</t>
  </si>
  <si>
    <t>BL2694</t>
  </si>
  <si>
    <t>60040181726</t>
  </si>
  <si>
    <t>SEPULTURUM (HB)</t>
  </si>
  <si>
    <t>9781789990911</t>
  </si>
  <si>
    <t>BL2837</t>
  </si>
  <si>
    <t>60100181741</t>
  </si>
  <si>
    <t>RITES OF PASSAGE (PB)</t>
  </si>
  <si>
    <t>9781789990591</t>
  </si>
  <si>
    <t>70-72</t>
  </si>
  <si>
    <t>99120208025</t>
  </si>
  <si>
    <t>START COLLECTING! SKINKS</t>
  </si>
  <si>
    <t>Warhammer</t>
  </si>
  <si>
    <t>Lizardmen</t>
  </si>
  <si>
    <t>5011921126385</t>
  </si>
  <si>
    <t>88-01</t>
  </si>
  <si>
    <t>60030208008</t>
  </si>
  <si>
    <t>BATTLETOME: SERAPHON (HB) (ENGLISH)</t>
  </si>
  <si>
    <t>9781788268400</t>
  </si>
  <si>
    <t>88-02</t>
  </si>
  <si>
    <t>60220208002</t>
  </si>
  <si>
    <t>WARSCROLL CARDS: SERAPHON (ENGLISH)</t>
  </si>
  <si>
    <t>5011921127771</t>
  </si>
  <si>
    <t>49119100</t>
  </si>
  <si>
    <t>88-03</t>
  </si>
  <si>
    <t>99120208026</t>
  </si>
  <si>
    <t>SERAPHON REALMSHAPER ENGINE</t>
  </si>
  <si>
    <t>5011921133642</t>
  </si>
  <si>
    <t>70-57</t>
  </si>
  <si>
    <t>99120209056</t>
  </si>
  <si>
    <t>START COLLECTING! GLOOMSPITE GITZ</t>
  </si>
  <si>
    <t>Orcs &amp; Goblins</t>
  </si>
  <si>
    <t>5011921116348</t>
  </si>
  <si>
    <t>70-61</t>
  </si>
  <si>
    <t>99120212022</t>
  </si>
  <si>
    <t>START COLLECTING! DAUGHTERS OF KHAINE</t>
  </si>
  <si>
    <t>Dark Elf</t>
  </si>
  <si>
    <t>5011921116591</t>
  </si>
  <si>
    <t>BL2805</t>
  </si>
  <si>
    <t>60109981022</t>
  </si>
  <si>
    <t>ANATHEMAS (PB)</t>
  </si>
  <si>
    <t>9781789990508</t>
  </si>
  <si>
    <t>99440199118</t>
  </si>
  <si>
    <t>RETAIL/TRADE KILL TEAM OP PACK 6</t>
  </si>
  <si>
    <t>POS</t>
  </si>
  <si>
    <t>994401991183</t>
  </si>
  <si>
    <t>49111090</t>
  </si>
  <si>
    <t>46-45</t>
  </si>
  <si>
    <t>99120104064</t>
  </si>
  <si>
    <t>CRAFTWORLDS HOWLING BANSHEES</t>
  </si>
  <si>
    <t>Eldar</t>
  </si>
  <si>
    <t>5011921127481</t>
  </si>
  <si>
    <t>46-49</t>
  </si>
  <si>
    <t>99120104063</t>
  </si>
  <si>
    <t>CRAFTWORLDS JAIN ZAR</t>
  </si>
  <si>
    <t>5011921127498</t>
  </si>
  <si>
    <t>45-40</t>
  </si>
  <si>
    <t>99120112041</t>
  </si>
  <si>
    <t>DRUKHARI INCUBI</t>
  </si>
  <si>
    <t>Dark Eldar</t>
  </si>
  <si>
    <t>5011921127511</t>
  </si>
  <si>
    <t>45-41</t>
  </si>
  <si>
    <t>99120112040</t>
  </si>
  <si>
    <t>DRUKHARI DRAZHAR</t>
  </si>
  <si>
    <t>5011921127504</t>
  </si>
  <si>
    <t>BL-02</t>
  </si>
  <si>
    <t>99120108031</t>
  </si>
  <si>
    <t>TALONS OF THE EMPEROR:VALERIAN AND ALEYA</t>
  </si>
  <si>
    <t>5011921129775</t>
  </si>
  <si>
    <t>BL2801</t>
  </si>
  <si>
    <t>60040181716</t>
  </si>
  <si>
    <t>HORUS HERESY: S.O.T: THE FIRST WALL (HB)</t>
  </si>
  <si>
    <t>9781789990409</t>
  </si>
  <si>
    <t>BL2682</t>
  </si>
  <si>
    <t>60040281264</t>
  </si>
  <si>
    <t>AGE OF SIGMAR: OATHS AND CONQUESTS (HB)</t>
  </si>
  <si>
    <t>9781789991048</t>
  </si>
  <si>
    <t>BL2807</t>
  </si>
  <si>
    <t>60100281272</t>
  </si>
  <si>
    <t>IRON COMPANY (PB) (READERS CHOICE 2020)</t>
  </si>
  <si>
    <t>9781789993479</t>
  </si>
  <si>
    <t>BL2683</t>
  </si>
  <si>
    <t>60040581002</t>
  </si>
  <si>
    <t>KAL JERICO: SINNER'S BOUNTY (HB)</t>
  </si>
  <si>
    <t>9781781939307</t>
  </si>
  <si>
    <t>60109981021</t>
  </si>
  <si>
    <t>BLACK LIBRARY CELEBRATION 2020</t>
  </si>
  <si>
    <t>9781789990966</t>
  </si>
  <si>
    <t>111-51</t>
  </si>
  <si>
    <t>99220299085</t>
  </si>
  <si>
    <t>WARCRY CARDS DISPENSER 3</t>
  </si>
  <si>
    <t>Warhammer Generic</t>
  </si>
  <si>
    <t>5011921137374</t>
  </si>
  <si>
    <t>111-36</t>
  </si>
  <si>
    <t>99120201108</t>
  </si>
  <si>
    <t>WARCRY: FOMOROID CRUSHER</t>
  </si>
  <si>
    <t>Chaos</t>
  </si>
  <si>
    <t>5011921129508</t>
  </si>
  <si>
    <t>111-37</t>
  </si>
  <si>
    <t>99120201109</t>
  </si>
  <si>
    <t>WARCRY: MINDSTEALER SPHIRANX</t>
  </si>
  <si>
    <t>5011921129515</t>
  </si>
  <si>
    <t>111-54</t>
  </si>
  <si>
    <t>99220201013</t>
  </si>
  <si>
    <t>WARCRY: BLADES OF KHORNE CARDS</t>
  </si>
  <si>
    <t>5011921137428</t>
  </si>
  <si>
    <t>111-55</t>
  </si>
  <si>
    <t>99220201014</t>
  </si>
  <si>
    <t>WARCRY: DAEMONS OF KHORNE CARDS</t>
  </si>
  <si>
    <t>5011921137435</t>
  </si>
  <si>
    <t>111-56</t>
  </si>
  <si>
    <t>99220201015</t>
  </si>
  <si>
    <t>WARCRY: NURGLE ROTBRINGERS CARDS</t>
  </si>
  <si>
    <t>5011921137442</t>
  </si>
  <si>
    <t>111-57</t>
  </si>
  <si>
    <t>99220201016</t>
  </si>
  <si>
    <t>WARCRY: NURGLE DAEMONS CARDS</t>
  </si>
  <si>
    <t>5011921137459</t>
  </si>
  <si>
    <t>111-58</t>
  </si>
  <si>
    <t>99220201017</t>
  </si>
  <si>
    <t>WARCRY: HEDONITES OF SLAANESH CARDS</t>
  </si>
  <si>
    <t>5011921137466</t>
  </si>
  <si>
    <t>111-52</t>
  </si>
  <si>
    <t>99220204003</t>
  </si>
  <si>
    <t>WARCRY: SYLVANETH CARDS</t>
  </si>
  <si>
    <t>Wood Elf</t>
  </si>
  <si>
    <t>5011921137381</t>
  </si>
  <si>
    <t>92-19</t>
  </si>
  <si>
    <t>99120204021</t>
  </si>
  <si>
    <t>SYLVANETH DRUANTI THE ARCH-REVENANT</t>
  </si>
  <si>
    <t>5011921116423</t>
  </si>
  <si>
    <t>90-25</t>
  </si>
  <si>
    <t>99070206003</t>
  </si>
  <si>
    <t>SKAVEN WARLOCK BOMBARDIER</t>
  </si>
  <si>
    <t>Skaven</t>
  </si>
  <si>
    <t>5011921116430</t>
  </si>
  <si>
    <t>91-37</t>
  </si>
  <si>
    <t>99070207009</t>
  </si>
  <si>
    <t>FLESH-EATER COURTS ABHORRANT ARCHREGENT</t>
  </si>
  <si>
    <t>Vampire Counts</t>
  </si>
  <si>
    <t>5011921116447</t>
  </si>
  <si>
    <t>94-20</t>
  </si>
  <si>
    <t>99070207012</t>
  </si>
  <si>
    <t>VOKMORTIAN MASTER OF THE BONE-TITHE</t>
  </si>
  <si>
    <t>5011921126255</t>
  </si>
  <si>
    <t>111-59</t>
  </si>
  <si>
    <t>99220208002</t>
  </si>
  <si>
    <t>WARCRY: SERAPHON CARDS</t>
  </si>
  <si>
    <t>5011921137473</t>
  </si>
  <si>
    <t>89-35</t>
  </si>
  <si>
    <t>99120209057</t>
  </si>
  <si>
    <t>G/SPTE GITZ LOONBOSS ON GIANT CAVE SQUIG</t>
  </si>
  <si>
    <t>5011921116416</t>
  </si>
  <si>
    <t>95-11</t>
  </si>
  <si>
    <t>99120213022</t>
  </si>
  <si>
    <t>OGOR MAWTRIBES: TYRANT</t>
  </si>
  <si>
    <t>Ogre Kingdoms</t>
  </si>
  <si>
    <t>5011921127115</t>
  </si>
  <si>
    <t>111-53</t>
  </si>
  <si>
    <t>99220218005</t>
  </si>
  <si>
    <t>WARCRY: STORMCAST SANCROSANCT CARDS</t>
  </si>
  <si>
    <t>Stormcast Eternals</t>
  </si>
  <si>
    <t>5011921137398</t>
  </si>
  <si>
    <t>300-06</t>
  </si>
  <si>
    <t>60050599001</t>
  </si>
  <si>
    <t>NECROMUNDA: GOLIATH GANG TACTICS CARDS</t>
  </si>
  <si>
    <t>5011921131600</t>
  </si>
  <si>
    <t>300-52</t>
  </si>
  <si>
    <t>60040599023</t>
  </si>
  <si>
    <t>NECROMUNDA: HOUSE OF CHAINS (ENGLISH)</t>
  </si>
  <si>
    <t>9781788269452</t>
  </si>
  <si>
    <t>300-62</t>
  </si>
  <si>
    <t>99120599018</t>
  </si>
  <si>
    <t>NECROMUNDA: GOLIATH STIMMERS &amp; FORGEBORN</t>
  </si>
  <si>
    <t>5011921133178</t>
  </si>
  <si>
    <t>BF-06</t>
  </si>
  <si>
    <t>15010699019</t>
  </si>
  <si>
    <t>BLACKSTONE FORTRESS: NO RESPITE (CHN)</t>
  </si>
  <si>
    <t>5011921125838</t>
  </si>
  <si>
    <t>60010699019</t>
  </si>
  <si>
    <t>BLACKSTONE FORTRESS: NO RESPITE (ENG)</t>
  </si>
  <si>
    <t>5011921125784</t>
  </si>
  <si>
    <t>WD02-14</t>
  </si>
  <si>
    <t>14249999591</t>
  </si>
  <si>
    <t>WHITE DWARF FEBRUARY 2020 (JAPANESE)</t>
  </si>
  <si>
    <t>5011921132416</t>
  </si>
  <si>
    <t>WD02-60</t>
  </si>
  <si>
    <t>60249999591</t>
  </si>
  <si>
    <t>WHITE DWARF FEBRUARY 2020 (ENGLISH)</t>
  </si>
  <si>
    <t>5011921131785</t>
  </si>
  <si>
    <t>40-33</t>
  </si>
  <si>
    <t>60040199110</t>
  </si>
  <si>
    <t>PSY/AWAKENING: THE GREATER GOOD (HB) ENG</t>
  </si>
  <si>
    <t>9781788267717</t>
  </si>
  <si>
    <t>56-29</t>
  </si>
  <si>
    <t>99120113066</t>
  </si>
  <si>
    <t>T'AU EMPIRE: COMMANDER SHADOWSUN</t>
  </si>
  <si>
    <t>Tau Empire</t>
  </si>
  <si>
    <t>5011921129812</t>
  </si>
  <si>
    <t>51-67</t>
  </si>
  <si>
    <t>99070117010</t>
  </si>
  <si>
    <t>GENESTEALER CULTS KELERMORPH</t>
  </si>
  <si>
    <t>Genestealer Cults</t>
  </si>
  <si>
    <t>5011921129300</t>
  </si>
  <si>
    <t>70-60</t>
  </si>
  <si>
    <t>99120117011</t>
  </si>
  <si>
    <t>START COLLECTING! GENESTEALER CULTS</t>
  </si>
  <si>
    <t>5011921110964</t>
  </si>
  <si>
    <t>400-14</t>
  </si>
  <si>
    <t>60010399003</t>
  </si>
  <si>
    <t>ADEPTUS TITANICUS STARTER SET (ENGLISH)</t>
  </si>
  <si>
    <t>5011921131143</t>
  </si>
  <si>
    <t>95049080</t>
  </si>
  <si>
    <t>400-32</t>
  </si>
  <si>
    <t>60040399010</t>
  </si>
  <si>
    <t>ADEPTUS TITANICUS: SHADOW AND IRON (ENG)</t>
  </si>
  <si>
    <t>9781788269421</t>
  </si>
  <si>
    <t>400-34</t>
  </si>
  <si>
    <t>99120399016</t>
  </si>
  <si>
    <t>WARBRINGER NEMESIS TITAN W/QUAKE CANNON</t>
  </si>
  <si>
    <t>5011921133147</t>
  </si>
  <si>
    <t>400-36</t>
  </si>
  <si>
    <t>99120399020</t>
  </si>
  <si>
    <t>AD/TITANICUS: MANUFACTORUM IMPERIALIS</t>
  </si>
  <si>
    <t>5011921142002</t>
  </si>
  <si>
    <t>99440299066</t>
  </si>
  <si>
    <t>RETAIL/TRADE WARCRY OP PACK Q3</t>
  </si>
  <si>
    <t>994402990666</t>
  </si>
  <si>
    <t>BL2688</t>
  </si>
  <si>
    <t>60100181737</t>
  </si>
  <si>
    <t>KNIGHTS OF MACRAGGE (PB)</t>
  </si>
  <si>
    <t>9781789990447</t>
  </si>
  <si>
    <t>BL2796</t>
  </si>
  <si>
    <t>60040181718</t>
  </si>
  <si>
    <t>THE OUBLIETTE (HB)</t>
  </si>
  <si>
    <t>9781789990331</t>
  </si>
  <si>
    <t>80-05</t>
  </si>
  <si>
    <t>60040299094</t>
  </si>
  <si>
    <t>SOUL WARS: WRATH OF THE EVERCHOSEN (ENG)</t>
  </si>
  <si>
    <t>9781788267021</t>
  </si>
  <si>
    <t>BL2687</t>
  </si>
  <si>
    <t>60100281268</t>
  </si>
  <si>
    <t>HEROES OF THE EMPIRE (PB)</t>
  </si>
  <si>
    <t>9781789990416</t>
  </si>
  <si>
    <t>110-81</t>
  </si>
  <si>
    <t>15120701005</t>
  </si>
  <si>
    <t>WH UNDERWORLDS: THE WURMSPAT (CHINESE)</t>
  </si>
  <si>
    <t>5011921128976</t>
  </si>
  <si>
    <t>60120701005</t>
  </si>
  <si>
    <t>WH UNDERWORLDS: THE WURMSPAT (ENGLISH)</t>
  </si>
  <si>
    <t>5011921128921</t>
  </si>
  <si>
    <t>110-82</t>
  </si>
  <si>
    <t>15120713001</t>
  </si>
  <si>
    <t>WHU: HROTHGORN'S MANTRAPPERS (CHINESE)</t>
  </si>
  <si>
    <t>Ogors</t>
  </si>
  <si>
    <t>5011921129089</t>
  </si>
  <si>
    <t>60120713001</t>
  </si>
  <si>
    <t>WHU: HROTHGORN'S MANTRAPPERS (ENGLISH)</t>
  </si>
  <si>
    <t>5011921129034</t>
  </si>
  <si>
    <t>BL2689</t>
  </si>
  <si>
    <t>60100181736</t>
  </si>
  <si>
    <t>S/M CONQUESTS: FIST OF THE IMPERIUM (PB)</t>
  </si>
  <si>
    <t>9781789990249</t>
  </si>
  <si>
    <t>111-33</t>
  </si>
  <si>
    <t>99220299081</t>
  </si>
  <si>
    <t>WARCRY: SOULDRAIN FOREST</t>
  </si>
  <si>
    <t>5011921127061</t>
  </si>
  <si>
    <t>111-25</t>
  </si>
  <si>
    <t>99120201097</t>
  </si>
  <si>
    <t>WARCRY: OGROID MYRMIDON</t>
  </si>
  <si>
    <t>5011921126736</t>
  </si>
  <si>
    <t>111-26</t>
  </si>
  <si>
    <t>99120201098</t>
  </si>
  <si>
    <t>WARCRY: SPIRE TYRANTS</t>
  </si>
  <si>
    <t>5011921126743</t>
  </si>
  <si>
    <t>111-42</t>
  </si>
  <si>
    <t>99220201010</t>
  </si>
  <si>
    <t>WARCRY: SLAVES TO DARKNESS CARD PACK</t>
  </si>
  <si>
    <t>5011921135660</t>
  </si>
  <si>
    <t>111-46</t>
  </si>
  <si>
    <t>99220201011</t>
  </si>
  <si>
    <t>WARCRY: TZEENTCH ARCANITES CARD PACK</t>
  </si>
  <si>
    <t>5011921135714</t>
  </si>
  <si>
    <t>111-47</t>
  </si>
  <si>
    <t>99220201012</t>
  </si>
  <si>
    <t>WARCRY: DISCIPLES OF TZEENTCH CARD PACK</t>
  </si>
  <si>
    <t>5011921135721</t>
  </si>
  <si>
    <t>111-45</t>
  </si>
  <si>
    <t>99220205003</t>
  </si>
  <si>
    <t>WARCRY: KHARADRON OVERLORDS CARD PACK</t>
  </si>
  <si>
    <t>Dwarf</t>
  </si>
  <si>
    <t>5011921135707</t>
  </si>
  <si>
    <t>111-48</t>
  </si>
  <si>
    <t>99220206003</t>
  </si>
  <si>
    <t>WARCRY: SKAVEN CARD PACK</t>
  </si>
  <si>
    <t>5011921135738</t>
  </si>
  <si>
    <t>111-35</t>
  </si>
  <si>
    <t>99120207073</t>
  </si>
  <si>
    <t>WARCRY: NIGHTHAUNT</t>
  </si>
  <si>
    <t>5011921121656</t>
  </si>
  <si>
    <t>111-43</t>
  </si>
  <si>
    <t>99220207006</t>
  </si>
  <si>
    <t>WARCRY: OSSIARCH BONEREAPERS CARD PACK</t>
  </si>
  <si>
    <t>5011921135677</t>
  </si>
  <si>
    <t>111-28</t>
  </si>
  <si>
    <t>99120209063</t>
  </si>
  <si>
    <t>WARCRY: GLOOMSPITE GITZ</t>
  </si>
  <si>
    <t>5011921121663</t>
  </si>
  <si>
    <t>111-44</t>
  </si>
  <si>
    <t>99220213002</t>
  </si>
  <si>
    <t>WARCRY: OGOR MAWTRIBES CARDS</t>
  </si>
  <si>
    <t>5011921135691</t>
  </si>
  <si>
    <t>111-50</t>
  </si>
  <si>
    <t>99220216002</t>
  </si>
  <si>
    <t>WARCRY: BEASTS OF CHAOS CARD PACK</t>
  </si>
  <si>
    <t>Beastmen</t>
  </si>
  <si>
    <t>5011921135752</t>
  </si>
  <si>
    <t>111-34</t>
  </si>
  <si>
    <t>99120218046</t>
  </si>
  <si>
    <t>WARCRY: STORMCAST ETERNALS</t>
  </si>
  <si>
    <t>5011921121625</t>
  </si>
  <si>
    <t>111-49</t>
  </si>
  <si>
    <t>99220218004</t>
  </si>
  <si>
    <t>WARCRY: STORMCAST WARRIOR CHAMBER CARDS</t>
  </si>
  <si>
    <t>5011921135745</t>
  </si>
  <si>
    <t>BL2808</t>
  </si>
  <si>
    <t>60100281266</t>
  </si>
  <si>
    <t>WARCRY THE ANTHOLOGY (PB)</t>
  </si>
  <si>
    <t>9781789990287</t>
  </si>
  <si>
    <t>300-40</t>
  </si>
  <si>
    <t>99220599011</t>
  </si>
  <si>
    <t>NECROMUNDA: CORPSE GRINDER CULT DICE SET</t>
  </si>
  <si>
    <t>5011921124091</t>
  </si>
  <si>
    <t>300-46</t>
  </si>
  <si>
    <t>99120599012</t>
  </si>
  <si>
    <t>NECROMUNDA: PALANITE SUBJUGATOR PATROL</t>
  </si>
  <si>
    <t>5011921127689</t>
  </si>
  <si>
    <t>300-47</t>
  </si>
  <si>
    <t>99120599013</t>
  </si>
  <si>
    <t>NECROMUNDA: CORPSE GRINDER CULT</t>
  </si>
  <si>
    <t>5011921127696</t>
  </si>
  <si>
    <t>300-48</t>
  </si>
  <si>
    <t>99120599014</t>
  </si>
  <si>
    <t>ZONE MORTALIS: COLUMNS &amp; WALLS</t>
  </si>
  <si>
    <t>5011921131402</t>
  </si>
  <si>
    <t>300-49</t>
  </si>
  <si>
    <t>99120599015</t>
  </si>
  <si>
    <t>ZONE MORTALIS: PLATFORMS &amp; STAIRS</t>
  </si>
  <si>
    <t>5011921131419</t>
  </si>
  <si>
    <t>300-51</t>
  </si>
  <si>
    <t>60050599002</t>
  </si>
  <si>
    <t>NECROMUNDA: CORPSE GRINDER GANG CARDS</t>
  </si>
  <si>
    <t>5011921131617</t>
  </si>
  <si>
    <t>BL2603</t>
  </si>
  <si>
    <t>60100181734</t>
  </si>
  <si>
    <t>HORUS HERESY: WOLFSBANE (PB)</t>
  </si>
  <si>
    <t>9781789992106</t>
  </si>
  <si>
    <t>BL2690</t>
  </si>
  <si>
    <t>60100181735</t>
  </si>
  <si>
    <t>HORUS HERESY: SLAVES TO DARKNESS (PB)</t>
  </si>
  <si>
    <t>9781789990263</t>
  </si>
  <si>
    <t>40-32</t>
  </si>
  <si>
    <t>60040199108</t>
  </si>
  <si>
    <t>PSY AWAKE: RITUAL OF THE DAMNED (ENG)</t>
  </si>
  <si>
    <t>9781788267649</t>
  </si>
  <si>
    <t>52-09</t>
  </si>
  <si>
    <t>99120108023</t>
  </si>
  <si>
    <t>ADEPTA SORORITAS EXORCIST</t>
  </si>
  <si>
    <t>5011921126248</t>
  </si>
  <si>
    <t>52-17</t>
  </si>
  <si>
    <t>99120108026</t>
  </si>
  <si>
    <t>ADEPTA SORORITAS JUNITH ERUITA</t>
  </si>
  <si>
    <t>5011921126224</t>
  </si>
  <si>
    <t>52-18</t>
  </si>
  <si>
    <t>99120108024</t>
  </si>
  <si>
    <t>ADEPTA SORORITAS HOSPITALLER</t>
  </si>
  <si>
    <t>5011921126231</t>
  </si>
  <si>
    <t>52-19</t>
  </si>
  <si>
    <t>99120108032</t>
  </si>
  <si>
    <t>ADEPTA SORORITAS ARCO-FLAGELLANTS</t>
  </si>
  <si>
    <t>5011921131150</t>
  </si>
  <si>
    <t>52-22</t>
  </si>
  <si>
    <t>99120108035</t>
  </si>
  <si>
    <t>ADEPTA SORORITAS PENITENT ENGINES</t>
  </si>
  <si>
    <t>5011921131181</t>
  </si>
  <si>
    <t>BL2809</t>
  </si>
  <si>
    <t>60100181732</t>
  </si>
  <si>
    <t>GAUNT'S GHOSTS: ANARCH (PB)</t>
  </si>
  <si>
    <t>9781789990317</t>
  </si>
  <si>
    <t>BL2810</t>
  </si>
  <si>
    <t>60100181731</t>
  </si>
  <si>
    <t>VAULTS OF TERRA: THE HOLLOW MOUNTAIN PB</t>
  </si>
  <si>
    <t>9781789990300</t>
  </si>
  <si>
    <t>15440799038</t>
  </si>
  <si>
    <t>Q2 BEASTGRAVE ORGANISED PLAY PACK (CHN)</t>
  </si>
  <si>
    <t>154407990386</t>
  </si>
  <si>
    <t>60440799038</t>
  </si>
  <si>
    <t>Q2 BEASTGRAVE ORGANISED PLAY PACK (ENG)</t>
  </si>
  <si>
    <t>604407990386</t>
  </si>
  <si>
    <t>52-01</t>
  </si>
  <si>
    <t>60030108014</t>
  </si>
  <si>
    <t>CODEX: ADEPTA SORORITAS (HB) (ENG)</t>
  </si>
  <si>
    <t>9781788266864</t>
  </si>
  <si>
    <t>52-02</t>
  </si>
  <si>
    <t>60220108005</t>
  </si>
  <si>
    <t>DATACARDS: ADEPTA SORORITAS (ENGLISH)</t>
  </si>
  <si>
    <t>5011921127306</t>
  </si>
  <si>
    <t>52-20</t>
  </si>
  <si>
    <t>99120108033</t>
  </si>
  <si>
    <t>ADEPTA SORORITAS BATTLE SISTERS SQUAD</t>
  </si>
  <si>
    <t>5011921131167</t>
  </si>
  <si>
    <t>52-24</t>
  </si>
  <si>
    <t>99120108037</t>
  </si>
  <si>
    <t>A/SOROR.: THE TRIUMPH OF SAINT KATHERINE</t>
  </si>
  <si>
    <t>5011921131204</t>
  </si>
  <si>
    <t>52-25</t>
  </si>
  <si>
    <t>99120108038</t>
  </si>
  <si>
    <t>ADEPTA SORORITAS RETRIBUTOR SQUAD</t>
  </si>
  <si>
    <t>5011921131211</t>
  </si>
  <si>
    <t>WD01-60</t>
  </si>
  <si>
    <t>60249999590</t>
  </si>
  <si>
    <t>WHITE DWARF JANUARY 2020 (ENGLISH)</t>
  </si>
  <si>
    <t>5011921131761</t>
  </si>
  <si>
    <t>102-01</t>
  </si>
  <si>
    <t>15040699002</t>
  </si>
  <si>
    <t>WH40K: KILL TEAM CORE MANUAL (CHINESE)</t>
  </si>
  <si>
    <t>9781788262736</t>
  </si>
  <si>
    <t>60040699002</t>
  </si>
  <si>
    <t>WH40K: KILL TEAM CORE MANUAL (ENGLISH)</t>
  </si>
  <si>
    <t>9781788262682</t>
  </si>
  <si>
    <t>102-10-15</t>
  </si>
  <si>
    <t>15010199027</t>
  </si>
  <si>
    <t>WARHAMMER 40000: KILL TEAM (CHINESE)</t>
  </si>
  <si>
    <t>5011921124015</t>
  </si>
  <si>
    <t>102-10-60</t>
  </si>
  <si>
    <t>60010199027</t>
  </si>
  <si>
    <t>WARHAMMER 40000: KILL TEAM (ENGLISH)</t>
  </si>
  <si>
    <t>5011921123964</t>
  </si>
  <si>
    <t>102-43-60</t>
  </si>
  <si>
    <t>60010699014</t>
  </si>
  <si>
    <t>KILL TEAM: ROGUE TRADER (ENGLISH)</t>
  </si>
  <si>
    <t>5011921107766</t>
  </si>
  <si>
    <t>102-44-15</t>
  </si>
  <si>
    <t>15220699006</t>
  </si>
  <si>
    <t>KILL TEAM: COMMANDERS (CHINESE)</t>
  </si>
  <si>
    <t>5011921110100</t>
  </si>
  <si>
    <t>102-44-60</t>
  </si>
  <si>
    <t>60220699006</t>
  </si>
  <si>
    <t>KILL TEAM: COMMANDERS (ENGLISH)</t>
  </si>
  <si>
    <t>5011921110056</t>
  </si>
  <si>
    <t>102-48-15</t>
  </si>
  <si>
    <t>15010199024</t>
  </si>
  <si>
    <t>WARHAMMER 40000: KILL TEAM ARENA (CHN)</t>
  </si>
  <si>
    <t>5011921113033</t>
  </si>
  <si>
    <t>102-48-60</t>
  </si>
  <si>
    <t>60010199024</t>
  </si>
  <si>
    <t>WARHAMMER 40000: KILL TEAM ARENA (ENG)</t>
  </si>
  <si>
    <t>5011921112982</t>
  </si>
  <si>
    <t>102-49-15</t>
  </si>
  <si>
    <t>15040199098</t>
  </si>
  <si>
    <t>KILL TEAM: ELITES (CHINESE)</t>
  </si>
  <si>
    <t>9781788264884</t>
  </si>
  <si>
    <t>102-49-60</t>
  </si>
  <si>
    <t>60040199098</t>
  </si>
  <si>
    <t>KILL TEAM: ELITES (ENGLISH)</t>
  </si>
  <si>
    <t>9781788264853</t>
  </si>
  <si>
    <t>102-54-15</t>
  </si>
  <si>
    <t>15220699008</t>
  </si>
  <si>
    <t>KILLZONE: SECTOR SANCTORIS (CHINESE)</t>
  </si>
  <si>
    <t>5011921120109</t>
  </si>
  <si>
    <t>102-54-60</t>
  </si>
  <si>
    <t>60220699008</t>
  </si>
  <si>
    <t>KILLZONE: SECTOR SANCTORIS (ENGLISH)</t>
  </si>
  <si>
    <t>5011921120048</t>
  </si>
  <si>
    <t>102-73</t>
  </si>
  <si>
    <t>15040199120</t>
  </si>
  <si>
    <t>KILL TEAM: ANNUAL 2019 (CHINESE)</t>
  </si>
  <si>
    <t>9781788267564</t>
  </si>
  <si>
    <t>60040199120</t>
  </si>
  <si>
    <t>KILL TEAM: ANNUAL 2019 (ENGLISH)</t>
  </si>
  <si>
    <t>9781788267502</t>
  </si>
  <si>
    <t>40-01-60</t>
  </si>
  <si>
    <t>60010199015</t>
  </si>
  <si>
    <t>WARHAMMER 40000: DARK IMPERIUM (ENGLISH)</t>
  </si>
  <si>
    <t>5011921073559</t>
  </si>
  <si>
    <t>40-02</t>
  </si>
  <si>
    <t>60040199081</t>
  </si>
  <si>
    <t>WARHAMMER 40000 RULEBOOK (ENGLISH)</t>
  </si>
  <si>
    <t>9781785818493</t>
  </si>
  <si>
    <t>40-03-15</t>
  </si>
  <si>
    <t>15010199017</t>
  </si>
  <si>
    <t>WARHAMMER 40000: KNOW NO FEAR (CHINESE)</t>
  </si>
  <si>
    <t>5011921086139</t>
  </si>
  <si>
    <t>40-03-33</t>
  </si>
  <si>
    <t>33010199017</t>
  </si>
  <si>
    <t>WARHAMMER 40000: KNOW NO FEAR (TRAD CHN)</t>
  </si>
  <si>
    <t>5011921112531</t>
  </si>
  <si>
    <t>40-03-60</t>
  </si>
  <si>
    <t>60010199017</t>
  </si>
  <si>
    <t>WARHAMMER 40000: KNOW NO FEAR (ENGLISH)</t>
  </si>
  <si>
    <t>5011921085507</t>
  </si>
  <si>
    <t>40-04-15</t>
  </si>
  <si>
    <t>15010199018</t>
  </si>
  <si>
    <t>WARHAMMER 40000: FIRST STRIKE (CHINESE)</t>
  </si>
  <si>
    <t>5011921086580</t>
  </si>
  <si>
    <t>40-04-60</t>
  </si>
  <si>
    <t>60010199018</t>
  </si>
  <si>
    <t>WARHAMMER 40000: FIRST STRIKE (ENGLISH)</t>
  </si>
  <si>
    <t>5011921086214</t>
  </si>
  <si>
    <t>40-05-60</t>
  </si>
  <si>
    <t>60220199011</t>
  </si>
  <si>
    <t>WARHAMMER 40000: OPEN WAR CARDS (ENG)</t>
  </si>
  <si>
    <t>5011921090754</t>
  </si>
  <si>
    <t>40-06-15</t>
  </si>
  <si>
    <t>15040199085</t>
  </si>
  <si>
    <t>GETTING STARTED WITH WARHAMMER 40K (CHN)</t>
  </si>
  <si>
    <t>9781785819254</t>
  </si>
  <si>
    <t>40-06-33</t>
  </si>
  <si>
    <t>33040199085</t>
  </si>
  <si>
    <t>GETTING STARTED WITH WH40K (CHINA TRAD)</t>
  </si>
  <si>
    <t>9781785819995</t>
  </si>
  <si>
    <t>40-06-60</t>
  </si>
  <si>
    <t>60040199085</t>
  </si>
  <si>
    <t>GETTING STARTED WITH WARHAMMER 40K (ENG)</t>
  </si>
  <si>
    <t>9781785819209</t>
  </si>
  <si>
    <t>40-07</t>
  </si>
  <si>
    <t>15040199121</t>
  </si>
  <si>
    <t>WH40K: CHAPTER APPROVED 2019 (CHINESE)</t>
  </si>
  <si>
    <t>9781788267632</t>
  </si>
  <si>
    <t>60040199121</t>
  </si>
  <si>
    <t>WH40K: CHAPTER APPROVED 2019 (ENGLISH)</t>
  </si>
  <si>
    <t>9781788267571</t>
  </si>
  <si>
    <t>40-09-15</t>
  </si>
  <si>
    <t>15220199015</t>
  </si>
  <si>
    <t>WARHAMMER 40000: APOCALYPSE (CHINESE)</t>
  </si>
  <si>
    <t>5011921123926</t>
  </si>
  <si>
    <t>40-09-60</t>
  </si>
  <si>
    <t>60220199015</t>
  </si>
  <si>
    <t>WARHAMMER 40000: APOCALYPSE (ENGLISH)</t>
  </si>
  <si>
    <t>5011921123872</t>
  </si>
  <si>
    <t>40-20-60</t>
  </si>
  <si>
    <t>60220199010</t>
  </si>
  <si>
    <t>WH40K: TACTICAL OBJECTIVE CARDS (ENG)</t>
  </si>
  <si>
    <t>5011921086931</t>
  </si>
  <si>
    <t>40-26-60</t>
  </si>
  <si>
    <t>60040199100</t>
  </si>
  <si>
    <t>IMPERIUM NIHILUS: VIGILUS ABLAZE HB ENG</t>
  </si>
  <si>
    <t>9781788264617</t>
  </si>
  <si>
    <t>40-29</t>
  </si>
  <si>
    <t>60040199102</t>
  </si>
  <si>
    <t>PSYCHIC AWAKENING: FAITH &amp; FURY (ENG)</t>
  </si>
  <si>
    <t>9781788266659</t>
  </si>
  <si>
    <t>40-30</t>
  </si>
  <si>
    <t>60040199104</t>
  </si>
  <si>
    <t>PSYCHIC AWAKENING: PHOENIX RISING (ENG)</t>
  </si>
  <si>
    <t>9781788267137</t>
  </si>
  <si>
    <t>40-31</t>
  </si>
  <si>
    <t>60040199106</t>
  </si>
  <si>
    <t>PSYCHIC AWAKENING: BLOOD OF BAAL (ENG)</t>
  </si>
  <si>
    <t>9781788267434</t>
  </si>
  <si>
    <t>40-43</t>
  </si>
  <si>
    <t>99220199065</t>
  </si>
  <si>
    <t>SECTOR IMPERIALIS: OBJECTIVES</t>
  </si>
  <si>
    <t>5011921087983</t>
  </si>
  <si>
    <t>40-47</t>
  </si>
  <si>
    <t>9922019906406</t>
  </si>
  <si>
    <t>WARHAMMER 40000: WOUND TRACKERS (6-PACK)</t>
  </si>
  <si>
    <t>6</t>
  </si>
  <si>
    <t>99220199064063</t>
  </si>
  <si>
    <t>43-94-15</t>
  </si>
  <si>
    <t>15040199086</t>
  </si>
  <si>
    <t>INDEX: XENOS 1 (CHINESE)</t>
  </si>
  <si>
    <t>9781785819049</t>
  </si>
  <si>
    <t>43-95-15</t>
  </si>
  <si>
    <t>15040199087</t>
  </si>
  <si>
    <t>INDEX: XENOS 2 (CHINESE)</t>
  </si>
  <si>
    <t>9781785818974</t>
  </si>
  <si>
    <t>60-12-60</t>
  </si>
  <si>
    <t>60170199008</t>
  </si>
  <si>
    <t>WARHAMMER 40000 ESSENTIALS SET (ENGLISH)</t>
  </si>
  <si>
    <t>5011921112593</t>
  </si>
  <si>
    <t>32131000</t>
  </si>
  <si>
    <t>E:P360</t>
  </si>
  <si>
    <t>64-01</t>
  </si>
  <si>
    <t>99120199046</t>
  </si>
  <si>
    <t>WARHAMMER 40000: HERO BASES</t>
  </si>
  <si>
    <t>5011921079865</t>
  </si>
  <si>
    <t>64-23</t>
  </si>
  <si>
    <t>99120199044</t>
  </si>
  <si>
    <t>S/MECHANICUS: THERMIC PLASMA REGULATORS</t>
  </si>
  <si>
    <t>5011921079780</t>
  </si>
  <si>
    <t>64-28</t>
  </si>
  <si>
    <t>99220199059</t>
  </si>
  <si>
    <t>REALM OF BATTLE: SECTOR IMPERIALIS</t>
  </si>
  <si>
    <t>5011921073474</t>
  </si>
  <si>
    <t>64-37</t>
  </si>
  <si>
    <t>99220199067</t>
  </si>
  <si>
    <t>REALM OF BATTLE: MOON BASE KLAISUS</t>
  </si>
  <si>
    <t>5011921089819</t>
  </si>
  <si>
    <t>64-39</t>
  </si>
  <si>
    <t>99120199056</t>
  </si>
  <si>
    <t>SECTOR IMPERIALIS RUINS</t>
  </si>
  <si>
    <t>5011921089772</t>
  </si>
  <si>
    <t>64-46</t>
  </si>
  <si>
    <t>99120199054</t>
  </si>
  <si>
    <t>SECTOR MECHANICUS:GALVANIC SERVO-HAULERS</t>
  </si>
  <si>
    <t>5011921082681</t>
  </si>
  <si>
    <t>64-47</t>
  </si>
  <si>
    <t>99120199058</t>
  </si>
  <si>
    <t>SECTOR IMPERIALIS: MANUFACTORUM</t>
  </si>
  <si>
    <t>5011921089796</t>
  </si>
  <si>
    <t>64-48</t>
  </si>
  <si>
    <t>99120199067</t>
  </si>
  <si>
    <t>SECTOR IMPERIALIS BASILICANUM</t>
  </si>
  <si>
    <t>5011921100866</t>
  </si>
  <si>
    <t>64-69</t>
  </si>
  <si>
    <t>99120199063</t>
  </si>
  <si>
    <t>WARHAMMER 40000: THERMIC PLASMA CONDUITS</t>
  </si>
  <si>
    <t>5011921092871</t>
  </si>
  <si>
    <t>64-70</t>
  </si>
  <si>
    <t>99120199059</t>
  </si>
  <si>
    <t>SECTOR IMPERIALIS SANCTUM</t>
  </si>
  <si>
    <t>5011921089802</t>
  </si>
  <si>
    <t>64-71</t>
  </si>
  <si>
    <t>99120199065</t>
  </si>
  <si>
    <t>WARHAMMER 40000: STC RYZA-PATTERN RUINS</t>
  </si>
  <si>
    <t>5011921095469</t>
  </si>
  <si>
    <t>64-74</t>
  </si>
  <si>
    <t>99120199066</t>
  </si>
  <si>
    <t>SECTOR MECHANICUS: SACRISTAN FORGESHRINE</t>
  </si>
  <si>
    <t>5011921098606</t>
  </si>
  <si>
    <t>64-82</t>
  </si>
  <si>
    <t>99120199072</t>
  </si>
  <si>
    <t>SECTOR MECHANICUS TECTONIC FRAGDRILL</t>
  </si>
  <si>
    <t>5011921113620</t>
  </si>
  <si>
    <t>64-98</t>
  </si>
  <si>
    <t>99120199038</t>
  </si>
  <si>
    <t>MUNITORIUM ARMOURED CONTAINERS</t>
  </si>
  <si>
    <t>5011921073238</t>
  </si>
  <si>
    <t>65-20</t>
  </si>
  <si>
    <t>99220199071</t>
  </si>
  <si>
    <t>WH40K APOCALYPSE MOVEMENT TRAYS (25MM)</t>
  </si>
  <si>
    <t>5011921119820</t>
  </si>
  <si>
    <t>65-21</t>
  </si>
  <si>
    <t>99220199072</t>
  </si>
  <si>
    <t>WH40K APOCALYPSE MOVEMENT TRAYS (32MM)</t>
  </si>
  <si>
    <t>5011921119837</t>
  </si>
  <si>
    <t>65-22</t>
  </si>
  <si>
    <t>99220199073</t>
  </si>
  <si>
    <t>WH40K APOCALYPSE MOVEMENT TRAYS (40MM)</t>
  </si>
  <si>
    <t>5011921119844</t>
  </si>
  <si>
    <t>66-44</t>
  </si>
  <si>
    <t>99120199057</t>
  </si>
  <si>
    <t>SECTOR IMPERIALIS ADMINISTRATUM</t>
  </si>
  <si>
    <t>5011921089789</t>
  </si>
  <si>
    <t>66-82</t>
  </si>
  <si>
    <t>99230199012</t>
  </si>
  <si>
    <t>WARHAMMER 40000 CARRY CASE</t>
  </si>
  <si>
    <t>5011921116737</t>
  </si>
  <si>
    <t>42021250</t>
  </si>
  <si>
    <t>BS:A</t>
  </si>
  <si>
    <t>66-91</t>
  </si>
  <si>
    <t>99120199039</t>
  </si>
  <si>
    <t>SECTOR IMPERIALIS: 32MM ROUND BASES</t>
  </si>
  <si>
    <t>5011921073153</t>
  </si>
  <si>
    <t>66-92</t>
  </si>
  <si>
    <t>99120199040</t>
  </si>
  <si>
    <t>SECTOR IMPERIALIS: 25 &amp; 40MM ROUND BASES</t>
  </si>
  <si>
    <t>5011921073160</t>
  </si>
  <si>
    <t>66-93</t>
  </si>
  <si>
    <t>99120199041</t>
  </si>
  <si>
    <t>S/IMPERIALIS: 60MM RD+75/90MM OVAL BASES</t>
  </si>
  <si>
    <t>5011921073177</t>
  </si>
  <si>
    <t>66-94</t>
  </si>
  <si>
    <t>99120199042</t>
  </si>
  <si>
    <t>SECTOR IMPERIALIS: LARGE BASE DETAIL KIT</t>
  </si>
  <si>
    <t>5011921073184</t>
  </si>
  <si>
    <t>66-95</t>
  </si>
  <si>
    <t>99120199055</t>
  </si>
  <si>
    <t>SECTOR MECHANICUS: INDUSTRIAL BASES</t>
  </si>
  <si>
    <t>5011921084579</t>
  </si>
  <si>
    <t>41-01-60</t>
  </si>
  <si>
    <t>60030101038</t>
  </si>
  <si>
    <t>CODEX: BLOOD ANGELS (HB) (ENGLISH)</t>
  </si>
  <si>
    <t>9781788260503</t>
  </si>
  <si>
    <t>41-04-60</t>
  </si>
  <si>
    <t>60220101009</t>
  </si>
  <si>
    <t>DATACARDS: BLOOD ANGELS (ENGLISH)</t>
  </si>
  <si>
    <t>5011921095834</t>
  </si>
  <si>
    <t>41-07</t>
  </si>
  <si>
    <t>99120101120</t>
  </si>
  <si>
    <t>BLOOD ANGELS DEATH COMPANY</t>
  </si>
  <si>
    <t>5011921056583</t>
  </si>
  <si>
    <t>41-08</t>
  </si>
  <si>
    <t>99120101121</t>
  </si>
  <si>
    <t>BLOOD ANGELS SANGUINARY GUARD</t>
  </si>
  <si>
    <t>5011921056590</t>
  </si>
  <si>
    <t>41-10</t>
  </si>
  <si>
    <t>99120101088</t>
  </si>
  <si>
    <t>STORMRAVEN GUNSHIP</t>
  </si>
  <si>
    <t>5011921021253</t>
  </si>
  <si>
    <t>41-11</t>
  </si>
  <si>
    <t>99120101089</t>
  </si>
  <si>
    <t>BLOOD ANGELS FURIOSO DREADNOUGHT</t>
  </si>
  <si>
    <t>5011921021260</t>
  </si>
  <si>
    <t>41-14</t>
  </si>
  <si>
    <t>99070101008</t>
  </si>
  <si>
    <t>BLOOD ANGELS SANGUINARY PRIEST</t>
  </si>
  <si>
    <t>5011921999118</t>
  </si>
  <si>
    <t>41-17</t>
  </si>
  <si>
    <t>99070101034</t>
  </si>
  <si>
    <t>BLOOD ANGELS CHAPLAIN WITH JUMP PACK</t>
  </si>
  <si>
    <t>5011921091782</t>
  </si>
  <si>
    <t>41-30</t>
  </si>
  <si>
    <t>99070101037</t>
  </si>
  <si>
    <t>BLOOD ANGELS PRIMARIS UPGRADES</t>
  </si>
  <si>
    <t>5011921094950</t>
  </si>
  <si>
    <t>41-39</t>
  </si>
  <si>
    <t>99120101266</t>
  </si>
  <si>
    <t>BLOOD ANGELS MEPHISTON LORD OF DEATH</t>
  </si>
  <si>
    <t>5011921125401</t>
  </si>
  <si>
    <t>41-80</t>
  </si>
  <si>
    <t>99070101013</t>
  </si>
  <si>
    <t>BLOOD ANGELS UPGRADES</t>
  </si>
  <si>
    <t>5011921060153</t>
  </si>
  <si>
    <t>44-01-60</t>
  </si>
  <si>
    <t>60030101039</t>
  </si>
  <si>
    <t>CODEX: DARK ANGELS (HB) (ENGLISH)</t>
  </si>
  <si>
    <t>9781788260558</t>
  </si>
  <si>
    <t>44-02-60</t>
  </si>
  <si>
    <t>60220101010</t>
  </si>
  <si>
    <t>DATACARDS: DARK ANGELS (ENGLISH)</t>
  </si>
  <si>
    <t>5011921095902</t>
  </si>
  <si>
    <t>44-10</t>
  </si>
  <si>
    <t>99120101096</t>
  </si>
  <si>
    <t>DEATHWING COMMAND SQUAD</t>
  </si>
  <si>
    <t>5011921031627</t>
  </si>
  <si>
    <t>44-11</t>
  </si>
  <si>
    <t>99120101238</t>
  </si>
  <si>
    <t>DARK ANGELS RAVENWING COMMAND SQUAD</t>
  </si>
  <si>
    <t>5011921094257</t>
  </si>
  <si>
    <t>44-75</t>
  </si>
  <si>
    <t>99070101036</t>
  </si>
  <si>
    <t>DARK ANGELS PRIMARIS UPGRADES</t>
  </si>
  <si>
    <t>5011921094943</t>
  </si>
  <si>
    <t>44-80</t>
  </si>
  <si>
    <t>99070101014</t>
  </si>
  <si>
    <t>DARK ANGELS UPGRADES</t>
  </si>
  <si>
    <t>5011921060160</t>
  </si>
  <si>
    <t>48-01</t>
  </si>
  <si>
    <t>60030101041</t>
  </si>
  <si>
    <t>CODEX: SPACE MARINES (HB) (ENGLISH)</t>
  </si>
  <si>
    <t>9781788266307</t>
  </si>
  <si>
    <t>48-02-60</t>
  </si>
  <si>
    <t>60220101013</t>
  </si>
  <si>
    <t>DATACARDS: SPACE MARINES (ENGLISH)</t>
  </si>
  <si>
    <t>5011921125043</t>
  </si>
  <si>
    <t>48-07</t>
  </si>
  <si>
    <t>99120101216</t>
  </si>
  <si>
    <t>SPACE MARINE TACTICAL SQUAD</t>
  </si>
  <si>
    <t>5011921091614</t>
  </si>
  <si>
    <t>48-09</t>
  </si>
  <si>
    <t>99120101212</t>
  </si>
  <si>
    <t>SPACE MARINE ASSAULT SQUAD</t>
  </si>
  <si>
    <t>5011921091577</t>
  </si>
  <si>
    <t>48-10</t>
  </si>
  <si>
    <t>99120101027</t>
  </si>
  <si>
    <t>SPACE MARINE TERMINATOR SQUAD</t>
  </si>
  <si>
    <t>5011921923175</t>
  </si>
  <si>
    <t>48-100</t>
  </si>
  <si>
    <t>99120101254</t>
  </si>
  <si>
    <t>ULTRAMARINES CHIEF LIBRARIAN TIGURIUS</t>
  </si>
  <si>
    <t>5011921119776</t>
  </si>
  <si>
    <t>48-11</t>
  </si>
  <si>
    <t>99120101215</t>
  </si>
  <si>
    <t>SPACE MARINE BIKE SQUAD</t>
  </si>
  <si>
    <t>5011921091607</t>
  </si>
  <si>
    <t>48-13</t>
  </si>
  <si>
    <t>99120101071</t>
  </si>
  <si>
    <t>SPACE MARINE LAND SPEEDER</t>
  </si>
  <si>
    <t>5011921010585</t>
  </si>
  <si>
    <t>48-15</t>
  </si>
  <si>
    <t>99120101231</t>
  </si>
  <si>
    <t>SPACE MARINE DEVASTATOR SQUAD</t>
  </si>
  <si>
    <t>5011921092345</t>
  </si>
  <si>
    <t>48-16</t>
  </si>
  <si>
    <t>99120101249</t>
  </si>
  <si>
    <t>SPACE MARINES SCOUTS</t>
  </si>
  <si>
    <t>5011921112180</t>
  </si>
  <si>
    <t>48-17</t>
  </si>
  <si>
    <t>99120101028</t>
  </si>
  <si>
    <t>SPACE MARINE COMMAND SQUAD</t>
  </si>
  <si>
    <t>5011921923168</t>
  </si>
  <si>
    <t>48-18</t>
  </si>
  <si>
    <t>99120101134</t>
  </si>
  <si>
    <t>SPACE MARINE VANGUARD VETERAN SQUAD</t>
  </si>
  <si>
    <t>5011921064793</t>
  </si>
  <si>
    <t>48-19</t>
  </si>
  <si>
    <t>99120101232</t>
  </si>
  <si>
    <t>SPACE MARINE STERNGUARD VETERAN SQUAD</t>
  </si>
  <si>
    <t>5011921092352</t>
  </si>
  <si>
    <t>48-20</t>
  </si>
  <si>
    <t>99120101030</t>
  </si>
  <si>
    <t>SPACE MARINE ATTACK BIKE</t>
  </si>
  <si>
    <t>5011921922260</t>
  </si>
  <si>
    <t>48-21</t>
  </si>
  <si>
    <t>99120101245</t>
  </si>
  <si>
    <t>SPACE MARINES RAZORBACK</t>
  </si>
  <si>
    <t>5011921112159</t>
  </si>
  <si>
    <t>48-23</t>
  </si>
  <si>
    <t>99120101247</t>
  </si>
  <si>
    <t>SPACE MARINES PREDATOR</t>
  </si>
  <si>
    <t>5011921112173</t>
  </si>
  <si>
    <t>48-24</t>
  </si>
  <si>
    <t>99120101211</t>
  </si>
  <si>
    <t>SPACE MARINE CENTURION DEVASTATOR SQUAD</t>
  </si>
  <si>
    <t>5011921091560</t>
  </si>
  <si>
    <t>48-25</t>
  </si>
  <si>
    <t>99120101058</t>
  </si>
  <si>
    <t>SPACE MARINE VINDICATOR</t>
  </si>
  <si>
    <t>5011921903399</t>
  </si>
  <si>
    <t>48-29</t>
  </si>
  <si>
    <t>99120101248</t>
  </si>
  <si>
    <t>SPACE MARINES SCOUTS WITH SNIPER RIFLES</t>
  </si>
  <si>
    <t>5011921112197</t>
  </si>
  <si>
    <t>48-30</t>
  </si>
  <si>
    <t>99120101229</t>
  </si>
  <si>
    <t>S/MARINE LAND RAIDER CRUSADER/REDEEMER</t>
  </si>
  <si>
    <t>5011921092215</t>
  </si>
  <si>
    <t>48-32</t>
  </si>
  <si>
    <t>99120101083</t>
  </si>
  <si>
    <t>SPACE MARINE VENERABLE DREADNOUGHT</t>
  </si>
  <si>
    <t>5011921018376</t>
  </si>
  <si>
    <t>48-34</t>
  </si>
  <si>
    <t>99120101037</t>
  </si>
  <si>
    <t>S/MARINE TERMINATOR CLOSE COMBAT SQUAD</t>
  </si>
  <si>
    <t>5011921914364</t>
  </si>
  <si>
    <t>48-35</t>
  </si>
  <si>
    <t>99120101075</t>
  </si>
  <si>
    <t>SPACE MARINE LAND SPEEDER STORM</t>
  </si>
  <si>
    <t>5011921015979</t>
  </si>
  <si>
    <t>48-38</t>
  </si>
  <si>
    <t>99070101002</t>
  </si>
  <si>
    <t>SPACE MARINE LIBRARIAN</t>
  </si>
  <si>
    <t>5011921048335</t>
  </si>
  <si>
    <t>48-40</t>
  </si>
  <si>
    <t>99120101243</t>
  </si>
  <si>
    <t>MARNEUS CALGAR: U/MARINES CHAPTER MASTER</t>
  </si>
  <si>
    <t>5011921110704</t>
  </si>
  <si>
    <t>48-42</t>
  </si>
  <si>
    <t>99120101213</t>
  </si>
  <si>
    <t>SPACE MARINE STORMHAWK INTERCEPTOR</t>
  </si>
  <si>
    <t>5011921091584</t>
  </si>
  <si>
    <t>48-46</t>
  </si>
  <si>
    <t>99120101076</t>
  </si>
  <si>
    <t>SPACE MARINE IRONCLAD DREADNOUGHT</t>
  </si>
  <si>
    <t>5011921015986</t>
  </si>
  <si>
    <t>48-51</t>
  </si>
  <si>
    <t>99120101154</t>
  </si>
  <si>
    <t>SPACE MARINE COMPANY COMMAND</t>
  </si>
  <si>
    <t>5011921073535</t>
  </si>
  <si>
    <t>48-54</t>
  </si>
  <si>
    <t>99070101040</t>
  </si>
  <si>
    <t>WHITE SCAR PRIMARIS UPGRADES &amp; TRANSFERS</t>
  </si>
  <si>
    <t>5011921118618</t>
  </si>
  <si>
    <t>48-55</t>
  </si>
  <si>
    <t>99120101250</t>
  </si>
  <si>
    <t>S/MARINES PRIMARIS REPULSOR EXECUTIONER</t>
  </si>
  <si>
    <t>5011921117758</t>
  </si>
  <si>
    <t>48-56</t>
  </si>
  <si>
    <t>99070101041</t>
  </si>
  <si>
    <t>RAVEN GUARD PRIMARIS UPGRADES &amp; TRANSFRS</t>
  </si>
  <si>
    <t>5011921118625</t>
  </si>
  <si>
    <t>48-57</t>
  </si>
  <si>
    <t>99070101042</t>
  </si>
  <si>
    <t>IRON HANDS PRIMARIS UPGRADES &amp; TRANSFERS</t>
  </si>
  <si>
    <t>5011921118632</t>
  </si>
  <si>
    <t>48-58</t>
  </si>
  <si>
    <t>99070101043</t>
  </si>
  <si>
    <t>IMPERIAL FISTS PRIMARIS UPGRADES &amp; TRNFS</t>
  </si>
  <si>
    <t>5011921118649</t>
  </si>
  <si>
    <t>48-59</t>
  </si>
  <si>
    <t>99070101044</t>
  </si>
  <si>
    <t>SALAMANDERS PRIMARIS UPGRADES &amp; TRANSFRS</t>
  </si>
  <si>
    <t>5011921118656</t>
  </si>
  <si>
    <t>48-60</t>
  </si>
  <si>
    <t>99120101178</t>
  </si>
  <si>
    <t>SPACE MARINES PRIMARIS APOTHECARY</t>
  </si>
  <si>
    <t>5011921085293</t>
  </si>
  <si>
    <t>48-61</t>
  </si>
  <si>
    <t>99120101179</t>
  </si>
  <si>
    <t>SPACE MARINES PRIMARIS CAPTAIN</t>
  </si>
  <si>
    <t>5011921085286</t>
  </si>
  <si>
    <t>48-62</t>
  </si>
  <si>
    <t>99120101180</t>
  </si>
  <si>
    <t>SPACE MARINES PRIMARIS CHAPLAIN</t>
  </si>
  <si>
    <t>5011921085279</t>
  </si>
  <si>
    <t>48-63</t>
  </si>
  <si>
    <t>99120101181</t>
  </si>
  <si>
    <t>SPACE MARINES PRIMARIS LIBRARIAN</t>
  </si>
  <si>
    <t>5011921085262</t>
  </si>
  <si>
    <t>48-64</t>
  </si>
  <si>
    <t>99070101045</t>
  </si>
  <si>
    <t>PRIMARIS LIEUTENANT IN PHOBOS ARMOUR</t>
  </si>
  <si>
    <t>5011921118861</t>
  </si>
  <si>
    <t>48-65</t>
  </si>
  <si>
    <t>99120101182</t>
  </si>
  <si>
    <t>EASY TO BUILD S/M PRIMARIS INTERCESSORS</t>
  </si>
  <si>
    <t>5011921085309</t>
  </si>
  <si>
    <t>48-66</t>
  </si>
  <si>
    <t>99120101183</t>
  </si>
  <si>
    <t>EASY TO BUILD S/MARINES PRIMARIS REIVERS</t>
  </si>
  <si>
    <t>5011921085316</t>
  </si>
  <si>
    <t>48-67</t>
  </si>
  <si>
    <t>99070101046</t>
  </si>
  <si>
    <t>PRIMARIS LIBRARIAN IN PHOBOS ARMOUR</t>
  </si>
  <si>
    <t>5011921118878</t>
  </si>
  <si>
    <t>48-68</t>
  </si>
  <si>
    <t>99070101047</t>
  </si>
  <si>
    <t>PRIMARIS CAPTAIN IN PHOBOS ARMOUR</t>
  </si>
  <si>
    <t>5011921118885</t>
  </si>
  <si>
    <t>48-77</t>
  </si>
  <si>
    <t>99120101191</t>
  </si>
  <si>
    <t>S/M PRIMARIS REDEMPTOR DREADNOUGHT</t>
  </si>
  <si>
    <t>5011921086207</t>
  </si>
  <si>
    <t>48-78</t>
  </si>
  <si>
    <t>99120101192</t>
  </si>
  <si>
    <t>SPACE MARINES PRIMARIS REPULSOR</t>
  </si>
  <si>
    <t>5011921086238</t>
  </si>
  <si>
    <t>48-79</t>
  </si>
  <si>
    <t>99120101193</t>
  </si>
  <si>
    <t>SPACE MARINES PRIMARIS INCEPTORS</t>
  </si>
  <si>
    <t>5011921086771</t>
  </si>
  <si>
    <t>48-80</t>
  </si>
  <si>
    <t>99070101015</t>
  </si>
  <si>
    <t>ULTRAMARINES UPGRADES</t>
  </si>
  <si>
    <t>5011921060177</t>
  </si>
  <si>
    <t>48-81</t>
  </si>
  <si>
    <t>99070101024</t>
  </si>
  <si>
    <t>S/M ULTRAMARINES PRIMARIS UPGRADES</t>
  </si>
  <si>
    <t>5011921086221</t>
  </si>
  <si>
    <t>48-82</t>
  </si>
  <si>
    <t>99120101198</t>
  </si>
  <si>
    <t>SPACE MARINES ROBOUTE GUILLIMAN</t>
  </si>
  <si>
    <t>5011921088652</t>
  </si>
  <si>
    <t>48-86</t>
  </si>
  <si>
    <t>99120101208</t>
  </si>
  <si>
    <t>EASY TO BUILD S/M PRIMARIS AGGRESSORS</t>
  </si>
  <si>
    <t>5011921091225</t>
  </si>
  <si>
    <t>48-87</t>
  </si>
  <si>
    <t>99120101209</t>
  </si>
  <si>
    <t>ETB PRIMARIS REDEMPTOR DREADNOUGHT</t>
  </si>
  <si>
    <t>5011921091232</t>
  </si>
  <si>
    <t>48-88</t>
  </si>
  <si>
    <t>99120101255</t>
  </si>
  <si>
    <t>WHITE SCARS KOR'SARRO KHAN</t>
  </si>
  <si>
    <t>5011921119868</t>
  </si>
  <si>
    <t>48-89</t>
  </si>
  <si>
    <t>99120101256</t>
  </si>
  <si>
    <t>RAVEN GUARD KAYVAAN SHRIKE</t>
  </si>
  <si>
    <t>5011921119875</t>
  </si>
  <si>
    <t>48-90</t>
  </si>
  <si>
    <t>99120101257</t>
  </si>
  <si>
    <t>IRON HANDS FEIRROS</t>
  </si>
  <si>
    <t>5011921119882</t>
  </si>
  <si>
    <t>48-91</t>
  </si>
  <si>
    <t>99120101258</t>
  </si>
  <si>
    <t>IMPERIAL FISTS TOR GARADON</t>
  </si>
  <si>
    <t>5011921119899</t>
  </si>
  <si>
    <t>48-92</t>
  </si>
  <si>
    <t>99120101259</t>
  </si>
  <si>
    <t>SALAMANDERS ADRAX AGATONE</t>
  </si>
  <si>
    <t>5011921119905</t>
  </si>
  <si>
    <t>48-98</t>
  </si>
  <si>
    <t>99120101264</t>
  </si>
  <si>
    <t>S/M PRIMARIS INVICTOR TACTICAL WARSUIT</t>
  </si>
  <si>
    <t>5011921121410</t>
  </si>
  <si>
    <t>53-02-60</t>
  </si>
  <si>
    <t>60220101011</t>
  </si>
  <si>
    <t>DATACARDS: SPACE WOLVES (ENGLISH)</t>
  </si>
  <si>
    <t>5011921095957</t>
  </si>
  <si>
    <t>53-42-60</t>
  </si>
  <si>
    <t>60220101014</t>
  </si>
  <si>
    <t>DATACARDS: ULTRAMARINES (ENGLISH)</t>
  </si>
  <si>
    <t>5011921125081</t>
  </si>
  <si>
    <t>53-43-60</t>
  </si>
  <si>
    <t>60220101015</t>
  </si>
  <si>
    <t>DATACARDS: WHITE SCARS (ENGLISH)</t>
  </si>
  <si>
    <t>5011921125135</t>
  </si>
  <si>
    <t>53-45-60</t>
  </si>
  <si>
    <t>60220101017</t>
  </si>
  <si>
    <t>DATACARDS: RAVEN GUARD (ENGLISH)</t>
  </si>
  <si>
    <t>5011921125951</t>
  </si>
  <si>
    <t>53-46-60</t>
  </si>
  <si>
    <t>60220101018</t>
  </si>
  <si>
    <t>DATACARDS: IRON HANDS (ENGLISH)</t>
  </si>
  <si>
    <t>5011921126002</t>
  </si>
  <si>
    <t>53-48</t>
  </si>
  <si>
    <t>60220101019</t>
  </si>
  <si>
    <t>DATACARDS: IMPERIAL FISTS (ENGLISH)</t>
  </si>
  <si>
    <t>5011921126781</t>
  </si>
  <si>
    <t>53-50</t>
  </si>
  <si>
    <t>60220101020</t>
  </si>
  <si>
    <t>DATACARDS: SALAMANDERS (ENGLISH)</t>
  </si>
  <si>
    <t>5011921126910</t>
  </si>
  <si>
    <t>55-02</t>
  </si>
  <si>
    <t>60030101042</t>
  </si>
  <si>
    <t>CODEX: ULTRAMARINES (HB) (ENGLISH)</t>
  </si>
  <si>
    <t>9781788266376</t>
  </si>
  <si>
    <t>55-03</t>
  </si>
  <si>
    <t>60030101043</t>
  </si>
  <si>
    <t>CODEX: WHITE SCARS (HB) (ENGLISH)</t>
  </si>
  <si>
    <t>9781788266444</t>
  </si>
  <si>
    <t>55-04</t>
  </si>
  <si>
    <t>60030101045</t>
  </si>
  <si>
    <t>CODEX: RAVEN GUARD (HB) (ENGLISH)</t>
  </si>
  <si>
    <t>9781788266512</t>
  </si>
  <si>
    <t>55-05</t>
  </si>
  <si>
    <t>60030101046</t>
  </si>
  <si>
    <t>CODEX: IRON HANDS (HB) (ENGLISH)</t>
  </si>
  <si>
    <t>9781788266581</t>
  </si>
  <si>
    <t>55-06</t>
  </si>
  <si>
    <t>60030101047</t>
  </si>
  <si>
    <t>CODEX: IMPERIAL FISTS (ENGLISH)</t>
  </si>
  <si>
    <t>9781788266727</t>
  </si>
  <si>
    <t>55-07</t>
  </si>
  <si>
    <t>60030101048</t>
  </si>
  <si>
    <t>CODEX: SALAMANDERS (ENGLISH)</t>
  </si>
  <si>
    <t>9781788266796</t>
  </si>
  <si>
    <t>60-11-15</t>
  </si>
  <si>
    <t>99170101011</t>
  </si>
  <si>
    <t>S/M INT. PAINT SET+ JPN/SIM+TRA CHINESE</t>
  </si>
  <si>
    <t>5011921112692</t>
  </si>
  <si>
    <t>60-11-60</t>
  </si>
  <si>
    <t>99170101008</t>
  </si>
  <si>
    <t>S/M INT PAINT SET+ ENG/SPA/PORT/LATV/ROM</t>
  </si>
  <si>
    <t>5011921112661</t>
  </si>
  <si>
    <t>70-41</t>
  </si>
  <si>
    <t>99120101194</t>
  </si>
  <si>
    <t>START COLLECTING! BLOOD ANGELS</t>
  </si>
  <si>
    <t>5011921088423</t>
  </si>
  <si>
    <t>70-42</t>
  </si>
  <si>
    <t>99120101265</t>
  </si>
  <si>
    <t>START COLLECTING! VANGUARD SPACE MARINES</t>
  </si>
  <si>
    <t>5011921125289</t>
  </si>
  <si>
    <t>70-48</t>
  </si>
  <si>
    <t>99120101195</t>
  </si>
  <si>
    <t>START COLLECTING! SPACE MARINES</t>
  </si>
  <si>
    <t>5011921088508</t>
  </si>
  <si>
    <t>71-48</t>
  </si>
  <si>
    <t>99120101268</t>
  </si>
  <si>
    <t>SPACE WOLVES: TALONS OF MORKAI</t>
  </si>
  <si>
    <t>5011921127078</t>
  </si>
  <si>
    <t>71-53</t>
  </si>
  <si>
    <t>99120101261</t>
  </si>
  <si>
    <t>BLOOD ANGELS CRIMSON SPEAR STRIKE FORCE</t>
  </si>
  <si>
    <t>5011921120604</t>
  </si>
  <si>
    <t>35-34</t>
  </si>
  <si>
    <t>99120102094</t>
  </si>
  <si>
    <t>ETB: CHAOS SPACE MARINES CHAOS CULTISTS</t>
  </si>
  <si>
    <t>Chaos Space Marines</t>
  </si>
  <si>
    <t>5011921111282</t>
  </si>
  <si>
    <t>43-01-60</t>
  </si>
  <si>
    <t>60030102020</t>
  </si>
  <si>
    <t>CODEX: CHAOS SPACE MARINES 2 (ENGLISH)</t>
  </si>
  <si>
    <t>9781788264679</t>
  </si>
  <si>
    <t>43-02-60</t>
  </si>
  <si>
    <t>60220102007</t>
  </si>
  <si>
    <t>DATACARDS: CHAOS SPACE MARINES 2 (ENG)</t>
  </si>
  <si>
    <t>5011921114214</t>
  </si>
  <si>
    <t>43-03-60</t>
  </si>
  <si>
    <t>60030102017</t>
  </si>
  <si>
    <t>CODEX: DEATH GUARD (HB) (ENGLISH)</t>
  </si>
  <si>
    <t>9781788260053</t>
  </si>
  <si>
    <t>43-04-60</t>
  </si>
  <si>
    <t>60220102005</t>
  </si>
  <si>
    <t>DATACARDS: DEATH GUARD (ENGLISH)</t>
  </si>
  <si>
    <t>5011921089260</t>
  </si>
  <si>
    <t>43-05-60</t>
  </si>
  <si>
    <t>60220102008</t>
  </si>
  <si>
    <t>DATACARDS: CHAOS KNIGHTS (ENGLISH)</t>
  </si>
  <si>
    <t>5011921122172</t>
  </si>
  <si>
    <t>43-06</t>
  </si>
  <si>
    <t>99120102098</t>
  </si>
  <si>
    <t>CHAOS SPACE MARINES</t>
  </si>
  <si>
    <t>5011921114474</t>
  </si>
  <si>
    <t>43-08</t>
  </si>
  <si>
    <t>99120102091</t>
  </si>
  <si>
    <t>CHAOS SPACE MARINES BIKERS</t>
  </si>
  <si>
    <t>5011921111121</t>
  </si>
  <si>
    <t>43-09-60</t>
  </si>
  <si>
    <t>60030102019</t>
  </si>
  <si>
    <t>CODEX: THOUSAND SONS (HB) (ENG)</t>
  </si>
  <si>
    <t>9781788261418</t>
  </si>
  <si>
    <t>43-10</t>
  </si>
  <si>
    <t>99120102005</t>
  </si>
  <si>
    <t>KHORNE BERZERKERS</t>
  </si>
  <si>
    <t>5011921964567</t>
  </si>
  <si>
    <t>43-11</t>
  </si>
  <si>
    <t>99120102092</t>
  </si>
  <si>
    <t>CHAOS SPACE MARINES RHINO</t>
  </si>
  <si>
    <t>5011921111138</t>
  </si>
  <si>
    <t>43-12</t>
  </si>
  <si>
    <t>99120102093</t>
  </si>
  <si>
    <t>CHAOS SPACE MARINES CHAOS LORD</t>
  </si>
  <si>
    <t>5011921111152</t>
  </si>
  <si>
    <t>43-13</t>
  </si>
  <si>
    <t>99120102087</t>
  </si>
  <si>
    <t>CHAOS SPACE MARINE RAPTORS</t>
  </si>
  <si>
    <t>5011921108213</t>
  </si>
  <si>
    <t>43-14</t>
  </si>
  <si>
    <t>99120102089</t>
  </si>
  <si>
    <t>CHAOS SPACE MARINES FORGEFIEND</t>
  </si>
  <si>
    <t>5011921111091</t>
  </si>
  <si>
    <t>43-15</t>
  </si>
  <si>
    <t>99120102090</t>
  </si>
  <si>
    <t>CHAOS SPACE MARINES HELDRAKE</t>
  </si>
  <si>
    <t>5011921111107</t>
  </si>
  <si>
    <t>43-18-60</t>
  </si>
  <si>
    <t>60030102021</t>
  </si>
  <si>
    <t>CODEX: CHAOS KNIGHTS (HB) (ENGLISH)</t>
  </si>
  <si>
    <t>9781788266123</t>
  </si>
  <si>
    <t>43-19</t>
  </si>
  <si>
    <t>99120102097</t>
  </si>
  <si>
    <t>CHAOS SPACE MARINE TERMINATORS</t>
  </si>
  <si>
    <t>5011921114467</t>
  </si>
  <si>
    <t>43-21-60</t>
  </si>
  <si>
    <t>60220102006</t>
  </si>
  <si>
    <t>DATACARDS: THOUSAND SONS (ENGLISH)</t>
  </si>
  <si>
    <t>5011921098200</t>
  </si>
  <si>
    <t>43-23</t>
  </si>
  <si>
    <t>99120102088</t>
  </si>
  <si>
    <t>CHAOS S/M: HAARKEN WORLDCLAIMER</t>
  </si>
  <si>
    <t>5011921111084</t>
  </si>
  <si>
    <t>43-24</t>
  </si>
  <si>
    <t>99070102005</t>
  </si>
  <si>
    <t>DEATH GUARD BIOLOGUS PUTRIFIER</t>
  </si>
  <si>
    <t>5011921087624</t>
  </si>
  <si>
    <t>43-25</t>
  </si>
  <si>
    <t>99120102060</t>
  </si>
  <si>
    <t>KHARN THE BETRAYER</t>
  </si>
  <si>
    <t>5011921078455</t>
  </si>
  <si>
    <t>43-27</t>
  </si>
  <si>
    <t>99120102056</t>
  </si>
  <si>
    <t>CHAOS SPACE MARINES POSSESSED</t>
  </si>
  <si>
    <t>5011921064748</t>
  </si>
  <si>
    <t>43-29</t>
  </si>
  <si>
    <t>99070102004</t>
  </si>
  <si>
    <t>DEATH GUARD NAUSEOUS ROTBONE</t>
  </si>
  <si>
    <t>5011921087617</t>
  </si>
  <si>
    <t>43-30</t>
  </si>
  <si>
    <t>99120102070</t>
  </si>
  <si>
    <t>EASY TO BUILD DEATH GUARD PLAGUE MARINES</t>
  </si>
  <si>
    <t>5011921085323</t>
  </si>
  <si>
    <t>43-34</t>
  </si>
  <si>
    <t>99120102065</t>
  </si>
  <si>
    <t>THOUSAND SONS MAGNUS THE RED</t>
  </si>
  <si>
    <t>5011921079513</t>
  </si>
  <si>
    <t>43-35</t>
  </si>
  <si>
    <t>99120102063</t>
  </si>
  <si>
    <t>THOUSAND SONS RUBRIC MARINES</t>
  </si>
  <si>
    <t>5011921079391</t>
  </si>
  <si>
    <t>43-36</t>
  </si>
  <si>
    <t>99120102066</t>
  </si>
  <si>
    <t>THOUSAND SONS SCARAB OCCULT TERMINATORS</t>
  </si>
  <si>
    <t>5011921079735</t>
  </si>
  <si>
    <t>43-37</t>
  </si>
  <si>
    <t>99120102099</t>
  </si>
  <si>
    <t>CHAOS SPACE MARINES DARK APOSTLE</t>
  </si>
  <si>
    <t>5011921114481</t>
  </si>
  <si>
    <t>43-38</t>
  </si>
  <si>
    <t>99120102064</t>
  </si>
  <si>
    <t>AHRIMAN ARCH-SORCERER OF TZEENTCH</t>
  </si>
  <si>
    <t>5011921079506</t>
  </si>
  <si>
    <t>43-39</t>
  </si>
  <si>
    <t>99120102067</t>
  </si>
  <si>
    <t>THOUSAND SONS EXALTED SORCERERS</t>
  </si>
  <si>
    <t>5011921079742</t>
  </si>
  <si>
    <t>43-41</t>
  </si>
  <si>
    <t>99120102071</t>
  </si>
  <si>
    <t>EASY TO BUILD DEATH GUARD POXWALKERS</t>
  </si>
  <si>
    <t>5011921085330</t>
  </si>
  <si>
    <t>43-44</t>
  </si>
  <si>
    <t>99070102013</t>
  </si>
  <si>
    <t>CHAOS SPACE MARINES MASTER OF EXECUTIONS</t>
  </si>
  <si>
    <t>5011921113293</t>
  </si>
  <si>
    <t>43-45</t>
  </si>
  <si>
    <t>99070102003</t>
  </si>
  <si>
    <t>DEATH GUARD SCRIBBUS WRETCH THE TALLYMAN</t>
  </si>
  <si>
    <t>5011921087600</t>
  </si>
  <si>
    <t>43-46</t>
  </si>
  <si>
    <t>99070102002</t>
  </si>
  <si>
    <t>DEATH GUARD FOUL BLIGHTSPAWN</t>
  </si>
  <si>
    <t>5011921080755</t>
  </si>
  <si>
    <t>43-47</t>
  </si>
  <si>
    <t>99070102006</t>
  </si>
  <si>
    <t>DEATH GUARD PLAGUE MARINE ICON BEARER</t>
  </si>
  <si>
    <t>5011921087631</t>
  </si>
  <si>
    <t>43-48</t>
  </si>
  <si>
    <t>99070102007</t>
  </si>
  <si>
    <t>DEATH GUARD PLAGUE MARINE CHAMPION</t>
  </si>
  <si>
    <t>5011921087648</t>
  </si>
  <si>
    <t>43-49</t>
  </si>
  <si>
    <t>99120102072</t>
  </si>
  <si>
    <t>MORTARION: DAEMON PRIMARCH OF NURGLE</t>
  </si>
  <si>
    <t>5011921087655</t>
  </si>
  <si>
    <t>43-50</t>
  </si>
  <si>
    <t>99120102073</t>
  </si>
  <si>
    <t>DEATH GUARD DEATHSHROUD BODYGUARD</t>
  </si>
  <si>
    <t>5011921087662</t>
  </si>
  <si>
    <t>43-51</t>
  </si>
  <si>
    <t>99120102074</t>
  </si>
  <si>
    <t>DEATH GUARD BLIGHTLORD TERMINATORS</t>
  </si>
  <si>
    <t>5011921087679</t>
  </si>
  <si>
    <t>43-52</t>
  </si>
  <si>
    <t>99120102075</t>
  </si>
  <si>
    <t>DEATH GUARD PLAGUEBURST CRAWLER</t>
  </si>
  <si>
    <t>5011921087686</t>
  </si>
  <si>
    <t>43-53</t>
  </si>
  <si>
    <t>99120102076</t>
  </si>
  <si>
    <t>TYPHUS: HERALD OF THE PLAGUE GOD</t>
  </si>
  <si>
    <t>5011921087693</t>
  </si>
  <si>
    <t>43-54</t>
  </si>
  <si>
    <t>99120102077</t>
  </si>
  <si>
    <t>DEATH GUARD FOETID BLOAT-DRONE</t>
  </si>
  <si>
    <t>5011921087945</t>
  </si>
  <si>
    <t>43-55</t>
  </si>
  <si>
    <t>99120102078</t>
  </si>
  <si>
    <t>DEATH GUARD PLAGUE MARINES</t>
  </si>
  <si>
    <t>5011921087952</t>
  </si>
  <si>
    <t>43-56</t>
  </si>
  <si>
    <t>99120102080</t>
  </si>
  <si>
    <t>ETB DEATH GUARD MYPHITIC BLIGHT-HAULER</t>
  </si>
  <si>
    <t>5011921091249</t>
  </si>
  <si>
    <t>43-57</t>
  </si>
  <si>
    <t>99120102081</t>
  </si>
  <si>
    <t>ETB LORD FELTHIUS &amp; THE TAINTED COHORT</t>
  </si>
  <si>
    <t>5011921091256</t>
  </si>
  <si>
    <t>43-58</t>
  </si>
  <si>
    <t>99120102086</t>
  </si>
  <si>
    <t>CHAOS SPACE MARINES NOISE MARINE</t>
  </si>
  <si>
    <t>5011921107865</t>
  </si>
  <si>
    <t>43-59</t>
  </si>
  <si>
    <t>99120102100</t>
  </si>
  <si>
    <t>CHAOS SPACE MARINES VEX MACHINATOR</t>
  </si>
  <si>
    <t>5011921114443</t>
  </si>
  <si>
    <t>43-60</t>
  </si>
  <si>
    <t>99120102101</t>
  </si>
  <si>
    <t>CHAOS S/MARINES ABADDON THE DESPOILER</t>
  </si>
  <si>
    <t>5011921116744</t>
  </si>
  <si>
    <t>43-61</t>
  </si>
  <si>
    <t>99120102096</t>
  </si>
  <si>
    <t>CHAOS SPACE MARINES HAVOCS</t>
  </si>
  <si>
    <t>5011921114450</t>
  </si>
  <si>
    <t>43-62</t>
  </si>
  <si>
    <t>99070102014</t>
  </si>
  <si>
    <t>CHAOS SPACE MARINES CHAOS LORD (B/S F)</t>
  </si>
  <si>
    <t>5011921116690</t>
  </si>
  <si>
    <t>43-66</t>
  </si>
  <si>
    <t>99120102105</t>
  </si>
  <si>
    <t>CHAOS KNIGHTS: KNIGHT DESECRATOR</t>
  </si>
  <si>
    <t>5011921117888</t>
  </si>
  <si>
    <t>43-69</t>
  </si>
  <si>
    <t>99070102015</t>
  </si>
  <si>
    <t>CHAOS SPACE MARINES SORCERER</t>
  </si>
  <si>
    <t>5011921127092</t>
  </si>
  <si>
    <t>43-70</t>
  </si>
  <si>
    <t>99120102106</t>
  </si>
  <si>
    <t>CHAOS SPACE MARINES NOCTILITH CROWN</t>
  </si>
  <si>
    <t>5011921117949</t>
  </si>
  <si>
    <t>60-27-15</t>
  </si>
  <si>
    <t>99170102005</t>
  </si>
  <si>
    <t>D/GUARD PAINT SET+ JPN/SIMP+TRAD CHINESE</t>
  </si>
  <si>
    <t>5011921112739</t>
  </si>
  <si>
    <t>60-27-60</t>
  </si>
  <si>
    <t>99170102002</t>
  </si>
  <si>
    <t>D/GUARD PAINT SET+ ENG/SPA/PORT/LATV/ROM</t>
  </si>
  <si>
    <t>5011921112708</t>
  </si>
  <si>
    <t>70-40</t>
  </si>
  <si>
    <t>99120102108</t>
  </si>
  <si>
    <t>START COLLECTING! CHAOS SPACE MARINES</t>
  </si>
  <si>
    <t>5011921125296</t>
  </si>
  <si>
    <t>70-55</t>
  </si>
  <si>
    <t>99120102095</t>
  </si>
  <si>
    <t>START COLLECTING! THOUSAND SONS</t>
  </si>
  <si>
    <t>5011921113224</t>
  </si>
  <si>
    <t>71-88</t>
  </si>
  <si>
    <t>99120102107</t>
  </si>
  <si>
    <t>CHAOS SPACE MARINES VENGEANCE WARBAND</t>
  </si>
  <si>
    <t>5011921121601</t>
  </si>
  <si>
    <t>50-02-60</t>
  </si>
  <si>
    <t>60220103002</t>
  </si>
  <si>
    <t>DATACARDS: ORKS (ENGLISH)</t>
  </si>
  <si>
    <t>5011921101252</t>
  </si>
  <si>
    <t>50-07</t>
  </si>
  <si>
    <t>99120103057</t>
  </si>
  <si>
    <t>ORK WARBIKER MOB</t>
  </si>
  <si>
    <t>5011921096183</t>
  </si>
  <si>
    <t>50-08</t>
  </si>
  <si>
    <t>99120103035</t>
  </si>
  <si>
    <t>ORK MEGANOBZ</t>
  </si>
  <si>
    <t>5011921050802</t>
  </si>
  <si>
    <t>50-13</t>
  </si>
  <si>
    <t>99120103056</t>
  </si>
  <si>
    <t>ORK STORMBOYZ</t>
  </si>
  <si>
    <t>5011921096176</t>
  </si>
  <si>
    <t>50-28</t>
  </si>
  <si>
    <t>99120103061</t>
  </si>
  <si>
    <t>ORKS MEKBOY WORKSHOP</t>
  </si>
  <si>
    <t>5011921105151</t>
  </si>
  <si>
    <t>46-01-60</t>
  </si>
  <si>
    <t>60030104011</t>
  </si>
  <si>
    <t>CODEX: CRAFTWORLDS (HB) (ENGLISH)</t>
  </si>
  <si>
    <t>9781788260336</t>
  </si>
  <si>
    <t>46-02-60</t>
  </si>
  <si>
    <t>60220104003</t>
  </si>
  <si>
    <t>DATACARDS: CRAFTWORLDS (ENGLISH)</t>
  </si>
  <si>
    <t>5011921093014</t>
  </si>
  <si>
    <t>46-05</t>
  </si>
  <si>
    <t>99070104004</t>
  </si>
  <si>
    <t>CRAFTWORLDS FARSEER</t>
  </si>
  <si>
    <t>5011921087228</t>
  </si>
  <si>
    <t>46-06</t>
  </si>
  <si>
    <t>99120104052</t>
  </si>
  <si>
    <t>CRAFTWORLDS WINDRIDERS</t>
  </si>
  <si>
    <t>5011921087136</t>
  </si>
  <si>
    <t>46-09</t>
  </si>
  <si>
    <t>99120104045</t>
  </si>
  <si>
    <t>CRAFTWORLDS GUARDIANS</t>
  </si>
  <si>
    <t>5011921087068</t>
  </si>
  <si>
    <t>46-13</t>
  </si>
  <si>
    <t>99120104053</t>
  </si>
  <si>
    <t>CRAFTWORLDS WRAITHGUARD</t>
  </si>
  <si>
    <t>5011921087143</t>
  </si>
  <si>
    <t>46-14</t>
  </si>
  <si>
    <t>99120104048</t>
  </si>
  <si>
    <t>CRAFTWORLDS HEMLOCK WRAITHFIGHTER</t>
  </si>
  <si>
    <t>5011921087099</t>
  </si>
  <si>
    <t>46-15</t>
  </si>
  <si>
    <t>99120104044</t>
  </si>
  <si>
    <t>CRAFTWORLDS DIRE AVENGERS</t>
  </si>
  <si>
    <t>5011921087051</t>
  </si>
  <si>
    <t>46-17</t>
  </si>
  <si>
    <t>99120104054</t>
  </si>
  <si>
    <t>CRAFTWORLDS WRAITHLORD</t>
  </si>
  <si>
    <t>5011921087150</t>
  </si>
  <si>
    <t>46-18</t>
  </si>
  <si>
    <t>99120104049</t>
  </si>
  <si>
    <t>CRAFTWORLDS WAR WALKER</t>
  </si>
  <si>
    <t>5011921087105</t>
  </si>
  <si>
    <t>46-19</t>
  </si>
  <si>
    <t>99070104005</t>
  </si>
  <si>
    <t>CRAFTWORLDS SKYRUNNER</t>
  </si>
  <si>
    <t>5011921087235</t>
  </si>
  <si>
    <t>46-21</t>
  </si>
  <si>
    <t>99120104051</t>
  </si>
  <si>
    <t>CRAFTWORLDS WAVE SERPENT</t>
  </si>
  <si>
    <t>5011921087129</t>
  </si>
  <si>
    <t>46-26</t>
  </si>
  <si>
    <t>99120104046</t>
  </si>
  <si>
    <t>CRAFTWORLDS WRAITHKNIGHT</t>
  </si>
  <si>
    <t>5011921087075</t>
  </si>
  <si>
    <t>46-27</t>
  </si>
  <si>
    <t>99120104056</t>
  </si>
  <si>
    <t>YNNARI: TRIUMVIRATE OF YNNEAD</t>
  </si>
  <si>
    <t>5011921088621</t>
  </si>
  <si>
    <t>46-42</t>
  </si>
  <si>
    <t>99810104006</t>
  </si>
  <si>
    <t>ELDAR DARK REAPERS</t>
  </si>
  <si>
    <t>5011921024568</t>
  </si>
  <si>
    <t>95030039</t>
  </si>
  <si>
    <t>46-60</t>
  </si>
  <si>
    <t>99070104006</t>
  </si>
  <si>
    <t>CRAFTWORLDS ELDRAD ULTHRAN</t>
  </si>
  <si>
    <t>5011921088614</t>
  </si>
  <si>
    <t>46-61</t>
  </si>
  <si>
    <t>99070104007</t>
  </si>
  <si>
    <t>CRAFTWORLDS SPIRITSEER</t>
  </si>
  <si>
    <t>5011921114030</t>
  </si>
  <si>
    <t>70-46</t>
  </si>
  <si>
    <t>99120104057</t>
  </si>
  <si>
    <t>START COLLECTING! CRAFTWORLDS</t>
  </si>
  <si>
    <t>5011921089093</t>
  </si>
  <si>
    <t>35-33</t>
  </si>
  <si>
    <t>99120105071</t>
  </si>
  <si>
    <t>EASY TO BUILD ASTRA MILITARUM CADIANS</t>
  </si>
  <si>
    <t>Astra Militarum</t>
  </si>
  <si>
    <t>5011921092390</t>
  </si>
  <si>
    <t>47-01-60</t>
  </si>
  <si>
    <t>60030105011</t>
  </si>
  <si>
    <t>CODEX: ASTRA MILITARUM (HB) (ENGLISH)</t>
  </si>
  <si>
    <t>9781788260282</t>
  </si>
  <si>
    <t>47-02-60</t>
  </si>
  <si>
    <t>60220105003</t>
  </si>
  <si>
    <t>DATACARDS: ASTRA MILITARUM (ENGLISH)</t>
  </si>
  <si>
    <t>5011921090068</t>
  </si>
  <si>
    <t>47-06</t>
  </si>
  <si>
    <t>99120105081</t>
  </si>
  <si>
    <t>ASTRA MILITARUM LEMAN RUSS BATTLE TANK</t>
  </si>
  <si>
    <t>5011921113798</t>
  </si>
  <si>
    <t>47-07</t>
  </si>
  <si>
    <t>99120105046</t>
  </si>
  <si>
    <t>ASTRA MILITARUM CHIMERA</t>
  </si>
  <si>
    <t>5011921018222</t>
  </si>
  <si>
    <t>47-09</t>
  </si>
  <si>
    <t>99120105078</t>
  </si>
  <si>
    <t>ASTRA MILITARUM CADIAN COMMAND SQUAD</t>
  </si>
  <si>
    <t>5011921113743</t>
  </si>
  <si>
    <t>47-10</t>
  </si>
  <si>
    <t>99120105038</t>
  </si>
  <si>
    <t>ASTRA MILITARUM VALKYRIE</t>
  </si>
  <si>
    <t>5011921015412</t>
  </si>
  <si>
    <t>47-11</t>
  </si>
  <si>
    <t>99120105082</t>
  </si>
  <si>
    <t>ASTRA MILITARUM LEMAN RUSS DEMOLISHER</t>
  </si>
  <si>
    <t>5011921113774</t>
  </si>
  <si>
    <t>47-12</t>
  </si>
  <si>
    <t>99120105083</t>
  </si>
  <si>
    <t>ASTRA MILITARUM SENTINEL</t>
  </si>
  <si>
    <t>5011921113767</t>
  </si>
  <si>
    <t>47-14</t>
  </si>
  <si>
    <t>99120105077</t>
  </si>
  <si>
    <t>MILITARUM AUXILLA BULLGRYNS</t>
  </si>
  <si>
    <t>5011921113750</t>
  </si>
  <si>
    <t>47-15</t>
  </si>
  <si>
    <t>99120105075</t>
  </si>
  <si>
    <t>MILITARUM TEMPESTUS SCIONS</t>
  </si>
  <si>
    <t>5011921092437</t>
  </si>
  <si>
    <t>47-17</t>
  </si>
  <si>
    <t>99120105080</t>
  </si>
  <si>
    <t>ASTRA MILITARUM CADIAN INFANTRY SQUAD</t>
  </si>
  <si>
    <t>5011921113804</t>
  </si>
  <si>
    <t>47-19</t>
  </si>
  <si>
    <t>99120105079</t>
  </si>
  <si>
    <t>A/MILITARUM CADIAN HEAVY WEAPON SQUAD</t>
  </si>
  <si>
    <t>5011921113781</t>
  </si>
  <si>
    <t>47-20</t>
  </si>
  <si>
    <t>99070105001</t>
  </si>
  <si>
    <t>OFFICIO PREFECTUS COMMISSAR</t>
  </si>
  <si>
    <t>5011921997640</t>
  </si>
  <si>
    <t>47-21</t>
  </si>
  <si>
    <t>99120105052</t>
  </si>
  <si>
    <t>ASTRA MILITARUM HYDRA</t>
  </si>
  <si>
    <t>5011921049981</t>
  </si>
  <si>
    <t>47-24</t>
  </si>
  <si>
    <t>99120105076</t>
  </si>
  <si>
    <t>ASTRA MILITARUM BANEBLADE</t>
  </si>
  <si>
    <t>5011921113736</t>
  </si>
  <si>
    <t>47-27</t>
  </si>
  <si>
    <t>99070105002</t>
  </si>
  <si>
    <t>ASTRA MILITARUM TECH-PRIEST ENGINSEER</t>
  </si>
  <si>
    <t>5011921073894</t>
  </si>
  <si>
    <t>70-47</t>
  </si>
  <si>
    <t>99120105068</t>
  </si>
  <si>
    <t>START COLLECTING! ASTRA MILITARUM</t>
  </si>
  <si>
    <t>5011921088409</t>
  </si>
  <si>
    <t>70-54</t>
  </si>
  <si>
    <t>99120105069</t>
  </si>
  <si>
    <t>START COLLECTING! MILITARUM TEMPESTUS</t>
  </si>
  <si>
    <t>5011921088416</t>
  </si>
  <si>
    <t>51-01-60</t>
  </si>
  <si>
    <t>60030106008</t>
  </si>
  <si>
    <t>CODEX: TYRANIDS (HB) (ENGLISH)</t>
  </si>
  <si>
    <t>Tyranids</t>
  </si>
  <si>
    <t>9781788260381</t>
  </si>
  <si>
    <t>51-02-60</t>
  </si>
  <si>
    <t>60220106002</t>
  </si>
  <si>
    <t>DATACARDS: TYRANIDS (ENGLISH)</t>
  </si>
  <si>
    <t>5011921093151</t>
  </si>
  <si>
    <t>51-06</t>
  </si>
  <si>
    <t>99120106007</t>
  </si>
  <si>
    <t>TYRANID GENESTEALERS</t>
  </si>
  <si>
    <t>5011921919482</t>
  </si>
  <si>
    <t>51-08</t>
  </si>
  <si>
    <t>99120106045</t>
  </si>
  <si>
    <t>TYRANIDS HIVE TYRANT</t>
  </si>
  <si>
    <t>5011921118502</t>
  </si>
  <si>
    <t>51-09</t>
  </si>
  <si>
    <t>99120106023</t>
  </si>
  <si>
    <t>TYRANID TYRANNOFEX / TERVIGON</t>
  </si>
  <si>
    <t>5011921030088</t>
  </si>
  <si>
    <t>51-12</t>
  </si>
  <si>
    <t>99120106018</t>
  </si>
  <si>
    <t>TYRANID GARGOYLE BROOD</t>
  </si>
  <si>
    <t>5011921017546</t>
  </si>
  <si>
    <t>51-13</t>
  </si>
  <si>
    <t>99120106019</t>
  </si>
  <si>
    <t>TYRANID TRYGON/MAWLOC</t>
  </si>
  <si>
    <t>5011921017553</t>
  </si>
  <si>
    <t>51-14</t>
  </si>
  <si>
    <t>99120106024</t>
  </si>
  <si>
    <t>TYRANID HARPY</t>
  </si>
  <si>
    <t>5011921048861</t>
  </si>
  <si>
    <t>51-16</t>
  </si>
  <si>
    <t>99120106046</t>
  </si>
  <si>
    <t>TYRANIDS TERMAGANT BROOD</t>
  </si>
  <si>
    <t>5011921118519</t>
  </si>
  <si>
    <t>51-17</t>
  </si>
  <si>
    <t>99120106020</t>
  </si>
  <si>
    <t>TYRANID HORMAGAUNT BROOD</t>
  </si>
  <si>
    <t>5011921018185</t>
  </si>
  <si>
    <t>51-18</t>
  </si>
  <si>
    <t>99120106036</t>
  </si>
  <si>
    <t>TYRANID WARRIORS</t>
  </si>
  <si>
    <t>5011921056552</t>
  </si>
  <si>
    <t>51-21</t>
  </si>
  <si>
    <t>99120106034</t>
  </si>
  <si>
    <t>TYRANID TYRANNOCYTE</t>
  </si>
  <si>
    <t>5011921056392</t>
  </si>
  <si>
    <t>51-22</t>
  </si>
  <si>
    <t>99120106035</t>
  </si>
  <si>
    <t>TYRANID VENOMTHROPES</t>
  </si>
  <si>
    <t>5011921056415</t>
  </si>
  <si>
    <t>51-23</t>
  </si>
  <si>
    <t>99120106038</t>
  </si>
  <si>
    <t>TYRANID BROODLORD</t>
  </si>
  <si>
    <t>5011921056576</t>
  </si>
  <si>
    <t>70-51</t>
  </si>
  <si>
    <t>99120106041</t>
  </si>
  <si>
    <t>START COLLECTING! TYRANIDS</t>
  </si>
  <si>
    <t>5011921089475</t>
  </si>
  <si>
    <t>57-01-60</t>
  </si>
  <si>
    <t>60030107005</t>
  </si>
  <si>
    <t>CODEX: GREY KNIGHTS (HB) (ENGLISH)</t>
  </si>
  <si>
    <t>Grey Knights</t>
  </si>
  <si>
    <t>9781785819278</t>
  </si>
  <si>
    <t>57-08</t>
  </si>
  <si>
    <t>99120107013</t>
  </si>
  <si>
    <t>GREY KNIGHTS STRIKE SQUAD</t>
  </si>
  <si>
    <t>5011921085774</t>
  </si>
  <si>
    <t>57-09</t>
  </si>
  <si>
    <t>99120107014</t>
  </si>
  <si>
    <t>GREY KNIGHTS PALADIN SQUAD</t>
  </si>
  <si>
    <t>5011921092376</t>
  </si>
  <si>
    <t>57-10</t>
  </si>
  <si>
    <t>99120107008</t>
  </si>
  <si>
    <t>GREY KNIGHTS NEMESIS DREADKNIGHT</t>
  </si>
  <si>
    <t>5011921053582</t>
  </si>
  <si>
    <t>57-11</t>
  </si>
  <si>
    <t>99070107001</t>
  </si>
  <si>
    <t>GREY KNIGHTS GRAND MASTER VOLDUS</t>
  </si>
  <si>
    <t>5011921088591</t>
  </si>
  <si>
    <t>57-20-60</t>
  </si>
  <si>
    <t>60220107002</t>
  </si>
  <si>
    <t>DATACARDS: GREY KNIGHTS (ENGLISH)</t>
  </si>
  <si>
    <t>5011921087006</t>
  </si>
  <si>
    <t>01-07</t>
  </si>
  <si>
    <t>99120108006</t>
  </si>
  <si>
    <t>ADEPTUS CUSTODES CUSTODIAN GUARD</t>
  </si>
  <si>
    <t>5011921080762</t>
  </si>
  <si>
    <t>01-08</t>
  </si>
  <si>
    <t>99120108007</t>
  </si>
  <si>
    <t>ASTRA TELEPATHICA SISTERS OF SILENCE</t>
  </si>
  <si>
    <t>5011921080779</t>
  </si>
  <si>
    <t>01-10</t>
  </si>
  <si>
    <t>99120108012</t>
  </si>
  <si>
    <t>CAPTAIN-GENERAL TRAJANN VALORIS</t>
  </si>
  <si>
    <t>5011921094219</t>
  </si>
  <si>
    <t>01-11</t>
  </si>
  <si>
    <t>99120108013</t>
  </si>
  <si>
    <t>ADEPTUS CUSTODES CUSTODIAN WARDENS</t>
  </si>
  <si>
    <t>5011921094226</t>
  </si>
  <si>
    <t>01-12</t>
  </si>
  <si>
    <t>99120108014</t>
  </si>
  <si>
    <t>ADEPTUS CUSTODES VERTUS PRAETORS</t>
  </si>
  <si>
    <t>5011921094233</t>
  </si>
  <si>
    <t>01-13</t>
  </si>
  <si>
    <t>99120108011</t>
  </si>
  <si>
    <t>ADEPTUS CUSTODES ALLARUS CUSTODIANS</t>
  </si>
  <si>
    <t>5011921094202</t>
  </si>
  <si>
    <t>01-14-60</t>
  </si>
  <si>
    <t>60030108012</t>
  </si>
  <si>
    <t>CODEX: ADEPTUS CUSTODES (HB) (ENGLISH)</t>
  </si>
  <si>
    <t>9781788261357</t>
  </si>
  <si>
    <t>01-15-60</t>
  </si>
  <si>
    <t>60220108002</t>
  </si>
  <si>
    <t>DATACARDS: ADEPTUS CUSTODES (ENG)</t>
  </si>
  <si>
    <t>5011921096657</t>
  </si>
  <si>
    <t>52-10</t>
  </si>
  <si>
    <t>99070108001</t>
  </si>
  <si>
    <t>OFFICIO ASSASSINORUM VINDICARE ASSASSIN</t>
  </si>
  <si>
    <t>5011921987924</t>
  </si>
  <si>
    <t>52-11</t>
  </si>
  <si>
    <t>99070108002</t>
  </si>
  <si>
    <t>OFFICIO ASSASSINORUM CULEXUS ASSASSIN</t>
  </si>
  <si>
    <t>5011921066469</t>
  </si>
  <si>
    <t>52-13</t>
  </si>
  <si>
    <t>99070108004</t>
  </si>
  <si>
    <t>OFFICIO ASSASSINORUM EVERSOR ASSASSIN</t>
  </si>
  <si>
    <t>5011921066483</t>
  </si>
  <si>
    <t>52-58</t>
  </si>
  <si>
    <t>99120108009</t>
  </si>
  <si>
    <t>CELESTINE THE LIVING SAINT</t>
  </si>
  <si>
    <t>5011921088638</t>
  </si>
  <si>
    <t>54-01-60</t>
  </si>
  <si>
    <t>60030108013</t>
  </si>
  <si>
    <t>CODEX: IMPERIAL KNIGHTS (HB) (ENGLISH)</t>
  </si>
  <si>
    <t>9781788261647</t>
  </si>
  <si>
    <t>54-02-60</t>
  </si>
  <si>
    <t>60220108003</t>
  </si>
  <si>
    <t>DATACARDS: IMPERIAL KNIGHTS (ENGLISH)</t>
  </si>
  <si>
    <t>5011921101030</t>
  </si>
  <si>
    <t>54-13</t>
  </si>
  <si>
    <t>99120108015</t>
  </si>
  <si>
    <t>IMPERIAL KNIGHTS ARMIGER HELVERINS</t>
  </si>
  <si>
    <t>5011921095674</t>
  </si>
  <si>
    <t>54-14</t>
  </si>
  <si>
    <t>99120108018</t>
  </si>
  <si>
    <t>IMPERIAL KNIGHTS: KNIGHT VALIANT</t>
  </si>
  <si>
    <t>5011921095704</t>
  </si>
  <si>
    <t>54-15</t>
  </si>
  <si>
    <t>99120108017</t>
  </si>
  <si>
    <t>KNIGHT PRECEPTOR CANIS REX</t>
  </si>
  <si>
    <t>5011921095698</t>
  </si>
  <si>
    <t>54-16</t>
  </si>
  <si>
    <t>99120108016</t>
  </si>
  <si>
    <t>IMPERIAL KNIGHTS: KNIGHT CASTELLAN</t>
  </si>
  <si>
    <t>5011921095681</t>
  </si>
  <si>
    <t>54-17</t>
  </si>
  <si>
    <t>99120108019</t>
  </si>
  <si>
    <t>IMPERIAL KNIGHTS: ARMIGER WARGLAIVES</t>
  </si>
  <si>
    <t>5011921098484</t>
  </si>
  <si>
    <t>39-01-60</t>
  </si>
  <si>
    <t>60030109003</t>
  </si>
  <si>
    <t>CODEX: DEATHWATCH (HARDBACK) (ENGLISH)</t>
  </si>
  <si>
    <t>Deathwatch</t>
  </si>
  <si>
    <t>9781788261852</t>
  </si>
  <si>
    <t>39-02-60</t>
  </si>
  <si>
    <t>60220109002</t>
  </si>
  <si>
    <t>DATACARDS: DEATHWATCH (ENGLISH)</t>
  </si>
  <si>
    <t>5011921096602</t>
  </si>
  <si>
    <t>39-10</t>
  </si>
  <si>
    <t>99120109001</t>
  </si>
  <si>
    <t>DEATHWATCH KILL TEAM</t>
  </si>
  <si>
    <t>5011921074181</t>
  </si>
  <si>
    <t>39-12</t>
  </si>
  <si>
    <t>99120109002</t>
  </si>
  <si>
    <t>DEATHWATCH CORVUS BLACKSTAR</t>
  </si>
  <si>
    <t>5011921074198</t>
  </si>
  <si>
    <t>39-14</t>
  </si>
  <si>
    <t>99070109003</t>
  </si>
  <si>
    <t>DEATHWATCH WATCH MASTER</t>
  </si>
  <si>
    <t>5011921074235</t>
  </si>
  <si>
    <t>39-15</t>
  </si>
  <si>
    <t>99070109001</t>
  </si>
  <si>
    <t>DEATHWATCH UPGRADES</t>
  </si>
  <si>
    <t>5011921074211</t>
  </si>
  <si>
    <t>70-39</t>
  </si>
  <si>
    <t>99120109013</t>
  </si>
  <si>
    <t>START COLLECTING! DEATHWATCH</t>
  </si>
  <si>
    <t>5011921088461</t>
  </si>
  <si>
    <t>49-01</t>
  </si>
  <si>
    <t>60030110006</t>
  </si>
  <si>
    <t>CODEX: NECRONS (HB) (ENGLISH)</t>
  </si>
  <si>
    <t>Necrons</t>
  </si>
  <si>
    <t>9781785819667</t>
  </si>
  <si>
    <t>49-03-60</t>
  </si>
  <si>
    <t>60220110002</t>
  </si>
  <si>
    <t>DATACARDS: NECRONS (ENGLISH)</t>
  </si>
  <si>
    <t>5011921098514</t>
  </si>
  <si>
    <t>49-06</t>
  </si>
  <si>
    <t>99120110034</t>
  </si>
  <si>
    <t>NECRON WARRIORS WITH CANOPTEK SCARABS</t>
  </si>
  <si>
    <t>5011921092222</t>
  </si>
  <si>
    <t>49-07</t>
  </si>
  <si>
    <t>99120110036</t>
  </si>
  <si>
    <t>NECRON TRIARCH PRAETORIANS</t>
  </si>
  <si>
    <t>5011921092246</t>
  </si>
  <si>
    <t>49-10</t>
  </si>
  <si>
    <t>99120110035</t>
  </si>
  <si>
    <t>NECRON IMMORTALS/DEATHMARKS</t>
  </si>
  <si>
    <t>5011921092239</t>
  </si>
  <si>
    <t>49-12</t>
  </si>
  <si>
    <t>99120110013</t>
  </si>
  <si>
    <t>NECRON CATACOMB CMD BARGE/ANNIHIL. BARGE</t>
  </si>
  <si>
    <t>5011921028078</t>
  </si>
  <si>
    <t>49-13</t>
  </si>
  <si>
    <t>99120110039</t>
  </si>
  <si>
    <t>NECRONS TOMB BLADES</t>
  </si>
  <si>
    <t>5011921093236</t>
  </si>
  <si>
    <t>49-14</t>
  </si>
  <si>
    <t>99120110037</t>
  </si>
  <si>
    <t>NECRON CANOPTEK WRAITHS</t>
  </si>
  <si>
    <t>5011921093212</t>
  </si>
  <si>
    <t>49-15</t>
  </si>
  <si>
    <t>99120110038</t>
  </si>
  <si>
    <t>NECRONS DOOM SCYTHE</t>
  </si>
  <si>
    <t>5011921093229</t>
  </si>
  <si>
    <t>49-16</t>
  </si>
  <si>
    <t>99120110022</t>
  </si>
  <si>
    <t>NECRON CANOPTEK SPYDER</t>
  </si>
  <si>
    <t>5011921030699</t>
  </si>
  <si>
    <t>49-20</t>
  </si>
  <si>
    <t>99070110001</t>
  </si>
  <si>
    <t>NECRON OVERLORD</t>
  </si>
  <si>
    <t>5011921056767</t>
  </si>
  <si>
    <t>49-22</t>
  </si>
  <si>
    <t>99070110002</t>
  </si>
  <si>
    <t>NECRONS CRYPTEK</t>
  </si>
  <si>
    <t>5011921114498</t>
  </si>
  <si>
    <t>70-49</t>
  </si>
  <si>
    <t>99120110040</t>
  </si>
  <si>
    <t>START COLLECTING! NECRONS</t>
  </si>
  <si>
    <t>5011921093243</t>
  </si>
  <si>
    <t>58-01-60</t>
  </si>
  <si>
    <t>60030111003</t>
  </si>
  <si>
    <t>CODEX: HARLEQUINS (HB) (ENGLISH)</t>
  </si>
  <si>
    <t>Harlequins</t>
  </si>
  <si>
    <t>9781788262132</t>
  </si>
  <si>
    <t>58-02-60</t>
  </si>
  <si>
    <t>60220111002</t>
  </si>
  <si>
    <t>DATACARDS: HARLEQUINS (ENG)</t>
  </si>
  <si>
    <t>5011921099030</t>
  </si>
  <si>
    <t>58-10</t>
  </si>
  <si>
    <t>99120111004</t>
  </si>
  <si>
    <t>HARLEQUIN TROUPE</t>
  </si>
  <si>
    <t>5011921092253</t>
  </si>
  <si>
    <t>58-11</t>
  </si>
  <si>
    <t>99120111002</t>
  </si>
  <si>
    <t>HARLEQUIN SKYWEAVERS</t>
  </si>
  <si>
    <t>5011921057184</t>
  </si>
  <si>
    <t>58-12</t>
  </si>
  <si>
    <t>99120111003</t>
  </si>
  <si>
    <t>HARLEQUIN STARWEAVER</t>
  </si>
  <si>
    <t>5011921057177</t>
  </si>
  <si>
    <t>95030099</t>
  </si>
  <si>
    <t>58-14</t>
  </si>
  <si>
    <t>99070111002</t>
  </si>
  <si>
    <t>HARLEQUIN SHADOWSEER</t>
  </si>
  <si>
    <t>5011921057078</t>
  </si>
  <si>
    <t>58-15</t>
  </si>
  <si>
    <t>99070111001</t>
  </si>
  <si>
    <t>HARLEQUIN DEATH JESTER</t>
  </si>
  <si>
    <t>5011921057085</t>
  </si>
  <si>
    <t>45-01-60</t>
  </si>
  <si>
    <t>60030112007</t>
  </si>
  <si>
    <t>CODEX: DRUKHARI (HB) (ENGLISH)</t>
  </si>
  <si>
    <t>9781788261708</t>
  </si>
  <si>
    <t>45-02-60</t>
  </si>
  <si>
    <t>60220112002</t>
  </si>
  <si>
    <t>DATACARDS: DRUKHARI (ENGLISH)</t>
  </si>
  <si>
    <t>5011921098934</t>
  </si>
  <si>
    <t>45-07</t>
  </si>
  <si>
    <t>99120112026</t>
  </si>
  <si>
    <t>DRUKHARI KABALITE WARRIORS</t>
  </si>
  <si>
    <t>5011921087365</t>
  </si>
  <si>
    <t>45-08</t>
  </si>
  <si>
    <t>99120112008</t>
  </si>
  <si>
    <t>DARK ELDAR WYCHES</t>
  </si>
  <si>
    <t>5011921020249</t>
  </si>
  <si>
    <t>45-10</t>
  </si>
  <si>
    <t>99120112027</t>
  </si>
  <si>
    <t>DRUKHARI RAIDER</t>
  </si>
  <si>
    <t>5011921087457</t>
  </si>
  <si>
    <t>45-11</t>
  </si>
  <si>
    <t>99120112030</t>
  </si>
  <si>
    <t>DRUKHARI TALOS</t>
  </si>
  <si>
    <t>5011921087488</t>
  </si>
  <si>
    <t>45-16</t>
  </si>
  <si>
    <t>99120112029</t>
  </si>
  <si>
    <t>DRUKHARI SCOURGES</t>
  </si>
  <si>
    <t>5011921087471</t>
  </si>
  <si>
    <t>45-18</t>
  </si>
  <si>
    <t>99120112031</t>
  </si>
  <si>
    <t>DRUKHARI VENOM</t>
  </si>
  <si>
    <t>5011921087495</t>
  </si>
  <si>
    <t>45-22</t>
  </si>
  <si>
    <t>99070112004</t>
  </si>
  <si>
    <t>DRUKHARI ARCHON</t>
  </si>
  <si>
    <t>5011921087334</t>
  </si>
  <si>
    <t>70-45</t>
  </si>
  <si>
    <t>99120112036</t>
  </si>
  <si>
    <t>START COLLECTING! DRUKHARI</t>
  </si>
  <si>
    <t>5011921094271</t>
  </si>
  <si>
    <t>56-01-60</t>
  </si>
  <si>
    <t>60030113011</t>
  </si>
  <si>
    <t>CODEX: T'AU EMPIRE (HB) (ENGLISH)</t>
  </si>
  <si>
    <t>9781788261586</t>
  </si>
  <si>
    <t>56-02-60</t>
  </si>
  <si>
    <t>60220113003</t>
  </si>
  <si>
    <t>DATACARDS : T'AU EMPIRE (ENGLISH)</t>
  </si>
  <si>
    <t>5011921098415</t>
  </si>
  <si>
    <t>56-06</t>
  </si>
  <si>
    <t>99120113057</t>
  </si>
  <si>
    <t>TAU EMPIRE FIRE WARRIORS</t>
  </si>
  <si>
    <t>5011921091911</t>
  </si>
  <si>
    <t>56-07</t>
  </si>
  <si>
    <t>99120113038</t>
  </si>
  <si>
    <t>TAU EMPIRE XV8 CRISIS BATTLESUITS</t>
  </si>
  <si>
    <t>5011921064953</t>
  </si>
  <si>
    <t>56-09</t>
  </si>
  <si>
    <t>99120113061</t>
  </si>
  <si>
    <t>TAU EMPIRE PATHFINDER TEAM</t>
  </si>
  <si>
    <t>5011921091959</t>
  </si>
  <si>
    <t>56-10</t>
  </si>
  <si>
    <t>99120113043</t>
  </si>
  <si>
    <t>TAU EMPIRE TY7 DEVILFISH</t>
  </si>
  <si>
    <t>5011921065004</t>
  </si>
  <si>
    <t>56-11</t>
  </si>
  <si>
    <t>99120113028</t>
  </si>
  <si>
    <t>HAMMERHEAD GUNSHIP</t>
  </si>
  <si>
    <t>5011921045624</t>
  </si>
  <si>
    <t>56-13</t>
  </si>
  <si>
    <t>99120113058</t>
  </si>
  <si>
    <t>TAU EMPIRE XV104 RIPTIDE BATTLESUIT</t>
  </si>
  <si>
    <t>5011921091928</t>
  </si>
  <si>
    <t>56-14</t>
  </si>
  <si>
    <t>99120113062</t>
  </si>
  <si>
    <t>TAU EMPIRE XV25 STEALTH BATTLESUITS</t>
  </si>
  <si>
    <t>5011921091966</t>
  </si>
  <si>
    <t>56-15</t>
  </si>
  <si>
    <t>99120113063</t>
  </si>
  <si>
    <t>TAU EMPIRE XV88 BROADSIDE BATTLESUIT</t>
  </si>
  <si>
    <t>5011921091973</t>
  </si>
  <si>
    <t>56-16</t>
  </si>
  <si>
    <t>99070113004</t>
  </si>
  <si>
    <t>T'AU EMPIRE CADRE FIREBLADE</t>
  </si>
  <si>
    <t>5011921091904</t>
  </si>
  <si>
    <t>56-18</t>
  </si>
  <si>
    <t>99120113036</t>
  </si>
  <si>
    <t>TAU EMPIRE KV128 STORMSURGE</t>
  </si>
  <si>
    <t>5011921064939</t>
  </si>
  <si>
    <t>56-19</t>
  </si>
  <si>
    <t>99120113042</t>
  </si>
  <si>
    <t>TAU EMPIRE TX4 PIRANHA</t>
  </si>
  <si>
    <t>5011921064991</t>
  </si>
  <si>
    <t>56-20</t>
  </si>
  <si>
    <t>99120113059</t>
  </si>
  <si>
    <t>TAU XV95 GHOSTKEEL BATTLESUIT</t>
  </si>
  <si>
    <t>5011921091935</t>
  </si>
  <si>
    <t>56-22</t>
  </si>
  <si>
    <t>99120113060</t>
  </si>
  <si>
    <t>TAU EMPIRE COMMANDER</t>
  </si>
  <si>
    <t>5011921091942</t>
  </si>
  <si>
    <t>56-51</t>
  </si>
  <si>
    <t>99120113048</t>
  </si>
  <si>
    <t>TAU EMPIRE TIDEWALL SHIELDLINE</t>
  </si>
  <si>
    <t>5011921066575</t>
  </si>
  <si>
    <t>70-56</t>
  </si>
  <si>
    <t>99120113055</t>
  </si>
  <si>
    <t>START COLLECTING! T'AU EMPIRE</t>
  </si>
  <si>
    <t>5011921088522</t>
  </si>
  <si>
    <t>97-02-60</t>
  </si>
  <si>
    <t>60030115006</t>
  </si>
  <si>
    <t>CODEX: CHAOS DAEMONS (HB) (ENGLISH)</t>
  </si>
  <si>
    <t>Chaos Daemons</t>
  </si>
  <si>
    <t>9781788261234</t>
  </si>
  <si>
    <t>97-04-60</t>
  </si>
  <si>
    <t>60220115003</t>
  </si>
  <si>
    <t>DATACARDS: CHAOS DAEMONS (ENGLISH)</t>
  </si>
  <si>
    <t>5011921096503</t>
  </si>
  <si>
    <t>59-01-60</t>
  </si>
  <si>
    <t>60030116005</t>
  </si>
  <si>
    <t>CODEX: ADEPTUS MECHANICUS (HB) (ENGLISH)</t>
  </si>
  <si>
    <t>Adeptus Mechanicus</t>
  </si>
  <si>
    <t>9781788260176</t>
  </si>
  <si>
    <t>59-02-60</t>
  </si>
  <si>
    <t>60220116004</t>
  </si>
  <si>
    <t>DATACARDS: ADEPTUS MECHANICUS (ENGLISH)</t>
  </si>
  <si>
    <t>5011921089369</t>
  </si>
  <si>
    <t>59-10</t>
  </si>
  <si>
    <t>99120116016</t>
  </si>
  <si>
    <t>ADEPTUS MECHANICUS SKITARII</t>
  </si>
  <si>
    <t>5011921091843</t>
  </si>
  <si>
    <t>59-11</t>
  </si>
  <si>
    <t>99120116018</t>
  </si>
  <si>
    <t>ADEPTUS MECHANICUS SICARIANS</t>
  </si>
  <si>
    <t>5011921091867</t>
  </si>
  <si>
    <t>59-12</t>
  </si>
  <si>
    <t>99120116017</t>
  </si>
  <si>
    <t>ADEPTUS MECHANICUS IRONSTRIDER</t>
  </si>
  <si>
    <t>5011921091850</t>
  </si>
  <si>
    <t>59-13</t>
  </si>
  <si>
    <t>99120116004</t>
  </si>
  <si>
    <t>ADEPTUS MECHANICUS ONAGER DUNECRAWLER</t>
  </si>
  <si>
    <t>5011921057863</t>
  </si>
  <si>
    <t>59-14</t>
  </si>
  <si>
    <t>99120116020</t>
  </si>
  <si>
    <t>ADEPTUS MECH. KATAPHRON BATTLE SERVITORS</t>
  </si>
  <si>
    <t>5011921091881</t>
  </si>
  <si>
    <t>59-15</t>
  </si>
  <si>
    <t>99120116009</t>
  </si>
  <si>
    <t>ADEPTUS MECHANICUS ELECTRO-PRIESTS</t>
  </si>
  <si>
    <t>5011921058648</t>
  </si>
  <si>
    <t>59-16</t>
  </si>
  <si>
    <t>99120116019</t>
  </si>
  <si>
    <t>ADEPTUS MECHANICUS KASTELAN ROBOTS</t>
  </si>
  <si>
    <t>5011921091874</t>
  </si>
  <si>
    <t>59-17</t>
  </si>
  <si>
    <t>99120116015</t>
  </si>
  <si>
    <t>ADEPTUS MECHANICUS BELISARIUS CAWL</t>
  </si>
  <si>
    <t>5011921088607</t>
  </si>
  <si>
    <t>59-18</t>
  </si>
  <si>
    <t>99070116001</t>
  </si>
  <si>
    <t>ADEPTUS MECHANICUS TECH-PRIEST DOMINUS</t>
  </si>
  <si>
    <t>5011921058600</t>
  </si>
  <si>
    <t>59-20</t>
  </si>
  <si>
    <t>99120116023</t>
  </si>
  <si>
    <t>ADEPT/MECHANICUS SKORPIUS DISINTEGRATOR</t>
  </si>
  <si>
    <t>5011921118304</t>
  </si>
  <si>
    <t>70-59</t>
  </si>
  <si>
    <t>99120116014</t>
  </si>
  <si>
    <t>START COLLECTING! SKITARII</t>
  </si>
  <si>
    <t>5011921088492</t>
  </si>
  <si>
    <t>51-40-60</t>
  </si>
  <si>
    <t>60030117003</t>
  </si>
  <si>
    <t>CODEX: GENESTEALER CULTS (HB) (ENGLISH)</t>
  </si>
  <si>
    <t>9781788263962</t>
  </si>
  <si>
    <t>51-42-60</t>
  </si>
  <si>
    <t>60220117002</t>
  </si>
  <si>
    <t>DATACARDS: GENESTEALER CULTS (ENGLISH)</t>
  </si>
  <si>
    <t>5011921109821</t>
  </si>
  <si>
    <t>51-44</t>
  </si>
  <si>
    <t>99070117003</t>
  </si>
  <si>
    <t>GENESTEALER CULTS BIOPHAGUS</t>
  </si>
  <si>
    <t>5011921110988</t>
  </si>
  <si>
    <t>51-45</t>
  </si>
  <si>
    <t>99070117004</t>
  </si>
  <si>
    <t>GENESTEALER CULTS CLAMAVUS</t>
  </si>
  <si>
    <t>5011921110995</t>
  </si>
  <si>
    <t>51-46</t>
  </si>
  <si>
    <t>99070117007</t>
  </si>
  <si>
    <t>GENESTEALER CULTS LOCUS</t>
  </si>
  <si>
    <t>5011921111022</t>
  </si>
  <si>
    <t>51-47</t>
  </si>
  <si>
    <t>99070117005</t>
  </si>
  <si>
    <t>GENESTEALER CULTS MAGUS</t>
  </si>
  <si>
    <t>5011921111008</t>
  </si>
  <si>
    <t>51-48</t>
  </si>
  <si>
    <t>99070117008</t>
  </si>
  <si>
    <t>GENESTEALER CULTS NEXOS</t>
  </si>
  <si>
    <t>5011921111039</t>
  </si>
  <si>
    <t>51-49</t>
  </si>
  <si>
    <t>99070117006</t>
  </si>
  <si>
    <t>GENESTEALER CULTS SANCTUS</t>
  </si>
  <si>
    <t>5011921111015</t>
  </si>
  <si>
    <t>51-50</t>
  </si>
  <si>
    <t>99120117001</t>
  </si>
  <si>
    <t>GENESTEALER CULTS BROODCOVEN</t>
  </si>
  <si>
    <t>5011921077076</t>
  </si>
  <si>
    <t>51-51</t>
  </si>
  <si>
    <t>99120117003</t>
  </si>
  <si>
    <t>GENESTEALER CULTS ACOLYTE HYBRIDS</t>
  </si>
  <si>
    <t>5011921077267</t>
  </si>
  <si>
    <t>51-52</t>
  </si>
  <si>
    <t>99120117004</t>
  </si>
  <si>
    <t>GENESTEALER CULTS NEOPHYTE HYBRIDS</t>
  </si>
  <si>
    <t>5011921077274</t>
  </si>
  <si>
    <t>51-53</t>
  </si>
  <si>
    <t>99120117002</t>
  </si>
  <si>
    <t>GENESTEALER CULTS GOLIATH</t>
  </si>
  <si>
    <t>5011921077236</t>
  </si>
  <si>
    <t>51-57</t>
  </si>
  <si>
    <t>99120117010</t>
  </si>
  <si>
    <t>GENESTEALER CULTS BROOD BROTHERS</t>
  </si>
  <si>
    <t>5011921109951</t>
  </si>
  <si>
    <t>51-59</t>
  </si>
  <si>
    <t>99070117009</t>
  </si>
  <si>
    <t>GENESTEALER CULTS ABOMINANT</t>
  </si>
  <si>
    <t>5011921111046</t>
  </si>
  <si>
    <t>51-60</t>
  </si>
  <si>
    <t>99120117012</t>
  </si>
  <si>
    <t>GENESTEALER CULTS ABERRANTS</t>
  </si>
  <si>
    <t>5011921111053</t>
  </si>
  <si>
    <t>51-61</t>
  </si>
  <si>
    <t>99120117015</t>
  </si>
  <si>
    <t>GENESTEALER CULTS ACHILLES RIDGERUNNER</t>
  </si>
  <si>
    <t>5011921113811</t>
  </si>
  <si>
    <t>51-62</t>
  </si>
  <si>
    <t>99120117014</t>
  </si>
  <si>
    <t>GENESTEALER CULTS ATALAN JACKALS</t>
  </si>
  <si>
    <t>5011921113729</t>
  </si>
  <si>
    <t>51-63</t>
  </si>
  <si>
    <t>99120117013</t>
  </si>
  <si>
    <t>GENESTEALER CULTS JACKAL ALPHUS</t>
  </si>
  <si>
    <t>5011921113286</t>
  </si>
  <si>
    <t>BL002-60</t>
  </si>
  <si>
    <t>60040181672</t>
  </si>
  <si>
    <t>PRIMARCH NOVEL BUNDLE</t>
  </si>
  <si>
    <t>5011921125388</t>
  </si>
  <si>
    <t>BL004-60</t>
  </si>
  <si>
    <t>60040181673</t>
  </si>
  <si>
    <t>DAN ABNETT NOVEL BUNDLE</t>
  </si>
  <si>
    <t>5011921126057</t>
  </si>
  <si>
    <t>BL1001</t>
  </si>
  <si>
    <t>60100181242</t>
  </si>
  <si>
    <t>HORUS HERESY: BETRAYER (PB)</t>
  </si>
  <si>
    <t>9781849704960</t>
  </si>
  <si>
    <t>BL1018</t>
  </si>
  <si>
    <t>60100181256</t>
  </si>
  <si>
    <t>HORUS HERESY: MARK OF CALTH (PB)</t>
  </si>
  <si>
    <t>9781849705745</t>
  </si>
  <si>
    <t>BL1047</t>
  </si>
  <si>
    <t>60100181271</t>
  </si>
  <si>
    <t>HORUS HERESY: VULKAN LIVES (PB)</t>
  </si>
  <si>
    <t>9781849706100</t>
  </si>
  <si>
    <t>E:BL</t>
  </si>
  <si>
    <t>BL1050</t>
  </si>
  <si>
    <t>60100181272</t>
  </si>
  <si>
    <t>NIGHT LORDS: THE OMNIBUS (PB)</t>
  </si>
  <si>
    <t>9781849706124</t>
  </si>
  <si>
    <t>BL1055</t>
  </si>
  <si>
    <t>60100181279</t>
  </si>
  <si>
    <t>HH: THE UNREMEMBERED EMPIRE (A-FORMAT)</t>
  </si>
  <si>
    <t>9781849706919</t>
  </si>
  <si>
    <t>BL1092</t>
  </si>
  <si>
    <t>60100181299</t>
  </si>
  <si>
    <t>HORUS HERESY: SCARS</t>
  </si>
  <si>
    <t>9781849707497</t>
  </si>
  <si>
    <t>BL1105</t>
  </si>
  <si>
    <t>60100181296</t>
  </si>
  <si>
    <t>HORUS HERESY: FALSE GODS</t>
  </si>
  <si>
    <t>9781849707466</t>
  </si>
  <si>
    <t>BL1108</t>
  </si>
  <si>
    <t>60100181297</t>
  </si>
  <si>
    <t>HORUS HERESY: GALAXY IN FLAMES</t>
  </si>
  <si>
    <t>9781849707534</t>
  </si>
  <si>
    <t>BL1112</t>
  </si>
  <si>
    <t>60100181303</t>
  </si>
  <si>
    <t>HORUS HERESY: PROSPERO BURNS</t>
  </si>
  <si>
    <t>9781849708210</t>
  </si>
  <si>
    <t>BL1113</t>
  </si>
  <si>
    <t>60100181304</t>
  </si>
  <si>
    <t>HORUS HERESY: NEMESIS (PB)</t>
  </si>
  <si>
    <t>9781849708234</t>
  </si>
  <si>
    <t>BL1114</t>
  </si>
  <si>
    <t>60100181305</t>
  </si>
  <si>
    <t>HORUS HERESY: DELIVERANCE LOST</t>
  </si>
  <si>
    <t>9781849708258</t>
  </si>
  <si>
    <t>BL1117</t>
  </si>
  <si>
    <t>60100181286</t>
  </si>
  <si>
    <t>HORUS HERESY: A THOUSAND SONS (PB)</t>
  </si>
  <si>
    <t>9781849708111</t>
  </si>
  <si>
    <t>BL1118</t>
  </si>
  <si>
    <t>60100181287</t>
  </si>
  <si>
    <t>HORUS HERESY: BATTLE FOR THE ABYSS (PB)</t>
  </si>
  <si>
    <t>9781849708074</t>
  </si>
  <si>
    <t>BL1119</t>
  </si>
  <si>
    <t>60100181288</t>
  </si>
  <si>
    <t>HORUS HERESY: DESCENT OF ANGELS (PB)</t>
  </si>
  <si>
    <t>9781849708050</t>
  </si>
  <si>
    <t>BL1120</t>
  </si>
  <si>
    <t>60100181289</t>
  </si>
  <si>
    <t>HORUS HERESY: FALLEN ANGELS (PB)</t>
  </si>
  <si>
    <t>9781849708104</t>
  </si>
  <si>
    <t>BL1121</t>
  </si>
  <si>
    <t>60100181290</t>
  </si>
  <si>
    <t>HORUS HERESY: FULGRIM (PB)</t>
  </si>
  <si>
    <t>9781849708043</t>
  </si>
  <si>
    <t>BL1122</t>
  </si>
  <si>
    <t>60100181291</t>
  </si>
  <si>
    <t>HORUS HERESY: LEGION (PB)</t>
  </si>
  <si>
    <t>9781849708067</t>
  </si>
  <si>
    <t>BL1123</t>
  </si>
  <si>
    <t>60100181292</t>
  </si>
  <si>
    <t>HORUS HERESY: MECHANICUM (PB)</t>
  </si>
  <si>
    <t>9781849708081</t>
  </si>
  <si>
    <t>BL1124</t>
  </si>
  <si>
    <t>60100181293</t>
  </si>
  <si>
    <t>HORUS HERESY: TALES OF HERESY (PB)</t>
  </si>
  <si>
    <t>9781849708098</t>
  </si>
  <si>
    <t>BL1125</t>
  </si>
  <si>
    <t>60100181294</t>
  </si>
  <si>
    <t>HORUS HERESY: FLIGHT OF THE EISENSTEIN</t>
  </si>
  <si>
    <t>9781849708036</t>
  </si>
  <si>
    <t>BL1126</t>
  </si>
  <si>
    <t>60100181295</t>
  </si>
  <si>
    <t>HORUS HERESY: HORUS RISING</t>
  </si>
  <si>
    <t>9781849707435</t>
  </si>
  <si>
    <t>BL1142</t>
  </si>
  <si>
    <t>60100181307</t>
  </si>
  <si>
    <t>HORUS HERESY: VENGEFUL SPIRIT</t>
  </si>
  <si>
    <t>9781849708302</t>
  </si>
  <si>
    <t>BL2007</t>
  </si>
  <si>
    <t>60100181317</t>
  </si>
  <si>
    <t>HORUS HERESY: THE DAMNATION OF PYTHOS</t>
  </si>
  <si>
    <t>9781849708425</t>
  </si>
  <si>
    <t>BL2050</t>
  </si>
  <si>
    <t>60100181323</t>
  </si>
  <si>
    <t>EISENHORN: XENOS (PB)</t>
  </si>
  <si>
    <t>9781849708722</t>
  </si>
  <si>
    <t>BL2054</t>
  </si>
  <si>
    <t>60100181326</t>
  </si>
  <si>
    <t>HORUS HERESY: THE PRIMARCHS (PB)</t>
  </si>
  <si>
    <t>9781849709835</t>
  </si>
  <si>
    <t>BL2058</t>
  </si>
  <si>
    <t>60100181327</t>
  </si>
  <si>
    <t>EISENHORN: MALLEUS (PB)</t>
  </si>
  <si>
    <t>9781849709613</t>
  </si>
  <si>
    <t>BL2066</t>
  </si>
  <si>
    <t>60100181335</t>
  </si>
  <si>
    <t>HORUS HERESY: LEGACIES OF BETRAYAL (PB)</t>
  </si>
  <si>
    <t>9781784960162</t>
  </si>
  <si>
    <t>BL2077</t>
  </si>
  <si>
    <t>60100181345</t>
  </si>
  <si>
    <t>THE TALON OF HORUS (PB)</t>
  </si>
  <si>
    <t>9781784960490</t>
  </si>
  <si>
    <t>BL2160</t>
  </si>
  <si>
    <t>60100181330</t>
  </si>
  <si>
    <t>EISENHORN: HERETICUS (PB)</t>
  </si>
  <si>
    <t>9781849709651</t>
  </si>
  <si>
    <t>BL2221</t>
  </si>
  <si>
    <t>60100181380</t>
  </si>
  <si>
    <t>HORUS HERESY: DEATHFIRE (PB)</t>
  </si>
  <si>
    <t>9781784961558</t>
  </si>
  <si>
    <t>BL2264</t>
  </si>
  <si>
    <t>60100181400</t>
  </si>
  <si>
    <t>HORUS HERESY: WAR WITHOUT END (PB)</t>
  </si>
  <si>
    <t>9781784964504</t>
  </si>
  <si>
    <t>BL2269</t>
  </si>
  <si>
    <t>60100181403</t>
  </si>
  <si>
    <t>LEGACY OF CALIBAN: THE OMNIBUS (PB)</t>
  </si>
  <si>
    <t>9781784964399</t>
  </si>
  <si>
    <t>BL2275</t>
  </si>
  <si>
    <t>60100181408</t>
  </si>
  <si>
    <t>PRIMARCHS: ROBOUTE GUILLIMAN (HB)</t>
  </si>
  <si>
    <t>9781784964412</t>
  </si>
  <si>
    <t>BL2299</t>
  </si>
  <si>
    <t>60040181238</t>
  </si>
  <si>
    <t>PRIMARCHS: LEMAN RUSS: THE GREAT WOLF HB</t>
  </si>
  <si>
    <t>9781784964498</t>
  </si>
  <si>
    <t>BL2321</t>
  </si>
  <si>
    <t>60100181425</t>
  </si>
  <si>
    <t>FORGES OF MARS OMNIBUS (PB)</t>
  </si>
  <si>
    <t>9781784964979</t>
  </si>
  <si>
    <t>BL2322</t>
  </si>
  <si>
    <t>60100181426</t>
  </si>
  <si>
    <t>DEATHWATCH: IGNITION (PB)</t>
  </si>
  <si>
    <t>9781784964986</t>
  </si>
  <si>
    <t>BL2326</t>
  </si>
  <si>
    <t>60040181257</t>
  </si>
  <si>
    <t>PRIMARCHS: MAGNUS THE RED (HB)</t>
  </si>
  <si>
    <t>9781784965006</t>
  </si>
  <si>
    <t>BL2333</t>
  </si>
  <si>
    <t>60100181432</t>
  </si>
  <si>
    <t>AHRIMAN: THE OMNIBUS (PB)</t>
  </si>
  <si>
    <t>9781784965099</t>
  </si>
  <si>
    <t>BL2336</t>
  </si>
  <si>
    <t>60100181428</t>
  </si>
  <si>
    <t>HORUS HERESY: PHAROS (PB)</t>
  </si>
  <si>
    <t>9781784964917</t>
  </si>
  <si>
    <t>BL2343</t>
  </si>
  <si>
    <t>60100181433</t>
  </si>
  <si>
    <t>HORUS HERESY: EYE OF TERRA (PB)</t>
  </si>
  <si>
    <t>9781784963736</t>
  </si>
  <si>
    <t>BL2353</t>
  </si>
  <si>
    <t>60040181269</t>
  </si>
  <si>
    <t>PRIMARCHS: PERTURABO</t>
  </si>
  <si>
    <t>9781784965587</t>
  </si>
  <si>
    <t>BL2359</t>
  </si>
  <si>
    <t>60100181437</t>
  </si>
  <si>
    <t>CARCHARODONS: RED TITHE (PB)</t>
  </si>
  <si>
    <t>9781784964481</t>
  </si>
  <si>
    <t>BL2369</t>
  </si>
  <si>
    <t>60100181442</t>
  </si>
  <si>
    <t>HORUS HERESY: PATH OF HEAVEN (PB)</t>
  </si>
  <si>
    <t>9781784965013</t>
  </si>
  <si>
    <t>BL2370</t>
  </si>
  <si>
    <t>60100181443</t>
  </si>
  <si>
    <t>KINGSBLADE (PB)</t>
  </si>
  <si>
    <t>9781784965655</t>
  </si>
  <si>
    <t>BL2373</t>
  </si>
  <si>
    <t>60100181445</t>
  </si>
  <si>
    <t>MEPHISTON: BLOOD OF SANGUINIUS (PB)</t>
  </si>
  <si>
    <t>9781784965709</t>
  </si>
  <si>
    <t>BL2383</t>
  </si>
  <si>
    <t>60040181282</t>
  </si>
  <si>
    <t>PRIMARCHS: LORGAR: BEARER OF THE WORD HB</t>
  </si>
  <si>
    <t>9781784966089</t>
  </si>
  <si>
    <t>BL2388</t>
  </si>
  <si>
    <t>60100181450</t>
  </si>
  <si>
    <t>HORUS HERESY: THE SILENT WAR (PB)</t>
  </si>
  <si>
    <t>9781784963750</t>
  </si>
  <si>
    <t>BL2389</t>
  </si>
  <si>
    <t>60100181451</t>
  </si>
  <si>
    <t>SHADOWSWORD (PB)</t>
  </si>
  <si>
    <t>9781784966102</t>
  </si>
  <si>
    <t>BL2390</t>
  </si>
  <si>
    <t>60100181452</t>
  </si>
  <si>
    <t>BANEBLADE (PB)</t>
  </si>
  <si>
    <t>9781784966119</t>
  </si>
  <si>
    <t>BL2398</t>
  </si>
  <si>
    <t>60100181454</t>
  </si>
  <si>
    <t>DEATHWATCH: THE OMNIBUS (PB)</t>
  </si>
  <si>
    <t>9781784966225</t>
  </si>
  <si>
    <t>BL2401</t>
  </si>
  <si>
    <t>60100181457</t>
  </si>
  <si>
    <t>DEVASTATION OF BAAL (PB)</t>
  </si>
  <si>
    <t>9781784965938</t>
  </si>
  <si>
    <t>BL2404</t>
  </si>
  <si>
    <t>60100181458</t>
  </si>
  <si>
    <t>WH40K: CRUSADE + OTHER STORIES (PB)</t>
  </si>
  <si>
    <t>9781784966980</t>
  </si>
  <si>
    <t>BL2409</t>
  </si>
  <si>
    <t>60100181460</t>
  </si>
  <si>
    <t>HORUS HERESY: ANGELS OF CALIBAN (PB)</t>
  </si>
  <si>
    <t>9781784965372</t>
  </si>
  <si>
    <t>BL2410</t>
  </si>
  <si>
    <t>60100181461</t>
  </si>
  <si>
    <t>FABIUS BILE: PRIMOGENITOR (PB)</t>
  </si>
  <si>
    <t>9781784966201</t>
  </si>
  <si>
    <t>BL2411</t>
  </si>
  <si>
    <t>60100181462</t>
  </si>
  <si>
    <t>GAUNT'S GHOSTS: THE FOUNDING (PB)</t>
  </si>
  <si>
    <t>9781784966171</t>
  </si>
  <si>
    <t>BL2414</t>
  </si>
  <si>
    <t>60040181294</t>
  </si>
  <si>
    <t>PRIMARCHS: FULGRIM (HB)</t>
  </si>
  <si>
    <t>9781784966232</t>
  </si>
  <si>
    <t>BL2415</t>
  </si>
  <si>
    <t>60100181463</t>
  </si>
  <si>
    <t>FARSIGHT: CRISIS OF FAITH (PB)</t>
  </si>
  <si>
    <t>9781784966249</t>
  </si>
  <si>
    <t>BL2416</t>
  </si>
  <si>
    <t>60100181464</t>
  </si>
  <si>
    <t>WARDEN OF THE BLADE (PB)</t>
  </si>
  <si>
    <t>9781784966256</t>
  </si>
  <si>
    <t>BL2423</t>
  </si>
  <si>
    <t>60100181469</t>
  </si>
  <si>
    <t>GAUNT'S GHOSTS: THE SAINT OMNIBUS (PB)</t>
  </si>
  <si>
    <t>9781784966270</t>
  </si>
  <si>
    <t>BL2429</t>
  </si>
  <si>
    <t>60100181470</t>
  </si>
  <si>
    <t>HORUS HERESY: PRAETORIAN OF DORN (PB)</t>
  </si>
  <si>
    <t>9781784966423</t>
  </si>
  <si>
    <t>BL243</t>
  </si>
  <si>
    <t>60100181130</t>
  </si>
  <si>
    <t>CIAPHUS CAIN: DEFENDER OF THE IMPERIUM</t>
  </si>
  <si>
    <t>9781844168828</t>
  </si>
  <si>
    <t>BL2430</t>
  </si>
  <si>
    <t>60100181471</t>
  </si>
  <si>
    <t>SHROUD OF NIGHT (PB)</t>
  </si>
  <si>
    <t>9781784966430</t>
  </si>
  <si>
    <t>BL2433</t>
  </si>
  <si>
    <t>60100181473</t>
  </si>
  <si>
    <t>EISENHORN: THE MAGOS (PB)</t>
  </si>
  <si>
    <t>9781784967024</t>
  </si>
  <si>
    <t>BL2435</t>
  </si>
  <si>
    <t>60100181475</t>
  </si>
  <si>
    <t>S/M CONQUESTS: ASHES OF PROSPERO (PB)</t>
  </si>
  <si>
    <t>9781784966454</t>
  </si>
  <si>
    <t>BL2437</t>
  </si>
  <si>
    <t>60100181476</t>
  </si>
  <si>
    <t>CADIA STANDS (PB)</t>
  </si>
  <si>
    <t>9781784966683</t>
  </si>
  <si>
    <t>BL244</t>
  </si>
  <si>
    <t>60100181133</t>
  </si>
  <si>
    <t>HH: THE FIRST HERETIC (PB)</t>
  </si>
  <si>
    <t>9781844168842</t>
  </si>
  <si>
    <t>BL2452</t>
  </si>
  <si>
    <t>60100181604</t>
  </si>
  <si>
    <t>HORUS HERESY: CORAX (PB)</t>
  </si>
  <si>
    <t>9781784966768</t>
  </si>
  <si>
    <t>BL2454</t>
  </si>
  <si>
    <t>60100181486</t>
  </si>
  <si>
    <t>GAUNT'S GHOSTS: THE LOST (OMNIBUS) (PB)</t>
  </si>
  <si>
    <t>9781784966744</t>
  </si>
  <si>
    <t>BL2456</t>
  </si>
  <si>
    <t>60100181488</t>
  </si>
  <si>
    <t>VAULTS OF TERRA: THE CARRION THRONE (PB)</t>
  </si>
  <si>
    <t>9781784966911</t>
  </si>
  <si>
    <t>BL2460</t>
  </si>
  <si>
    <t>60100181490</t>
  </si>
  <si>
    <t>GHOST WARRIOR: RISE OF THE YNNARI (PB)</t>
  </si>
  <si>
    <t>9781784966751</t>
  </si>
  <si>
    <t>BL2466</t>
  </si>
  <si>
    <t>60100181492</t>
  </si>
  <si>
    <t>SALAMANDERS: THE OMNIBUS (PB)</t>
  </si>
  <si>
    <t>9781784966904</t>
  </si>
  <si>
    <t>BL2467</t>
  </si>
  <si>
    <t>60100181493</t>
  </si>
  <si>
    <t>FABIUS BILE: CLONELORD (PB)</t>
  </si>
  <si>
    <t>9781784967079</t>
  </si>
  <si>
    <t>BL2480</t>
  </si>
  <si>
    <t>60100181497</t>
  </si>
  <si>
    <t>S/MARINE CONQUESTS: WAR OF SECRETS (PB)</t>
  </si>
  <si>
    <t>9781784967093</t>
  </si>
  <si>
    <t>BL2481</t>
  </si>
  <si>
    <t>60100181498</t>
  </si>
  <si>
    <t>YARRICK: THE OMNIBUS (PB)</t>
  </si>
  <si>
    <t>9781784967109</t>
  </si>
  <si>
    <t>BL2482</t>
  </si>
  <si>
    <t>60100181599</t>
  </si>
  <si>
    <t>HORUS HERESY: THE MASTER OF MANKIND</t>
  </si>
  <si>
    <t>9781784967116</t>
  </si>
  <si>
    <t>BL2487</t>
  </si>
  <si>
    <t>60040181484</t>
  </si>
  <si>
    <t>PRIMARCHS: FERRUS MANUS (HB)</t>
  </si>
  <si>
    <t>9781784966737</t>
  </si>
  <si>
    <t>BL2488</t>
  </si>
  <si>
    <t>60100181605</t>
  </si>
  <si>
    <t>BLACK LEGION (PB)</t>
  </si>
  <si>
    <t>9781784967536</t>
  </si>
  <si>
    <t>BL2489</t>
  </si>
  <si>
    <t>60100181606</t>
  </si>
  <si>
    <t>RESURRECTION: THE HORUSIAN WARS (PB)</t>
  </si>
  <si>
    <t>9781784967284</t>
  </si>
  <si>
    <t>BL2495</t>
  </si>
  <si>
    <t>60040181487</t>
  </si>
  <si>
    <t>PRIMARCHS: JAGHATAI KHAN (HB)</t>
  </si>
  <si>
    <t>9781784967253</t>
  </si>
  <si>
    <t>BL2498</t>
  </si>
  <si>
    <t>60100181609</t>
  </si>
  <si>
    <t>ENFORCER OMNIBUS (PB)</t>
  </si>
  <si>
    <t>9781784967321</t>
  </si>
  <si>
    <t>BL2501</t>
  </si>
  <si>
    <t>60100181610</t>
  </si>
  <si>
    <t>WAR FOR ARMAGEDDON: THE OMNIBUS (PB)</t>
  </si>
  <si>
    <t>9781784967550</t>
  </si>
  <si>
    <t>BL2516</t>
  </si>
  <si>
    <t>60100181616</t>
  </si>
  <si>
    <t>HORUS HERESY: GARRO (PB)</t>
  </si>
  <si>
    <t>9781784967581</t>
  </si>
  <si>
    <t>BL2518</t>
  </si>
  <si>
    <t>60100181617</t>
  </si>
  <si>
    <t>SMC: OF HONOUR AND IRON (PB)</t>
  </si>
  <si>
    <t>9781784967680</t>
  </si>
  <si>
    <t>BL2520</t>
  </si>
  <si>
    <t>60100181618</t>
  </si>
  <si>
    <t>WATCHERS/THRONE: THE EMPEROR'S LEGION PB</t>
  </si>
  <si>
    <t>9781784967673</t>
  </si>
  <si>
    <t>BL2522</t>
  </si>
  <si>
    <t>60100181620</t>
  </si>
  <si>
    <t>C/CAIN: SAVIOUR OF THE IMPERIUM (PB)</t>
  </si>
  <si>
    <t>9781784967697</t>
  </si>
  <si>
    <t>BL2528</t>
  </si>
  <si>
    <t>60040181624</t>
  </si>
  <si>
    <t>BLOOD OF IAX (HB)</t>
  </si>
  <si>
    <t>9781784967642</t>
  </si>
  <si>
    <t>BL2544</t>
  </si>
  <si>
    <t>60100181206</t>
  </si>
  <si>
    <t>HORUS HERESY: SHADOWS OF TREACHERY (PB)</t>
  </si>
  <si>
    <t>9781849703468</t>
  </si>
  <si>
    <t>BL2559</t>
  </si>
  <si>
    <t>60100181625</t>
  </si>
  <si>
    <t>THE BEAST ARISES: VOLUME 1 (PB)</t>
  </si>
  <si>
    <t>9781784968465</t>
  </si>
  <si>
    <t>BL2561</t>
  </si>
  <si>
    <t>60040181627</t>
  </si>
  <si>
    <t>PRIMARCHS: VULKAN LORD OF DRAKES (HB)</t>
  </si>
  <si>
    <t>9781784967765</t>
  </si>
  <si>
    <t>BL2568</t>
  </si>
  <si>
    <t>60100181628</t>
  </si>
  <si>
    <t>HORUS HERESY: SHATTERED LEGIONS (PB)</t>
  </si>
  <si>
    <t>9781784967840</t>
  </si>
  <si>
    <t>BL2589</t>
  </si>
  <si>
    <t>60100181639</t>
  </si>
  <si>
    <t>GAUNT'S GHOSTS: THE WARMASTER (PB)</t>
  </si>
  <si>
    <t>9781784968144</t>
  </si>
  <si>
    <t>BL2590</t>
  </si>
  <si>
    <t>60100181670</t>
  </si>
  <si>
    <t>GAUNT'S GHOSTS: THE VICTORY (PT1) (PB)</t>
  </si>
  <si>
    <t>9781784968151</t>
  </si>
  <si>
    <t>BL2594</t>
  </si>
  <si>
    <t>60040181676</t>
  </si>
  <si>
    <t>HORUS HERESY: VISIONS OF HERESY (HB)</t>
  </si>
  <si>
    <t>9781784968304</t>
  </si>
  <si>
    <t>BL2596</t>
  </si>
  <si>
    <t>60680181129</t>
  </si>
  <si>
    <t>HORUS HERESY AUDIO COLL. VOL 1 (AUDIOBK)</t>
  </si>
  <si>
    <t>9781784969028</t>
  </si>
  <si>
    <t>BL2598</t>
  </si>
  <si>
    <t>60040181677</t>
  </si>
  <si>
    <t>HORUS HERESY: TITANDEATH (HB)</t>
  </si>
  <si>
    <t>9781784968311</t>
  </si>
  <si>
    <t>BL2600</t>
  </si>
  <si>
    <t>60100181673</t>
  </si>
  <si>
    <t>THE BEAST ARISES: VOLUME 3 (PB)</t>
  </si>
  <si>
    <t>9781784968489</t>
  </si>
  <si>
    <t>BL2601</t>
  </si>
  <si>
    <t>60100181674</t>
  </si>
  <si>
    <t>HORUS HERESY: THE CRIMSON KING (PB)</t>
  </si>
  <si>
    <t>9781784968342</t>
  </si>
  <si>
    <t>BL2604</t>
  </si>
  <si>
    <t>60100181675</t>
  </si>
  <si>
    <t>MEPHISTON: REVENANT CRUSADE (PB)</t>
  </si>
  <si>
    <t>9781784968533</t>
  </si>
  <si>
    <t>BL2605</t>
  </si>
  <si>
    <t>60100181676</t>
  </si>
  <si>
    <t>THE URIEL VENTRIS CHRONICLES: VOL 1 (PB)</t>
  </si>
  <si>
    <t>9781784968540</t>
  </si>
  <si>
    <t>BL2607</t>
  </si>
  <si>
    <t>60100181677</t>
  </si>
  <si>
    <t>BLOOD ANGELS: COMPLETE RAFEN OMNIBUS PB</t>
  </si>
  <si>
    <t>9781784968335</t>
  </si>
  <si>
    <t>BL2615</t>
  </si>
  <si>
    <t>60100181480</t>
  </si>
  <si>
    <t>SPACE MARINE HEROES: BLOOD RITE (PB)</t>
  </si>
  <si>
    <t>9781781939451</t>
  </si>
  <si>
    <t>BL2619</t>
  </si>
  <si>
    <t>60040181683</t>
  </si>
  <si>
    <t>PRIMARCHS: CORAX LORD OF SHADOWS (HB)</t>
  </si>
  <si>
    <t>9781784968731</t>
  </si>
  <si>
    <t>BL2621</t>
  </si>
  <si>
    <t>60100181682</t>
  </si>
  <si>
    <t>THE LORDS OF SILENCE (PB)</t>
  </si>
  <si>
    <t>9781784968755</t>
  </si>
  <si>
    <t>BL2623</t>
  </si>
  <si>
    <t>60100181683</t>
  </si>
  <si>
    <t>HORUS HERESY: TALLARN (PB)</t>
  </si>
  <si>
    <t>9781784968779</t>
  </si>
  <si>
    <t>BL2624</t>
  </si>
  <si>
    <t>60680181133</t>
  </si>
  <si>
    <t>OUR MARTYRED LADY (AUDIOBOOK)</t>
  </si>
  <si>
    <t>9781784968366</t>
  </si>
  <si>
    <t>BL2625</t>
  </si>
  <si>
    <t>60100181684</t>
  </si>
  <si>
    <t>WARPED GALAXIES: ATTACK OF THE NECRON PB</t>
  </si>
  <si>
    <t>9781784967802</t>
  </si>
  <si>
    <t>BL2627</t>
  </si>
  <si>
    <t>60680181134</t>
  </si>
  <si>
    <t>W/GALAXIES: ATTACK OF THE NECRON (AUDIO)</t>
  </si>
  <si>
    <t>9781784969226</t>
  </si>
  <si>
    <t>BL2629</t>
  </si>
  <si>
    <t>60100181685</t>
  </si>
  <si>
    <t>CIAPHAS CAIN: CHOOSE YOUR ENEMIES (PB)</t>
  </si>
  <si>
    <t>9781784968885</t>
  </si>
  <si>
    <t>BL2633</t>
  </si>
  <si>
    <t>60680181131</t>
  </si>
  <si>
    <t>HORUS HERESY: NIGHTFANE (AUDIOBOOK)</t>
  </si>
  <si>
    <t>9781784968953</t>
  </si>
  <si>
    <t>BL2639</t>
  </si>
  <si>
    <t>60040181685</t>
  </si>
  <si>
    <t>HH PRIMARCHS: SONS OF THE EMPEROR: ANTH.</t>
  </si>
  <si>
    <t>9781784967239</t>
  </si>
  <si>
    <t>BL2642</t>
  </si>
  <si>
    <t>60040181686</t>
  </si>
  <si>
    <t>THE HORUS HERESY: MACRAGGE'S HONOUR (HB)</t>
  </si>
  <si>
    <t>9781784969486</t>
  </si>
  <si>
    <t>BL2648</t>
  </si>
  <si>
    <t>60100181695</t>
  </si>
  <si>
    <t>IRON WARRIORS: THE COMPLETE OMNIBUS (PB)</t>
  </si>
  <si>
    <t>9781784969387</t>
  </si>
  <si>
    <t>BL2649</t>
  </si>
  <si>
    <t>60680181693</t>
  </si>
  <si>
    <t>PERDITION'S FLAME (AUDIOBOOK)</t>
  </si>
  <si>
    <t>9781784968717</t>
  </si>
  <si>
    <t>BL2652</t>
  </si>
  <si>
    <t>60100181693</t>
  </si>
  <si>
    <t>HORUS HERESY: RUINSTORM (PB)</t>
  </si>
  <si>
    <t>9781784969073</t>
  </si>
  <si>
    <t>BL2659</t>
  </si>
  <si>
    <t>60100181694</t>
  </si>
  <si>
    <t>DARK IMPERIUM: PLAGUE WAR (PB)</t>
  </si>
  <si>
    <t>9781784969103</t>
  </si>
  <si>
    <t>BL2660</t>
  </si>
  <si>
    <t>60100181697</t>
  </si>
  <si>
    <t>RISE OF THE YNNARI: WILD RIDER (PB)</t>
  </si>
  <si>
    <t>9781784969332</t>
  </si>
  <si>
    <t>BL2662</t>
  </si>
  <si>
    <t>60100181698</t>
  </si>
  <si>
    <t>PRIMARCHS: ANGRON: SLAVE OF NUCERIA (HB)</t>
  </si>
  <si>
    <t>9781784969035</t>
  </si>
  <si>
    <t>BL2663</t>
  </si>
  <si>
    <t>60100181699</t>
  </si>
  <si>
    <t>BLACKSTONE FORTRESS (PB)</t>
  </si>
  <si>
    <t>9781784969288</t>
  </si>
  <si>
    <t>BL2666</t>
  </si>
  <si>
    <t>60100181700</t>
  </si>
  <si>
    <t>W/GALAXIES:CLAWS OF THE GENESTEALER (PB)</t>
  </si>
  <si>
    <t>9781784967819</t>
  </si>
  <si>
    <t>BL2670</t>
  </si>
  <si>
    <t>60040181692</t>
  </si>
  <si>
    <t>HH: SIEGE OF TERRA: THE SOLAR WAR (HB)</t>
  </si>
  <si>
    <t>9781784969264</t>
  </si>
  <si>
    <t>BL2673</t>
  </si>
  <si>
    <t>60680181695</t>
  </si>
  <si>
    <t>AGENT/THRONE:ASHES AND OATHS (AUDIOBOOK)</t>
  </si>
  <si>
    <t>9781784969943</t>
  </si>
  <si>
    <t>BL2679</t>
  </si>
  <si>
    <t>60100181701</t>
  </si>
  <si>
    <t>KNIGHTS OF CALIBAN (PB)</t>
  </si>
  <si>
    <t>9781784969318</t>
  </si>
  <si>
    <t>BL2700</t>
  </si>
  <si>
    <t>60100181703</t>
  </si>
  <si>
    <t>SHIELD OF THE EMPEROR (PB)</t>
  </si>
  <si>
    <t>9781781939871</t>
  </si>
  <si>
    <t>BL2701</t>
  </si>
  <si>
    <t>60100181704</t>
  </si>
  <si>
    <t>HORUS HERESY: OLD EARTH (PB)</t>
  </si>
  <si>
    <t>9781784969868</t>
  </si>
  <si>
    <t>BL2702</t>
  </si>
  <si>
    <t>60100181705</t>
  </si>
  <si>
    <t>DOUBLE EAGLE (PB)</t>
  </si>
  <si>
    <t>9781784968878</t>
  </si>
  <si>
    <t>BL2711</t>
  </si>
  <si>
    <t>60100181706</t>
  </si>
  <si>
    <t>HONOURBOUND (PB)</t>
  </si>
  <si>
    <t>9781781939840</t>
  </si>
  <si>
    <t>BL2713</t>
  </si>
  <si>
    <t>60100181707</t>
  </si>
  <si>
    <t>THE HORUSIAN WARS: INCARNATION (PB)</t>
  </si>
  <si>
    <t>9781784968557</t>
  </si>
  <si>
    <t>BL2716</t>
  </si>
  <si>
    <t>60100181708</t>
  </si>
  <si>
    <t>RAVENOR: THE OMNIBUS (PB)</t>
  </si>
  <si>
    <t>9781784969936</t>
  </si>
  <si>
    <t>BL2719</t>
  </si>
  <si>
    <t>60100181709</t>
  </si>
  <si>
    <t>SPACE MARINE CONQUESTS: APOCALYPSE</t>
  </si>
  <si>
    <t>9781784969554</t>
  </si>
  <si>
    <t>BL2721</t>
  </si>
  <si>
    <t>60680181697</t>
  </si>
  <si>
    <t>HH: THE BROKEN CHAIN (AUDIOBOOK)</t>
  </si>
  <si>
    <t>9781784969356</t>
  </si>
  <si>
    <t>BL2723</t>
  </si>
  <si>
    <t>60100181710</t>
  </si>
  <si>
    <t>THE URIEL VENTRIS CHRONICLES: VOL 2 (PB)</t>
  </si>
  <si>
    <t>9781781939567</t>
  </si>
  <si>
    <t>BL2727</t>
  </si>
  <si>
    <t>60040181674</t>
  </si>
  <si>
    <t>HH SOT: THE LOST AND THE DAMNED (A5 HB)</t>
  </si>
  <si>
    <t>9781781939444</t>
  </si>
  <si>
    <t>BL2730</t>
  </si>
  <si>
    <t>60680181698</t>
  </si>
  <si>
    <t>AGENTS OF THE IMPERIUM (AUDIOBOOK)</t>
  </si>
  <si>
    <t>9781781939536</t>
  </si>
  <si>
    <t>BL2731</t>
  </si>
  <si>
    <t>60040181700</t>
  </si>
  <si>
    <t>PRIMARCHS:KONRAD CURZE:THE NIGHT HAUNTER</t>
  </si>
  <si>
    <t>9781784969851</t>
  </si>
  <si>
    <t>BL2733</t>
  </si>
  <si>
    <t>60040181715</t>
  </si>
  <si>
    <t>LORD OF THE DARK MILLENNIUM (HB)</t>
  </si>
  <si>
    <t>9781789991383</t>
  </si>
  <si>
    <t>BL2739</t>
  </si>
  <si>
    <t>60100181712</t>
  </si>
  <si>
    <t>HORUS HERESY: THE BURDEN OF LOYALTY (PB)</t>
  </si>
  <si>
    <t>9781784969950</t>
  </si>
  <si>
    <t>BL2740</t>
  </si>
  <si>
    <t>60100181713</t>
  </si>
  <si>
    <t>WARPED GALAXIES: SECRETS OF THE TAU (PB)</t>
  </si>
  <si>
    <t>9781784968397</t>
  </si>
  <si>
    <t>BL2741</t>
  </si>
  <si>
    <t>60100181714</t>
  </si>
  <si>
    <t>REQUIEM INFERNAL (PB)</t>
  </si>
  <si>
    <t>9781781939796</t>
  </si>
  <si>
    <t>BL2744</t>
  </si>
  <si>
    <t>60100181715</t>
  </si>
  <si>
    <t>CADIAN HONOUR (PB)</t>
  </si>
  <si>
    <t>9781781939833</t>
  </si>
  <si>
    <t>BL275</t>
  </si>
  <si>
    <t>60100181140</t>
  </si>
  <si>
    <t>HH: AGE OF DARKNESS (PB)</t>
  </si>
  <si>
    <t>9781849700368</t>
  </si>
  <si>
    <t>BL2751</t>
  </si>
  <si>
    <t>60040181492</t>
  </si>
  <si>
    <t>RITES OF PASSAGE (HB)</t>
  </si>
  <si>
    <t>9781784969776</t>
  </si>
  <si>
    <t>BL2752</t>
  </si>
  <si>
    <t>60680181136</t>
  </si>
  <si>
    <t>BLACKSTONE FORTRESS: THE BEAST INSIDE CD</t>
  </si>
  <si>
    <t>9781789990010</t>
  </si>
  <si>
    <t>BL2755</t>
  </si>
  <si>
    <t>60100181680</t>
  </si>
  <si>
    <t>DEATHWATCH: SHADOWBREAKER (PB)</t>
  </si>
  <si>
    <t>9781781939635</t>
  </si>
  <si>
    <t>BL2757</t>
  </si>
  <si>
    <t>60680181699</t>
  </si>
  <si>
    <t>THE WAY OUT (AUDIOBOOK)</t>
  </si>
  <si>
    <t>9781781939352</t>
  </si>
  <si>
    <t>BL2758</t>
  </si>
  <si>
    <t>60100181717</t>
  </si>
  <si>
    <t>THE HOUSE OF NIGHT AND CHAIN (PB)</t>
  </si>
  <si>
    <t>9781781939468</t>
  </si>
  <si>
    <t>BL2762</t>
  </si>
  <si>
    <t>60100181719</t>
  </si>
  <si>
    <t>SPEAR OF THE EMPEROR (PB)</t>
  </si>
  <si>
    <t>9781789990232</t>
  </si>
  <si>
    <t>BL2763</t>
  </si>
  <si>
    <t>60100181720</t>
  </si>
  <si>
    <t>HORUS HERESY: BORN OF FLAME (PB)</t>
  </si>
  <si>
    <t>9781789990201</t>
  </si>
  <si>
    <t>BL2766</t>
  </si>
  <si>
    <t>60040181704</t>
  </si>
  <si>
    <t>THE HORUSIAN WARS: DIVINATION (HB)</t>
  </si>
  <si>
    <t>9781781939543</t>
  </si>
  <si>
    <t>BL2768</t>
  </si>
  <si>
    <t>60100181718</t>
  </si>
  <si>
    <t>LORDS AND TYRANTS (PB)</t>
  </si>
  <si>
    <t>9781781939758</t>
  </si>
  <si>
    <t>BL2769</t>
  </si>
  <si>
    <t>60100181722</t>
  </si>
  <si>
    <t>DEATHWATCH (PB)</t>
  </si>
  <si>
    <t>9781789991246</t>
  </si>
  <si>
    <t>BL2774</t>
  </si>
  <si>
    <t>60100181725</t>
  </si>
  <si>
    <t>THE COLONEL'S MONOGRAPH (PB)</t>
  </si>
  <si>
    <t>9781789990126</t>
  </si>
  <si>
    <t>BL2775</t>
  </si>
  <si>
    <t>60100181726</t>
  </si>
  <si>
    <t>ISHA'S LAMENT  (PB)</t>
  </si>
  <si>
    <t>9781789990133</t>
  </si>
  <si>
    <t>BL2776</t>
  </si>
  <si>
    <t>60100181728</t>
  </si>
  <si>
    <t>LORDS OF THE STORM (PB)</t>
  </si>
  <si>
    <t>9781789990140</t>
  </si>
  <si>
    <t>BL2779</t>
  </si>
  <si>
    <t>60100181727</t>
  </si>
  <si>
    <t>SEVERED (PB)</t>
  </si>
  <si>
    <t>9781789990072</t>
  </si>
  <si>
    <t>BL2781</t>
  </si>
  <si>
    <t>60680181670</t>
  </si>
  <si>
    <t>THE WATCHER IN THE RAIN (AUDIOBOOK)</t>
  </si>
  <si>
    <t>9781781939475</t>
  </si>
  <si>
    <t>BL2787</t>
  </si>
  <si>
    <t>60100181729</t>
  </si>
  <si>
    <t>THE GREAT DEVOURER: LEVIATHAN OMNI. (PB)</t>
  </si>
  <si>
    <t>9781784968076</t>
  </si>
  <si>
    <t>BL2797</t>
  </si>
  <si>
    <t>60100181733</t>
  </si>
  <si>
    <t>HAMMER OF THE EMPEROR OMNIBUS (PB)</t>
  </si>
  <si>
    <t>9781789991420</t>
  </si>
  <si>
    <t>BL2800</t>
  </si>
  <si>
    <t>60040181711</t>
  </si>
  <si>
    <t>MEPHISTON: CITY OF LIGHT (HB)</t>
  </si>
  <si>
    <t>9781789990256</t>
  </si>
  <si>
    <t>BL299</t>
  </si>
  <si>
    <t>60100181161</t>
  </si>
  <si>
    <t>HORUS HERESY: THE OUTCAST DEAD (PB)</t>
  </si>
  <si>
    <t>9781849700863</t>
  </si>
  <si>
    <t>BL320</t>
  </si>
  <si>
    <t>60100181166</t>
  </si>
  <si>
    <t>HORUS HERESY: KNOW NO FEAR (PB)</t>
  </si>
  <si>
    <t>9781849701341</t>
  </si>
  <si>
    <t>BL363</t>
  </si>
  <si>
    <t>60100181191</t>
  </si>
  <si>
    <t>HORUS HERESY: FEAR TO TREAD (PB)</t>
  </si>
  <si>
    <t>9781849701952</t>
  </si>
  <si>
    <t>BL402</t>
  </si>
  <si>
    <t>60100181201</t>
  </si>
  <si>
    <t>CIAPHAS CAIN: HERO OF THE IMPERIUM</t>
  </si>
  <si>
    <t>9781849702706</t>
  </si>
  <si>
    <t>BL876</t>
  </si>
  <si>
    <t>60100181235</t>
  </si>
  <si>
    <t>HORUS HERESY: ANGEL EXTERMINATUS (PB)</t>
  </si>
  <si>
    <t>9781849704199</t>
  </si>
  <si>
    <t>111-01-15</t>
  </si>
  <si>
    <t>15010299019</t>
  </si>
  <si>
    <t>AGE OF SIGMAR: WARCRY (CHINESE)</t>
  </si>
  <si>
    <t>5011921120543</t>
  </si>
  <si>
    <t>111-02-15</t>
  </si>
  <si>
    <t>15220299012</t>
  </si>
  <si>
    <t>WARCRY: BATTLEPLAN CARDS (CHINESE)</t>
  </si>
  <si>
    <t>5011921120284</t>
  </si>
  <si>
    <t>111-02-60</t>
  </si>
  <si>
    <t>60220299012</t>
  </si>
  <si>
    <t>WARCRY: BATTLEPLAN CARDS (ENGLISH)</t>
  </si>
  <si>
    <t>5011921120222</t>
  </si>
  <si>
    <t>111-17</t>
  </si>
  <si>
    <t>15040299081</t>
  </si>
  <si>
    <t>WARCRY: MONSTERS &amp; MERCENARIES (CHINESE)</t>
  </si>
  <si>
    <t>9781788266994</t>
  </si>
  <si>
    <t>60040299081</t>
  </si>
  <si>
    <t>WARCRY: MONSTERS &amp; MERCENARIES (ENGLISH)</t>
  </si>
  <si>
    <t>9781788266949</t>
  </si>
  <si>
    <t>111-23</t>
  </si>
  <si>
    <t>60040299080</t>
  </si>
  <si>
    <t>AGE OF SIGMAR: WARCRY CORE BOOK (ENG)</t>
  </si>
  <si>
    <t>9781788265973</t>
  </si>
  <si>
    <t>15040299080</t>
  </si>
  <si>
    <t>AGE OF SIGMAR: WARCRY CORE BOOK (CHN)</t>
  </si>
  <si>
    <t>9781788266024</t>
  </si>
  <si>
    <t>111-29</t>
  </si>
  <si>
    <t>99230299012</t>
  </si>
  <si>
    <t>WARCRY CARRY CASE</t>
  </si>
  <si>
    <t>5011921124312</t>
  </si>
  <si>
    <t>111-31</t>
  </si>
  <si>
    <t>99220299079</t>
  </si>
  <si>
    <t>WARCRY: SHATTERD STORMVAULT</t>
  </si>
  <si>
    <t>5011921127047</t>
  </si>
  <si>
    <t>111-32</t>
  </si>
  <si>
    <t>99220299080</t>
  </si>
  <si>
    <t>WARCRY: DEFILED RUINS</t>
  </si>
  <si>
    <t>5011921127054</t>
  </si>
  <si>
    <t>111-38</t>
  </si>
  <si>
    <t>15040299093</t>
  </si>
  <si>
    <t>WARCRY: TOME OF CHAMPIONS 2019 (CHINESE)</t>
  </si>
  <si>
    <t>9781788266215</t>
  </si>
  <si>
    <t>60040299093</t>
  </si>
  <si>
    <t>WARCRY: TOME OF CHAMPIONS 2019 (ENGLISH)</t>
  </si>
  <si>
    <t>9781788267083</t>
  </si>
  <si>
    <t>64-02</t>
  </si>
  <si>
    <t>99120299039</t>
  </si>
  <si>
    <t>AGE OF SIGMAR HERO BASES</t>
  </si>
  <si>
    <t>5011921079872</t>
  </si>
  <si>
    <t>64-06</t>
  </si>
  <si>
    <t>99220299045</t>
  </si>
  <si>
    <t>REALM OF BATTLE: SHATTERED DOMINION</t>
  </si>
  <si>
    <t>5011921057603</t>
  </si>
  <si>
    <t>64-14</t>
  </si>
  <si>
    <t>99120299064</t>
  </si>
  <si>
    <t>AGE OF SIGMAR: AZYRITE SHATTERED PLAZA</t>
  </si>
  <si>
    <t>5011921135066</t>
  </si>
  <si>
    <t>64-15</t>
  </si>
  <si>
    <t>99120299065</t>
  </si>
  <si>
    <t>AGE OF SIGMAR: AZYRITE RUINED CHAPEL</t>
  </si>
  <si>
    <t>5011921135073</t>
  </si>
  <si>
    <t>64-17</t>
  </si>
  <si>
    <t>99120299050</t>
  </si>
  <si>
    <t>ETHERIC VORTEX: GLOOMTIDE SHIPWRECK</t>
  </si>
  <si>
    <t>5011921096862</t>
  </si>
  <si>
    <t>64-26</t>
  </si>
  <si>
    <t>99120299038</t>
  </si>
  <si>
    <t>MAGEWRATH THRONE</t>
  </si>
  <si>
    <t>5011921079827</t>
  </si>
  <si>
    <t>64-49</t>
  </si>
  <si>
    <t>99120299041</t>
  </si>
  <si>
    <t>SIGMARITE MAUSOLEUM</t>
  </si>
  <si>
    <t>5011921088430</t>
  </si>
  <si>
    <t>64-66</t>
  </si>
  <si>
    <t>99220299067</t>
  </si>
  <si>
    <t>REALM OF BATTLE: BLASTED HALLOWHEART</t>
  </si>
  <si>
    <t>5011921089826</t>
  </si>
  <si>
    <t>64-72</t>
  </si>
  <si>
    <t>99120299048</t>
  </si>
  <si>
    <t>AGE OF SIGMAR: AZYRITE RUINS</t>
  </si>
  <si>
    <t>5011921096701</t>
  </si>
  <si>
    <t>64-75</t>
  </si>
  <si>
    <t>99120299051</t>
  </si>
  <si>
    <t>AGE OF SIGMAR: AZYRITE TOWNSCAPE</t>
  </si>
  <si>
    <t>5011921110186</t>
  </si>
  <si>
    <t>64-83</t>
  </si>
  <si>
    <t>99120299053</t>
  </si>
  <si>
    <t>DOMINION OF SIGMAR: SHATTERED TEMPLE</t>
  </si>
  <si>
    <t>5011921118458</t>
  </si>
  <si>
    <t>64-84</t>
  </si>
  <si>
    <t>99120299054</t>
  </si>
  <si>
    <t>DOMINION OF SIGMAR: SIGMARITE DAIS</t>
  </si>
  <si>
    <t>5011921118465</t>
  </si>
  <si>
    <t>64-85</t>
  </si>
  <si>
    <t>99120299055</t>
  </si>
  <si>
    <t>DOMINION OF SIGMAR: HALLOWED STORMTHRONE</t>
  </si>
  <si>
    <t>5011921118472</t>
  </si>
  <si>
    <t>64-86</t>
  </si>
  <si>
    <t>99120299056</t>
  </si>
  <si>
    <t>DOMINION SIGMAR: THE ENDURING STORMVAULT</t>
  </si>
  <si>
    <t>5011921118489</t>
  </si>
  <si>
    <t>64-87</t>
  </si>
  <si>
    <t>99120299057</t>
  </si>
  <si>
    <t>DOMINION OF SIGMAR: TIMEWORN RUINS</t>
  </si>
  <si>
    <t>5011921119714</t>
  </si>
  <si>
    <t>64-89</t>
  </si>
  <si>
    <t>99120299059</t>
  </si>
  <si>
    <t>ENDLESS SPELLS: HEDONITES OF SLAANESH</t>
  </si>
  <si>
    <t>5011921120192</t>
  </si>
  <si>
    <t>64-90</t>
  </si>
  <si>
    <t>99120299060</t>
  </si>
  <si>
    <t>FANE OF SLAANESH</t>
  </si>
  <si>
    <t>5011921120208</t>
  </si>
  <si>
    <t>65-16</t>
  </si>
  <si>
    <t>99220299073</t>
  </si>
  <si>
    <t>AGE OF SIGMAR: OBJECTIVE MARKERS</t>
  </si>
  <si>
    <t>5011921104574</t>
  </si>
  <si>
    <t>66-96</t>
  </si>
  <si>
    <t>99120299033</t>
  </si>
  <si>
    <t>AOS: SHATTERED DOMINION: 25 &amp; 32MM ROUND</t>
  </si>
  <si>
    <t>5011921073115</t>
  </si>
  <si>
    <t>66-97</t>
  </si>
  <si>
    <t>99120299034</t>
  </si>
  <si>
    <t>AOS: SHATTERED DOMINION: 65 &amp; 40MM ROUND</t>
  </si>
  <si>
    <t>5011921073122</t>
  </si>
  <si>
    <t>66-98</t>
  </si>
  <si>
    <t>99120299035</t>
  </si>
  <si>
    <t>AOS: SHATTERED DOMINION: 60 &amp; 90MM OVAL</t>
  </si>
  <si>
    <t>5011921073139</t>
  </si>
  <si>
    <t>66-99</t>
  </si>
  <si>
    <t>99120299036</t>
  </si>
  <si>
    <t>AOS SHATTERED DOMINION LARGE BASE DETAIL</t>
  </si>
  <si>
    <t>5011921073146</t>
  </si>
  <si>
    <t>80-01-15</t>
  </si>
  <si>
    <t>15010299013</t>
  </si>
  <si>
    <t>AGE OF SIGMAR: SOUL WARS (CHINESE)</t>
  </si>
  <si>
    <t>5011921099672</t>
  </si>
  <si>
    <t>80-01-60</t>
  </si>
  <si>
    <t>60010299013</t>
  </si>
  <si>
    <t>AGE OF SIGMAR: SOUL WARS (ENGLISH)</t>
  </si>
  <si>
    <t>5011921099375</t>
  </si>
  <si>
    <t>80-02-15</t>
  </si>
  <si>
    <t>15040299070</t>
  </si>
  <si>
    <t>WARHAMMER: AGE OF SIGMAR CORE BOOK (CHN)</t>
  </si>
  <si>
    <t>9781788262118</t>
  </si>
  <si>
    <t>80-02-60</t>
  </si>
  <si>
    <t>60040299070</t>
  </si>
  <si>
    <t>WARHAMMER: AGE OF SIGMAR CORE BOOK (ENG)</t>
  </si>
  <si>
    <t>9781788262064</t>
  </si>
  <si>
    <t>80-14-15</t>
  </si>
  <si>
    <t>15040299078</t>
  </si>
  <si>
    <t>A.O.S: GENERAL'S HANDBOOK 2019 (CHINESE)</t>
  </si>
  <si>
    <t>9781788265614</t>
  </si>
  <si>
    <t>80-14-60</t>
  </si>
  <si>
    <t>60040299078</t>
  </si>
  <si>
    <t>A.O.S: GENERAL'S HANDBOOK 2019 (ENGLISH)</t>
  </si>
  <si>
    <t>9781788265560</t>
  </si>
  <si>
    <t>80-15-15</t>
  </si>
  <si>
    <t>15010299014</t>
  </si>
  <si>
    <t>AGE OF SIGMAR: STORM STRIKE (CHINESE)</t>
  </si>
  <si>
    <t>5011921102846</t>
  </si>
  <si>
    <t>80-15-60</t>
  </si>
  <si>
    <t>60010299014</t>
  </si>
  <si>
    <t>AGE OF SIGMAR: STORM STRIKE (ENG)</t>
  </si>
  <si>
    <t>5011921102778</t>
  </si>
  <si>
    <t>80-16</t>
  </si>
  <si>
    <t>15040299074</t>
  </si>
  <si>
    <t>GETTING STARTED WITH AGE OF SIGMAR (CHN)</t>
  </si>
  <si>
    <t>9781788262996</t>
  </si>
  <si>
    <t>60040299074</t>
  </si>
  <si>
    <t>GETTING STARTED WITH AGE OF SIGMAR (ENG)</t>
  </si>
  <si>
    <t>9781788262941</t>
  </si>
  <si>
    <t>80-17-15</t>
  </si>
  <si>
    <t>99170299019</t>
  </si>
  <si>
    <t>AOS PAINTS+TOOLS JPN/ENG/SIM+TRA CHINESE</t>
  </si>
  <si>
    <t>5011921102372</t>
  </si>
  <si>
    <t>80-17-60</t>
  </si>
  <si>
    <t>99170299015</t>
  </si>
  <si>
    <t>AOS PAINTS+TOOLS ENG/SPA/PORT/LATV/ROM</t>
  </si>
  <si>
    <t>5011921095216</t>
  </si>
  <si>
    <t>80-19</t>
  </si>
  <si>
    <t>15010299015</t>
  </si>
  <si>
    <t>AGE OF SIGMAR: TEMPEST OF SOULS (CHN)</t>
  </si>
  <si>
    <t>5011921102914</t>
  </si>
  <si>
    <t>60010299015</t>
  </si>
  <si>
    <t>AGE OF SIGMAR: TEMPEST OF SOULS (ENG)</t>
  </si>
  <si>
    <t>5011921102853</t>
  </si>
  <si>
    <t>80-27-15</t>
  </si>
  <si>
    <t>15120299001</t>
  </si>
  <si>
    <t>AGE OF SIGMAR: MALIGN SORCERY (CHINESE)</t>
  </si>
  <si>
    <t>5011921102945</t>
  </si>
  <si>
    <t>80-27-60</t>
  </si>
  <si>
    <t>60120299001</t>
  </si>
  <si>
    <t>AGE OF SIGMAR: MALIGN SORCERY (ENGLISH)</t>
  </si>
  <si>
    <t>5011921976379</t>
  </si>
  <si>
    <t>80-31</t>
  </si>
  <si>
    <t>15010299018</t>
  </si>
  <si>
    <t>AGE OF SIGMAR: FORBIDDEN POWER (CHN)</t>
  </si>
  <si>
    <t>5011921116676</t>
  </si>
  <si>
    <t>60010299018</t>
  </si>
  <si>
    <t>AGE OF SIGMAR: FORBIDDEN POWER (ENG)</t>
  </si>
  <si>
    <t>5011921116614</t>
  </si>
  <si>
    <t>80-33</t>
  </si>
  <si>
    <t>60040299082</t>
  </si>
  <si>
    <t>AGE OF SIGMAR: GAMING BOOK (ENGLISH)</t>
  </si>
  <si>
    <t>9781788265324</t>
  </si>
  <si>
    <t>86-47</t>
  </si>
  <si>
    <t>60030299003</t>
  </si>
  <si>
    <t>BATTLETOME: CITIES OF SIGMAR (HB) (ENG)</t>
  </si>
  <si>
    <t>9781788268264</t>
  </si>
  <si>
    <t>89-16</t>
  </si>
  <si>
    <t>99120299043</t>
  </si>
  <si>
    <t>ALEGUZZLER GARGANT</t>
  </si>
  <si>
    <t>5011921090341</t>
  </si>
  <si>
    <t>AW-15</t>
  </si>
  <si>
    <t>15010299022</t>
  </si>
  <si>
    <t>AGE OF SIGMAR: AETHER WAR (CHINESE)</t>
  </si>
  <si>
    <t>5011921126453</t>
  </si>
  <si>
    <t>AW-60</t>
  </si>
  <si>
    <t>60010299022</t>
  </si>
  <si>
    <t>AGE OF SIGMAR: AETHER WAR (ENGLISH)</t>
  </si>
  <si>
    <t>5011921126408</t>
  </si>
  <si>
    <t>111-03</t>
  </si>
  <si>
    <t>99120201084</t>
  </si>
  <si>
    <t>WARCRY: CORVUS CABAL</t>
  </si>
  <si>
    <t>5011921120611</t>
  </si>
  <si>
    <t>111-04</t>
  </si>
  <si>
    <t>99120201085</t>
  </si>
  <si>
    <t>WARCRY: CYPHER LORDS</t>
  </si>
  <si>
    <t>5011921120628</t>
  </si>
  <si>
    <t>111-12</t>
  </si>
  <si>
    <t>99120201086</t>
  </si>
  <si>
    <t>WARCRY: THE UNMADE</t>
  </si>
  <si>
    <t>5011921120635</t>
  </si>
  <si>
    <t>111-13</t>
  </si>
  <si>
    <t>99120201087</t>
  </si>
  <si>
    <t>WARCRY: THE SPLINTERED FANG</t>
  </si>
  <si>
    <t>5011921120642</t>
  </si>
  <si>
    <t>70-81</t>
  </si>
  <si>
    <t>99120201066</t>
  </si>
  <si>
    <t>START COLLECTING! GOREBLADE WARBAND</t>
  </si>
  <si>
    <t>5011921079964</t>
  </si>
  <si>
    <t>70-83</t>
  </si>
  <si>
    <t>99120201107</t>
  </si>
  <si>
    <t>START COLLECTING! SLAVES TO DARKNESS</t>
  </si>
  <si>
    <t>5011921128440</t>
  </si>
  <si>
    <t>83-01-60</t>
  </si>
  <si>
    <t>60030201020</t>
  </si>
  <si>
    <t>BATTLETOME: BLADES OF KHORNE (HB) (ENG)</t>
  </si>
  <si>
    <t>9781788264365</t>
  </si>
  <si>
    <t>83-02</t>
  </si>
  <si>
    <t>60030201022</t>
  </si>
  <si>
    <t>BATTLETOME: SLAVES TO DARKNESS (HB) ENG</t>
  </si>
  <si>
    <t>9781788268660</t>
  </si>
  <si>
    <t>83-06</t>
  </si>
  <si>
    <t>99120201047</t>
  </si>
  <si>
    <t>CHAOS WARRIORS</t>
  </si>
  <si>
    <t>5011921066810</t>
  </si>
  <si>
    <t>83-10</t>
  </si>
  <si>
    <t>99120201050</t>
  </si>
  <si>
    <t>CHAOS SPAWN</t>
  </si>
  <si>
    <t>5011921066841</t>
  </si>
  <si>
    <t>83-20</t>
  </si>
  <si>
    <t>99120201042</t>
  </si>
  <si>
    <t>KHORNE BLOODBOUND WRATHMONGERS</t>
  </si>
  <si>
    <t>5011921064038</t>
  </si>
  <si>
    <t>83-23</t>
  </si>
  <si>
    <t>99120201055</t>
  </si>
  <si>
    <t>DAEMON PRINCE</t>
  </si>
  <si>
    <t>5011921066902</t>
  </si>
  <si>
    <t>83-24</t>
  </si>
  <si>
    <t>99120201036</t>
  </si>
  <si>
    <t>KHORNE BLOODBOUND BLOOD WARRIORS</t>
  </si>
  <si>
    <t>5011921063581</t>
  </si>
  <si>
    <t>83-25</t>
  </si>
  <si>
    <t>99120201040</t>
  </si>
  <si>
    <t>NURGLE ROTBRINGERS THE GLOTTKIN</t>
  </si>
  <si>
    <t>5011921063796</t>
  </si>
  <si>
    <t>83-28</t>
  </si>
  <si>
    <t>99120201041</t>
  </si>
  <si>
    <t>NURGLE ROTBRINGERS PUTRID BLIGHTKINGS</t>
  </si>
  <si>
    <t>5011921063789</t>
  </si>
  <si>
    <t>83-29</t>
  </si>
  <si>
    <t>99120201037</t>
  </si>
  <si>
    <t>KHORNE BLOODBOUND BLOODREAVERS</t>
  </si>
  <si>
    <t>5011921063574</t>
  </si>
  <si>
    <t>83-32</t>
  </si>
  <si>
    <t>99070201009</t>
  </si>
  <si>
    <t>NURGLE ROTBRINGERS LORD OF PLAGUES</t>
  </si>
  <si>
    <t>5011921063741</t>
  </si>
  <si>
    <t>83-45</t>
  </si>
  <si>
    <t>60030201023</t>
  </si>
  <si>
    <t>B/TOME: DISCIPLES OF TZEENTCH (HB) ENG</t>
  </si>
  <si>
    <t>9781788269070</t>
  </si>
  <si>
    <t>83-49</t>
  </si>
  <si>
    <t>99070201024</t>
  </si>
  <si>
    <t>NURGLE ROTBRINGERS LORD OF BLIGHTS</t>
  </si>
  <si>
    <t>5011921092529</t>
  </si>
  <si>
    <t>83-50</t>
  </si>
  <si>
    <t>99120201045</t>
  </si>
  <si>
    <t>EVERCHOSEN ARCHAON EXALTED GRAND MARSHAL</t>
  </si>
  <si>
    <t>5011921066766</t>
  </si>
  <si>
    <t>83-51</t>
  </si>
  <si>
    <t>99120201046</t>
  </si>
  <si>
    <t>EVERCHOSEN VARANGUARD KNIGHTS OF RUIN</t>
  </si>
  <si>
    <t>5011921066797</t>
  </si>
  <si>
    <t>83-54</t>
  </si>
  <si>
    <t>99120201079</t>
  </si>
  <si>
    <t>START COLLECTING! MAGGOTKIN OF NURGLE</t>
  </si>
  <si>
    <t>5011921105335</t>
  </si>
  <si>
    <t>83-55</t>
  </si>
  <si>
    <t>99120201082</t>
  </si>
  <si>
    <t>BLADES OF KHORNE: JUDGEMENTS OF KHORNE</t>
  </si>
  <si>
    <t>5011921118960</t>
  </si>
  <si>
    <t>83-56</t>
  </si>
  <si>
    <t>99120201083</t>
  </si>
  <si>
    <t>BLADES OF KHORNE: SKULL ALTAR</t>
  </si>
  <si>
    <t>5011921118977</t>
  </si>
  <si>
    <t>83-58-60</t>
  </si>
  <si>
    <t>60030201019</t>
  </si>
  <si>
    <t>BATTLETOME: MAGGOTKIN OF NURGLE (HB) ENG</t>
  </si>
  <si>
    <t>9781788261296</t>
  </si>
  <si>
    <t>83-65</t>
  </si>
  <si>
    <t>99120201111</t>
  </si>
  <si>
    <t>ENDLESS SPELLS: SLAVES TO DARKNESS</t>
  </si>
  <si>
    <t>5011921133611</t>
  </si>
  <si>
    <t>83-72-60</t>
  </si>
  <si>
    <t>60030201021</t>
  </si>
  <si>
    <t>BATTLETOME:HEDONITES OF SLAANESH HB ENG</t>
  </si>
  <si>
    <t>9781788265027</t>
  </si>
  <si>
    <t>83-73</t>
  </si>
  <si>
    <t>99120201063</t>
  </si>
  <si>
    <t>TZEENTCH ARCANITES KAIRIC ACOLYTES</t>
  </si>
  <si>
    <t>5011921077571</t>
  </si>
  <si>
    <t>83-74</t>
  </si>
  <si>
    <t>99120201064</t>
  </si>
  <si>
    <t>TZEENTCH ARCANITES TZAANGOR ENLIGHTENED</t>
  </si>
  <si>
    <t>5011921077595</t>
  </si>
  <si>
    <t>83-75</t>
  </si>
  <si>
    <t>99120201065</t>
  </si>
  <si>
    <t>TZEENTCH ARCANITES TZAANGORS</t>
  </si>
  <si>
    <t>5011921077588</t>
  </si>
  <si>
    <t>83-76</t>
  </si>
  <si>
    <t>99070201021</t>
  </si>
  <si>
    <t>TZEENTCH ARCANITES TZAANGOR SHAMAN</t>
  </si>
  <si>
    <t>5011921077380</t>
  </si>
  <si>
    <t>83-80</t>
  </si>
  <si>
    <t>99120201076</t>
  </si>
  <si>
    <t>DARKOATH WARQUEEN MARAKARR BLOOD-SKY</t>
  </si>
  <si>
    <t>5011921098583</t>
  </si>
  <si>
    <t>83-85</t>
  </si>
  <si>
    <t>99120201112</t>
  </si>
  <si>
    <t>ENDLESS SPELLS: DISCIPLES OF TZEENTCH</t>
  </si>
  <si>
    <t>5011921133628</t>
  </si>
  <si>
    <t>70-92</t>
  </si>
  <si>
    <t>99120204019</t>
  </si>
  <si>
    <t>START COLLECTING! SYLVANETH</t>
  </si>
  <si>
    <t>5011921076642</t>
  </si>
  <si>
    <t>92-01-60</t>
  </si>
  <si>
    <t>60030204008</t>
  </si>
  <si>
    <t>BATTLETOME: SYLVANETH (HB) (ENGLISH)</t>
  </si>
  <si>
    <t>9781788265096</t>
  </si>
  <si>
    <t>92-06</t>
  </si>
  <si>
    <t>99120204012</t>
  </si>
  <si>
    <t>SYLVANETH DRYADS</t>
  </si>
  <si>
    <t>5011921062164</t>
  </si>
  <si>
    <t>92-07</t>
  </si>
  <si>
    <t>99120204013</t>
  </si>
  <si>
    <t>SYLVANETH TREELORD</t>
  </si>
  <si>
    <t>5011921063260</t>
  </si>
  <si>
    <t>92-12</t>
  </si>
  <si>
    <t>99120204015</t>
  </si>
  <si>
    <t>SYLVANETH ALARIELLE THE EVERQUEEN</t>
  </si>
  <si>
    <t>5011921073641</t>
  </si>
  <si>
    <t>92-13</t>
  </si>
  <si>
    <t>99120204018</t>
  </si>
  <si>
    <t>SYLVANETH KURNOTH HUNTERS</t>
  </si>
  <si>
    <t>5011921073658</t>
  </si>
  <si>
    <t>92-14</t>
  </si>
  <si>
    <t>99120204016</t>
  </si>
  <si>
    <t>SYLVANETH TREE-REVENANTS</t>
  </si>
  <si>
    <t>5011921073672</t>
  </si>
  <si>
    <t>92-15</t>
  </si>
  <si>
    <t>99120204017</t>
  </si>
  <si>
    <t>SYLVANETH DRYCHA HAMADRETH</t>
  </si>
  <si>
    <t>5011921073665</t>
  </si>
  <si>
    <t>92-21</t>
  </si>
  <si>
    <t>99120204023</t>
  </si>
  <si>
    <t>AGE OF SIGMAR: AWAKENED WYLDWOOD</t>
  </si>
  <si>
    <t>5011921123704</t>
  </si>
  <si>
    <t>92-22</t>
  </si>
  <si>
    <t>99120204024</t>
  </si>
  <si>
    <t>ENDLESS SPELLS: SYLVANETH</t>
  </si>
  <si>
    <t>5011921124138</t>
  </si>
  <si>
    <t>70-71</t>
  </si>
  <si>
    <t>99120205037</t>
  </si>
  <si>
    <t>START COLLECTING! GREYWATER FASTNESS</t>
  </si>
  <si>
    <t>5011921126378</t>
  </si>
  <si>
    <t>70-80</t>
  </si>
  <si>
    <t>99120205030</t>
  </si>
  <si>
    <t>START COLLECTING! KHARADRON OVERLORDS</t>
  </si>
  <si>
    <t>5011921090020</t>
  </si>
  <si>
    <t>70-85</t>
  </si>
  <si>
    <t>99120205029</t>
  </si>
  <si>
    <t>START COLLECTING! FYRESLAYERS</t>
  </si>
  <si>
    <t>5011921088171</t>
  </si>
  <si>
    <t>84-01-60</t>
  </si>
  <si>
    <t>60030205011</t>
  </si>
  <si>
    <t>BATTLETOME: FYRESLAYERS (HB) (ENGLISH)</t>
  </si>
  <si>
    <t>9781788263665</t>
  </si>
  <si>
    <t>84-02</t>
  </si>
  <si>
    <t>60030205012</t>
  </si>
  <si>
    <t>BATTLETOME: KHARADRON OVERLORDS (HB) ENG</t>
  </si>
  <si>
    <t>9781788269001</t>
  </si>
  <si>
    <t>84-24</t>
  </si>
  <si>
    <t>99120205016</t>
  </si>
  <si>
    <t>FYRESLAYERS HEARTHGUARD</t>
  </si>
  <si>
    <t>5011921067633</t>
  </si>
  <si>
    <t>84-25</t>
  </si>
  <si>
    <t>99120205015</t>
  </si>
  <si>
    <t>FYRESLAYERS VULKITE BERZERKERS</t>
  </si>
  <si>
    <t>5011921067626</t>
  </si>
  <si>
    <t>84-27</t>
  </si>
  <si>
    <t>99120205034</t>
  </si>
  <si>
    <t>FYRESLAYERS MAGMIC INVOCATIONS</t>
  </si>
  <si>
    <t>5011921118274</t>
  </si>
  <si>
    <t>84-30</t>
  </si>
  <si>
    <t>99120205023</t>
  </si>
  <si>
    <t>BROKK GRUNGSSON LORD-MAGNATE BARAK-NAR</t>
  </si>
  <si>
    <t>5011921083008</t>
  </si>
  <si>
    <t>84-35</t>
  </si>
  <si>
    <t>99120205020</t>
  </si>
  <si>
    <t>KHARADRON OVERLORDS ARKANAUT COMPANY</t>
  </si>
  <si>
    <t>5011921082971</t>
  </si>
  <si>
    <t>84-36</t>
  </si>
  <si>
    <t>99120205021</t>
  </si>
  <si>
    <t>KHARADRON OVERLORDS SKYRIGGERS</t>
  </si>
  <si>
    <t>5011921082988</t>
  </si>
  <si>
    <t>84-37</t>
  </si>
  <si>
    <t>99120205022</t>
  </si>
  <si>
    <t>KHARADRON OVERLORDS GRUNDSTOK THUNDERERS</t>
  </si>
  <si>
    <t>5011921082995</t>
  </si>
  <si>
    <t>84-39</t>
  </si>
  <si>
    <t>99120205018</t>
  </si>
  <si>
    <t>KHARADRON OVERLORDS ARKANAUT FRIGATE</t>
  </si>
  <si>
    <t>5011921082957</t>
  </si>
  <si>
    <t>84-40</t>
  </si>
  <si>
    <t>99120205028</t>
  </si>
  <si>
    <t>KHARADRON OVERLORDS ARKANAUT IRONCLAD</t>
  </si>
  <si>
    <t>5011921083633</t>
  </si>
  <si>
    <t>70-90</t>
  </si>
  <si>
    <t>99120206025</t>
  </si>
  <si>
    <t>START COLLECTING! SKAVEN PESTILENS</t>
  </si>
  <si>
    <t>5011921073405</t>
  </si>
  <si>
    <t>71-83</t>
  </si>
  <si>
    <t>99120206030</t>
  </si>
  <si>
    <t>SKAVEN CORRUPTING WAR-SWARM</t>
  </si>
  <si>
    <t>5011921124442</t>
  </si>
  <si>
    <t>90-06</t>
  </si>
  <si>
    <t>99120206027</t>
  </si>
  <si>
    <t>SKAVEN CLANRATS</t>
  </si>
  <si>
    <t>5011921096725</t>
  </si>
  <si>
    <t>90-12</t>
  </si>
  <si>
    <t>99120206021</t>
  </si>
  <si>
    <t>SKAVEN PESTILENS PLAGUE MONKS</t>
  </si>
  <si>
    <t>5011921063239</t>
  </si>
  <si>
    <t>90-17</t>
  </si>
  <si>
    <t>99120206017</t>
  </si>
  <si>
    <t>SKAVEN STORMFIENDS</t>
  </si>
  <si>
    <t>5011921057122</t>
  </si>
  <si>
    <t>90-21</t>
  </si>
  <si>
    <t>99120206023</t>
  </si>
  <si>
    <t>SKAVEN PESTILENS VERMINLORD CORRUPTOR</t>
  </si>
  <si>
    <t>5011921063253</t>
  </si>
  <si>
    <t>90-24-60</t>
  </si>
  <si>
    <t>60030206007</t>
  </si>
  <si>
    <t>BATTLETOME: SKAVEN (HB) (ENGLISH)</t>
  </si>
  <si>
    <t>9781788264044</t>
  </si>
  <si>
    <t>90-26</t>
  </si>
  <si>
    <t>99120206028</t>
  </si>
  <si>
    <t>SKAVEN GNAWHOLES</t>
  </si>
  <si>
    <t>5011921118793</t>
  </si>
  <si>
    <t>90-27</t>
  </si>
  <si>
    <t>99120206029</t>
  </si>
  <si>
    <t>ENDLESS SPELLS: SKAVEN</t>
  </si>
  <si>
    <t>5011921118809</t>
  </si>
  <si>
    <t>60-09-15</t>
  </si>
  <si>
    <t>99170207004</t>
  </si>
  <si>
    <t>N/HAUNT PAINT SET+ JPN/SIMP+TRAD CHINESE</t>
  </si>
  <si>
    <t>5011921102679</t>
  </si>
  <si>
    <t>60-09-60</t>
  </si>
  <si>
    <t>99170207001</t>
  </si>
  <si>
    <t>N/HAUNT PAINT SET+  ENG/SPA/PORT/LAT/ROM</t>
  </si>
  <si>
    <t>5011921102631</t>
  </si>
  <si>
    <t>70-93</t>
  </si>
  <si>
    <t>99120207036</t>
  </si>
  <si>
    <t>START COLLECTING! MALIGNANTS</t>
  </si>
  <si>
    <t>5011921071906</t>
  </si>
  <si>
    <t>70-94</t>
  </si>
  <si>
    <t>99120207037</t>
  </si>
  <si>
    <t>START COLLECTING! SKELETON HORDE</t>
  </si>
  <si>
    <t>5011921073399</t>
  </si>
  <si>
    <t>70-95</t>
  </si>
  <si>
    <t>99120207039</t>
  </si>
  <si>
    <t>START COLLECTING! FLESH-EATER COURTS</t>
  </si>
  <si>
    <t>5011921076628</t>
  </si>
  <si>
    <t>71-10</t>
  </si>
  <si>
    <t>99120207056</t>
  </si>
  <si>
    <t>ETB NIGHTHAUNT GLAIVEWRAITH STALKERS</t>
  </si>
  <si>
    <t>5011921099344</t>
  </si>
  <si>
    <t>71-11</t>
  </si>
  <si>
    <t>99120207055</t>
  </si>
  <si>
    <t>ETB: NIGHTHAUNT MYRMOURN BANSHEES</t>
  </si>
  <si>
    <t>5011921099337</t>
  </si>
  <si>
    <t>71-13</t>
  </si>
  <si>
    <t>99120207058</t>
  </si>
  <si>
    <t>ETB: NIGHTHAUNT REIKENOR THE GRIMHAILER</t>
  </si>
  <si>
    <t>5011921100804</t>
  </si>
  <si>
    <t>71-14</t>
  </si>
  <si>
    <t>99120207059</t>
  </si>
  <si>
    <t>ETB: NIGHTHAUNT CHAINRASP HORDES</t>
  </si>
  <si>
    <t>5011921100811</t>
  </si>
  <si>
    <t>71-15</t>
  </si>
  <si>
    <t>99120207063</t>
  </si>
  <si>
    <t>ETB: NIGHTHAUNT DREADBLADE HARROWS</t>
  </si>
  <si>
    <t>5011921100903</t>
  </si>
  <si>
    <t>71-86</t>
  </si>
  <si>
    <t>99120207072</t>
  </si>
  <si>
    <t>NIGHTHAUNT COURT OF THE CRAVEN KING</t>
  </si>
  <si>
    <t>5011921121649</t>
  </si>
  <si>
    <t>91-04-60</t>
  </si>
  <si>
    <t>60030207010</t>
  </si>
  <si>
    <t>BATTLETOME: LEGIONS OF NAGASH (HB) (ENG)</t>
  </si>
  <si>
    <t>9781788261463</t>
  </si>
  <si>
    <t>91-06</t>
  </si>
  <si>
    <t>99120207040</t>
  </si>
  <si>
    <t>DEATHRATTLE SKELETON WARRIORS</t>
  </si>
  <si>
    <t>5011921083367</t>
  </si>
  <si>
    <t>91-07</t>
  </si>
  <si>
    <t>99120207051</t>
  </si>
  <si>
    <t>DEADWALKERS ZOMBIES</t>
  </si>
  <si>
    <t>5011921096756</t>
  </si>
  <si>
    <t>91-10</t>
  </si>
  <si>
    <t>99120207054</t>
  </si>
  <si>
    <t>NIGHTHAUNT HEXWRAITHS</t>
  </si>
  <si>
    <t>5011921098927</t>
  </si>
  <si>
    <t>91-11</t>
  </si>
  <si>
    <t>99120207046</t>
  </si>
  <si>
    <t>DEATHRATTLE GRAVE GUARD</t>
  </si>
  <si>
    <t>5011921090389</t>
  </si>
  <si>
    <t>91-12</t>
  </si>
  <si>
    <t>99120207032</t>
  </si>
  <si>
    <t>FLESH-EATER COURTS CRYPT GHOULS</t>
  </si>
  <si>
    <t>5011921070398</t>
  </si>
  <si>
    <t>91-13</t>
  </si>
  <si>
    <t>99120207033</t>
  </si>
  <si>
    <t>FLESH-EATER COURTS CRYPT FLAYERS</t>
  </si>
  <si>
    <t>5011921070404</t>
  </si>
  <si>
    <t>91-14-60</t>
  </si>
  <si>
    <t>60030207011</t>
  </si>
  <si>
    <t>BATTLETOME: NIGHTHAUNT (HB) (ENGLISH)</t>
  </si>
  <si>
    <t>9781788262828</t>
  </si>
  <si>
    <t>91-19</t>
  </si>
  <si>
    <t>99120207052</t>
  </si>
  <si>
    <t>NIGHTHAUNT KELDREK: KNIGHT OF SHROUDS</t>
  </si>
  <si>
    <t>5011921098491</t>
  </si>
  <si>
    <t>91-21</t>
  </si>
  <si>
    <t>99120207053</t>
  </si>
  <si>
    <t>ENDLESS SPELLS: NIGHTHAUNT</t>
  </si>
  <si>
    <t>5011921098620</t>
  </si>
  <si>
    <t>91-22</t>
  </si>
  <si>
    <t>99120207057</t>
  </si>
  <si>
    <t>NIGHTHAUNT BLACK COACH</t>
  </si>
  <si>
    <t>5011921100781</t>
  </si>
  <si>
    <t>91-23</t>
  </si>
  <si>
    <t>99120207060</t>
  </si>
  <si>
    <t>NIGHTHAUNT CRAWLOCKE THE JAILOR</t>
  </si>
  <si>
    <t>5011921100828</t>
  </si>
  <si>
    <t>91-24</t>
  </si>
  <si>
    <t>99120207061</t>
  </si>
  <si>
    <t>KURDOSS VALENTIAN THE CRAVEN KING</t>
  </si>
  <si>
    <t>5011921100835</t>
  </si>
  <si>
    <t>91-25</t>
  </si>
  <si>
    <t>99120207064</t>
  </si>
  <si>
    <t>NIGHTHAUNT LADY OLYNDER</t>
  </si>
  <si>
    <t>5011921103614</t>
  </si>
  <si>
    <t>91-26</t>
  </si>
  <si>
    <t>99120207065</t>
  </si>
  <si>
    <t>NIGHTHAUNT GRIMGHAST REAPERS</t>
  </si>
  <si>
    <t>5011921103638</t>
  </si>
  <si>
    <t>91-27</t>
  </si>
  <si>
    <t>99120207066</t>
  </si>
  <si>
    <t>NIGHTHAUNT BLADEGHEIST REVENANTS</t>
  </si>
  <si>
    <t>5011921104581</t>
  </si>
  <si>
    <t>91-28</t>
  </si>
  <si>
    <t>99120207067</t>
  </si>
  <si>
    <t>NIGHTHAUNT DREADSCYTHE HARRIDANS</t>
  </si>
  <si>
    <t>5011921104598</t>
  </si>
  <si>
    <t>91-29-60</t>
  </si>
  <si>
    <t>60030207012</t>
  </si>
  <si>
    <t>BATTLETOME: FLESH-EATER COURTS (HB) ENG</t>
  </si>
  <si>
    <t>9781788264297</t>
  </si>
  <si>
    <t>91-31</t>
  </si>
  <si>
    <t>99070207006</t>
  </si>
  <si>
    <t>DEATHRATTLE WIGHT KING</t>
  </si>
  <si>
    <t>5011921090587</t>
  </si>
  <si>
    <t>91-32</t>
  </si>
  <si>
    <t>99070207007</t>
  </si>
  <si>
    <t>NIGHTHAUNT CAIRN WRAITH</t>
  </si>
  <si>
    <t>5011921090594</t>
  </si>
  <si>
    <t>91-33</t>
  </si>
  <si>
    <t>99070207003</t>
  </si>
  <si>
    <t>VAMPIRE COUNTS: TOMB BANSHEE</t>
  </si>
  <si>
    <t>5011921025336</t>
  </si>
  <si>
    <t>95030035</t>
  </si>
  <si>
    <t>91-34</t>
  </si>
  <si>
    <t>99070207005</t>
  </si>
  <si>
    <t>DEATHMAGES NECROMANCER</t>
  </si>
  <si>
    <t>5011921081370</t>
  </si>
  <si>
    <t>91-35</t>
  </si>
  <si>
    <t>99070207008</t>
  </si>
  <si>
    <t>NIGHTHAUNT LIEKORON THE EXECUTIONER</t>
  </si>
  <si>
    <t>5011921100842</t>
  </si>
  <si>
    <t>91-38</t>
  </si>
  <si>
    <t>99120207070</t>
  </si>
  <si>
    <t>FLESH-EATER COURTS CHARNEL THRONE</t>
  </si>
  <si>
    <t>5011921118779</t>
  </si>
  <si>
    <t>91-39</t>
  </si>
  <si>
    <t>99120207071</t>
  </si>
  <si>
    <t>ENDLESS SPELLS: FLESH-EATER COURTS</t>
  </si>
  <si>
    <t>5011921118786</t>
  </si>
  <si>
    <t>93-05</t>
  </si>
  <si>
    <t>99120207029</t>
  </si>
  <si>
    <t>DEATHLORDS NAGASH SUPREME LORD OF UNDEAD</t>
  </si>
  <si>
    <t>5011921069576</t>
  </si>
  <si>
    <t>93-07</t>
  </si>
  <si>
    <t>99120207048</t>
  </si>
  <si>
    <t>DEATHLORDS MORGHASTS</t>
  </si>
  <si>
    <t>5011921094912</t>
  </si>
  <si>
    <t>93-08</t>
  </si>
  <si>
    <t>99120207030</t>
  </si>
  <si>
    <t>NIGHTHAUNT SPIRIT HOSTS</t>
  </si>
  <si>
    <t>5011921069569</t>
  </si>
  <si>
    <t>94-01</t>
  </si>
  <si>
    <t>60030207013</t>
  </si>
  <si>
    <t>B/TOME: OSSIARCH BONEREAPERS (HB) ENG</t>
  </si>
  <si>
    <t>9781788268547</t>
  </si>
  <si>
    <t>94-21</t>
  </si>
  <si>
    <t>99070207011</t>
  </si>
  <si>
    <t>OSSIARCH BONEREAPERS MORTISAN SOULREAPER</t>
  </si>
  <si>
    <t>5011921126262</t>
  </si>
  <si>
    <t>94-22</t>
  </si>
  <si>
    <t>99070207010</t>
  </si>
  <si>
    <t>OSSIARCH BONEREAPERS MORTISAN BONESHAPER</t>
  </si>
  <si>
    <t>5011921126279</t>
  </si>
  <si>
    <t>94-23</t>
  </si>
  <si>
    <t>99120207081</t>
  </si>
  <si>
    <t>OSSIARCH BONEREAPERS NECROPOLIS STALKERS</t>
  </si>
  <si>
    <t>5011921126286</t>
  </si>
  <si>
    <t>94-24</t>
  </si>
  <si>
    <t>99120207080</t>
  </si>
  <si>
    <t>OSSIARCH BONEREAPERS MORTISAN SOULMASON</t>
  </si>
  <si>
    <t>5011921126293</t>
  </si>
  <si>
    <t>94-25</t>
  </si>
  <si>
    <t>99120207079</t>
  </si>
  <si>
    <t>OSSIARCH BONEREAPERS MORTEK GUARD</t>
  </si>
  <si>
    <t>5011921126309</t>
  </si>
  <si>
    <t>94-26</t>
  </si>
  <si>
    <t>99120207078</t>
  </si>
  <si>
    <t>OSSIARCH BONEREAPERS MORTEK CRAWLER</t>
  </si>
  <si>
    <t>5011921126316</t>
  </si>
  <si>
    <t>94-27</t>
  </si>
  <si>
    <t>99120207077</t>
  </si>
  <si>
    <t>OSSIARCH BONEREAPERS KAVALOS DEATHRIDERS</t>
  </si>
  <si>
    <t>5011921126323</t>
  </si>
  <si>
    <t>94-28</t>
  </si>
  <si>
    <t>99120207076</t>
  </si>
  <si>
    <t>KATAKROS MORTARCH OF THE NECROPOLIS</t>
  </si>
  <si>
    <t>5011921126330</t>
  </si>
  <si>
    <t>94-29</t>
  </si>
  <si>
    <t>99120207075</t>
  </si>
  <si>
    <t>OSSIARCH BONEREAPERS GOTHIZZAR HARVESTER</t>
  </si>
  <si>
    <t>5011921126347</t>
  </si>
  <si>
    <t>94-30</t>
  </si>
  <si>
    <t>99120207074</t>
  </si>
  <si>
    <t>ARCH-KAVALOS ZANDTOS DARK LANCE OF OSSIA</t>
  </si>
  <si>
    <t>5011921126354</t>
  </si>
  <si>
    <t>94-31</t>
  </si>
  <si>
    <t>99120207082</t>
  </si>
  <si>
    <t>ENDLESS SPELLS: OSSIARCH BONEREAPERS</t>
  </si>
  <si>
    <t>5011921128075</t>
  </si>
  <si>
    <t>94-32</t>
  </si>
  <si>
    <t>99120207083</t>
  </si>
  <si>
    <t>OSSIARCH BONEREAPERS: BONE-TITHE NEXUS</t>
  </si>
  <si>
    <t>5011921129232</t>
  </si>
  <si>
    <t>70-88</t>
  </si>
  <si>
    <t>99120208023</t>
  </si>
  <si>
    <t>START COLLECTING! SERAPHON</t>
  </si>
  <si>
    <t>5011921066551</t>
  </si>
  <si>
    <t>88-07</t>
  </si>
  <si>
    <t>99120208014</t>
  </si>
  <si>
    <t>SERAPHON SKINKS</t>
  </si>
  <si>
    <t>5011921065103</t>
  </si>
  <si>
    <t>88-12</t>
  </si>
  <si>
    <t>99120208016</t>
  </si>
  <si>
    <t>SERAPHON SAURUS GUARD</t>
  </si>
  <si>
    <t>5011921066322</t>
  </si>
  <si>
    <t>88-16</t>
  </si>
  <si>
    <t>99070208003</t>
  </si>
  <si>
    <t>SKINK STARPRIEST</t>
  </si>
  <si>
    <t>5011921066490</t>
  </si>
  <si>
    <t>70-89</t>
  </si>
  <si>
    <t>99120209037</t>
  </si>
  <si>
    <t>START COLLECTING! IRONJAWZ</t>
  </si>
  <si>
    <t>5011921076611</t>
  </si>
  <si>
    <t>89-01</t>
  </si>
  <si>
    <t>60030209011</t>
  </si>
  <si>
    <t>BATTLETOME: ORRUK WARCLANS (HB) (ENG)</t>
  </si>
  <si>
    <t>9781788268332</t>
  </si>
  <si>
    <t>89-07</t>
  </si>
  <si>
    <t>99120209046</t>
  </si>
  <si>
    <t>GLOOMSPITE GITZ GROTS</t>
  </si>
  <si>
    <t>5011921109968</t>
  </si>
  <si>
    <t>89-08</t>
  </si>
  <si>
    <t>99120209045</t>
  </si>
  <si>
    <t>MOONCLAN SNAZZGAR STINKMULLETT</t>
  </si>
  <si>
    <t>5011921098576</t>
  </si>
  <si>
    <t>89-19</t>
  </si>
  <si>
    <t>99120209036</t>
  </si>
  <si>
    <t>BONESPLITTERZ SAVAGE ORRUKS</t>
  </si>
  <si>
    <t>5011921076536</t>
  </si>
  <si>
    <t>89-20</t>
  </si>
  <si>
    <t>99120209035</t>
  </si>
  <si>
    <t>BONESPLITTERZ SAVAGE BOARBOYS</t>
  </si>
  <si>
    <t>5011921076529</t>
  </si>
  <si>
    <t>89-21</t>
  </si>
  <si>
    <t>99120209033</t>
  </si>
  <si>
    <t>IRONJAWZ ORRUK ARDBOYZ</t>
  </si>
  <si>
    <t>5011921070305</t>
  </si>
  <si>
    <t>89-24</t>
  </si>
  <si>
    <t>99120209055</t>
  </si>
  <si>
    <t>GLOOMSPITE GITZ: FANATICS</t>
  </si>
  <si>
    <t>5011921113118</t>
  </si>
  <si>
    <t>89-25</t>
  </si>
  <si>
    <t>99120209032</t>
  </si>
  <si>
    <t>IRONJAWZ ORRUK MAW-KRUSHA</t>
  </si>
  <si>
    <t>5011921070299</t>
  </si>
  <si>
    <t>89-26</t>
  </si>
  <si>
    <t>99070209003</t>
  </si>
  <si>
    <t>IRONJAWZ ORRUK MEGABOSS</t>
  </si>
  <si>
    <t>5011921070251</t>
  </si>
  <si>
    <t>89-27</t>
  </si>
  <si>
    <t>99070209005</t>
  </si>
  <si>
    <t>IRONJAWZ ORRUK WEIRDNOB SHAMAN</t>
  </si>
  <si>
    <t>5011921070244</t>
  </si>
  <si>
    <t>89-29</t>
  </si>
  <si>
    <t>99120209030</t>
  </si>
  <si>
    <t>IRONJAWZ ORRUK BRUTES</t>
  </si>
  <si>
    <t>5011921070275</t>
  </si>
  <si>
    <t>89-33</t>
  </si>
  <si>
    <t>99120209049</t>
  </si>
  <si>
    <t>GLOOMSPITE GITZ ROCKGUT TROGGOTHS</t>
  </si>
  <si>
    <t>5011921112227</t>
  </si>
  <si>
    <t>89-36</t>
  </si>
  <si>
    <t>99120209060</t>
  </si>
  <si>
    <t>GLOOMSPITE GITZ: BAD MOON LOONSHRINE</t>
  </si>
  <si>
    <t>5011921118236</t>
  </si>
  <si>
    <t>89-37</t>
  </si>
  <si>
    <t>99120209048</t>
  </si>
  <si>
    <t>GLOOMSPITE GITZ SNEAKY SNUFFLERS</t>
  </si>
  <si>
    <t>5011921112210</t>
  </si>
  <si>
    <t>89-38</t>
  </si>
  <si>
    <t>99120209061</t>
  </si>
  <si>
    <t>ENDLESS SPELLS: GLOOMSPITE GITZ</t>
  </si>
  <si>
    <t>5011921118243</t>
  </si>
  <si>
    <t>89-44</t>
  </si>
  <si>
    <t>99120209052</t>
  </si>
  <si>
    <t>GLOOMSPITE GITZ SQUIG HOPPERS</t>
  </si>
  <si>
    <t>5011921112777</t>
  </si>
  <si>
    <t>89-45</t>
  </si>
  <si>
    <t>99120209051</t>
  </si>
  <si>
    <t>GLOOMSPITE GITZ SKRAGROTT THE LOONKING</t>
  </si>
  <si>
    <t>5011921112760</t>
  </si>
  <si>
    <t>89-46</t>
  </si>
  <si>
    <t>99120209050</t>
  </si>
  <si>
    <t>GLOOMSPITE GITZ MANGLER SQUIGS</t>
  </si>
  <si>
    <t>5011921112753</t>
  </si>
  <si>
    <t>89-48</t>
  </si>
  <si>
    <t>99120209047</t>
  </si>
  <si>
    <t>GLOOMSPITE GITZ SQUIG HERD</t>
  </si>
  <si>
    <t>5011921112203</t>
  </si>
  <si>
    <t>89-50</t>
  </si>
  <si>
    <t>99120209053</t>
  </si>
  <si>
    <t>GLOOMSPITE GITS DANKHOLD TROGGOTH</t>
  </si>
  <si>
    <t>5011921113095</t>
  </si>
  <si>
    <t>89-51</t>
  </si>
  <si>
    <t>99120209054</t>
  </si>
  <si>
    <t>GLOOMSPITE GITZ GOBBAPALOOZA</t>
  </si>
  <si>
    <t>5011921113101</t>
  </si>
  <si>
    <t>89-58</t>
  </si>
  <si>
    <t>99070209006</t>
  </si>
  <si>
    <t>GLOOMSPITE GITZ LOONBOSS</t>
  </si>
  <si>
    <t>5011921076673</t>
  </si>
  <si>
    <t>89-63-60</t>
  </si>
  <si>
    <t>60030209010</t>
  </si>
  <si>
    <t>BATTLETOME: GLOOMSPITE GITZ (HB) (ENG)</t>
  </si>
  <si>
    <t>9781788263887</t>
  </si>
  <si>
    <t>87-18</t>
  </si>
  <si>
    <t>99120210023</t>
  </si>
  <si>
    <t>HIGH ELF SHADOW WARRIORS</t>
  </si>
  <si>
    <t>High Elf</t>
  </si>
  <si>
    <t>5011921046485</t>
  </si>
  <si>
    <t>111-20</t>
  </si>
  <si>
    <t>99120211001</t>
  </si>
  <si>
    <t>WARCRY: IRON GOLEM</t>
  </si>
  <si>
    <t>Chaos Dwarf</t>
  </si>
  <si>
    <t>5011921018598</t>
  </si>
  <si>
    <t>70-62</t>
  </si>
  <si>
    <t>99120212023</t>
  </si>
  <si>
    <t>START COLLECTING! ANVILGARD</t>
  </si>
  <si>
    <t>5011921126361</t>
  </si>
  <si>
    <t>85-05-60</t>
  </si>
  <si>
    <t>60030212007</t>
  </si>
  <si>
    <t>BATTLETOME: DAUGHTERS OF KHAINE (HB) ENG</t>
  </si>
  <si>
    <t>9781788261524</t>
  </si>
  <si>
    <t>85-10</t>
  </si>
  <si>
    <t>99120212020</t>
  </si>
  <si>
    <t>DAUGHTERS OF KHAINE WITCH AELVES</t>
  </si>
  <si>
    <t>5011921095636</t>
  </si>
  <si>
    <t>85-14</t>
  </si>
  <si>
    <t>99120212019</t>
  </si>
  <si>
    <t>DAUGHTERS OF KHAINE DOOMFIRE WARLOCKS</t>
  </si>
  <si>
    <t>5011921095513</t>
  </si>
  <si>
    <t>85-18</t>
  </si>
  <si>
    <t>99120212015</t>
  </si>
  <si>
    <t>DAUGHTERS OF KHAINE MORATHI</t>
  </si>
  <si>
    <t>5011921095476</t>
  </si>
  <si>
    <t>85-19</t>
  </si>
  <si>
    <t>99120212016</t>
  </si>
  <si>
    <t>DAUGHTERS OF KHAINE KHINERAI</t>
  </si>
  <si>
    <t>5011921095483</t>
  </si>
  <si>
    <t>85-20</t>
  </si>
  <si>
    <t>99120212017</t>
  </si>
  <si>
    <t>DAUGHTERS OF KHAINE MELUSAI</t>
  </si>
  <si>
    <t>5011921095490</t>
  </si>
  <si>
    <t>85-34</t>
  </si>
  <si>
    <t>99070212001</t>
  </si>
  <si>
    <t>DARK ELF SUPREME SORCERESS</t>
  </si>
  <si>
    <t>5011921996155</t>
  </si>
  <si>
    <t>70-86</t>
  </si>
  <si>
    <t>99120213018</t>
  </si>
  <si>
    <t>START COLLECTING! BEASTCLAW RAIDERS</t>
  </si>
  <si>
    <t>5011921088188</t>
  </si>
  <si>
    <t>95-03</t>
  </si>
  <si>
    <t>60030213006</t>
  </si>
  <si>
    <t>BATTLETOME: OGOR MAWTRIBES (HB) (ENG)</t>
  </si>
  <si>
    <t>9781788268479</t>
  </si>
  <si>
    <t>95-06</t>
  </si>
  <si>
    <t>99120213019</t>
  </si>
  <si>
    <t>GUTBUSTERS OGORS</t>
  </si>
  <si>
    <t>5011921096749</t>
  </si>
  <si>
    <t>111-19</t>
  </si>
  <si>
    <t>99120216013</t>
  </si>
  <si>
    <t>WARCRY: UNTAMED BEASTS</t>
  </si>
  <si>
    <t>5011921121670</t>
  </si>
  <si>
    <t>111-21</t>
  </si>
  <si>
    <t>99120216014</t>
  </si>
  <si>
    <t>WARCRY: CHAOTIC BEASTS</t>
  </si>
  <si>
    <t>5011921121687</t>
  </si>
  <si>
    <t>70-79</t>
  </si>
  <si>
    <t>99120216010</t>
  </si>
  <si>
    <t>START COLLECTING! BEASTS OF CHAOS</t>
  </si>
  <si>
    <t>5011921104871</t>
  </si>
  <si>
    <t>81-01-60</t>
  </si>
  <si>
    <t>60030216003</t>
  </si>
  <si>
    <t>BATTLETOME: BEASTS OF CHAOS (HB) (ENG)</t>
  </si>
  <si>
    <t>9781788263160</t>
  </si>
  <si>
    <t>81-02</t>
  </si>
  <si>
    <t>99120216011</t>
  </si>
  <si>
    <t>ENDLESS SPELLS: BEASTS OF CHAOS</t>
  </si>
  <si>
    <t>5011921108121</t>
  </si>
  <si>
    <t>81-03</t>
  </si>
  <si>
    <t>99120216012</t>
  </si>
  <si>
    <t>BEASTS OF CHAOS HERDSTONE</t>
  </si>
  <si>
    <t>5011921108206</t>
  </si>
  <si>
    <t>81-08</t>
  </si>
  <si>
    <t>99120216009</t>
  </si>
  <si>
    <t>BRAYHERDS GORS</t>
  </si>
  <si>
    <t>5011921102730</t>
  </si>
  <si>
    <t>60-10-15</t>
  </si>
  <si>
    <t>99170218006</t>
  </si>
  <si>
    <t>S/CAST PAINT SET+ JPN/SIMP+TRAD CHINESE</t>
  </si>
  <si>
    <t>5011921102617</t>
  </si>
  <si>
    <t>60-10-60</t>
  </si>
  <si>
    <t>99170218003</t>
  </si>
  <si>
    <t>S/CAST PAINT SET+ ENG/SPA/PORT/LATV/ROM</t>
  </si>
  <si>
    <t>5011921102549</t>
  </si>
  <si>
    <t>70-87</t>
  </si>
  <si>
    <t>99120218025</t>
  </si>
  <si>
    <t>START COLLECTING! STORMCAST VANGUARD</t>
  </si>
  <si>
    <t>5011921088195</t>
  </si>
  <si>
    <t>70-99</t>
  </si>
  <si>
    <t>99120218017</t>
  </si>
  <si>
    <t>START COLLECTING! T/STRIKE BROTHERHOOD</t>
  </si>
  <si>
    <t>5011921079971</t>
  </si>
  <si>
    <t>71-08</t>
  </si>
  <si>
    <t>99120218033</t>
  </si>
  <si>
    <t>ETB CASTIGATORS WITH GRYPH-HOUND</t>
  </si>
  <si>
    <t>5011921099313</t>
  </si>
  <si>
    <t>71-09</t>
  </si>
  <si>
    <t>99120218034</t>
  </si>
  <si>
    <t>ETB: STORMCAST ETERNALS SEQUITORS</t>
  </si>
  <si>
    <t>5011921099320</t>
  </si>
  <si>
    <t>71-12</t>
  </si>
  <si>
    <t>99120218035</t>
  </si>
  <si>
    <t>ETB ASTREIA SOLBRIGHT LORD-ARCANUM</t>
  </si>
  <si>
    <t>5011921100798</t>
  </si>
  <si>
    <t>71-16</t>
  </si>
  <si>
    <t>99120218036</t>
  </si>
  <si>
    <t>ETB:STORMCAST ETERNALS CELESTAR BALLISTA</t>
  </si>
  <si>
    <t>5011921100910</t>
  </si>
  <si>
    <t>71-96</t>
  </si>
  <si>
    <t>99120218045</t>
  </si>
  <si>
    <t>STORMCAST ETERNALS EXORCISM SOULSTRIKE</t>
  </si>
  <si>
    <t>5011921120598</t>
  </si>
  <si>
    <t>96-01-60</t>
  </si>
  <si>
    <t>60030218006</t>
  </si>
  <si>
    <t>BATTLETOME: STORMCAST ETERNALS (HB) ENG</t>
  </si>
  <si>
    <t>9781788262880</t>
  </si>
  <si>
    <t>96-10</t>
  </si>
  <si>
    <t>99120218014</t>
  </si>
  <si>
    <t>STORMCAST ETERNALS LIBERATORS</t>
  </si>
  <si>
    <t>5011921079261</t>
  </si>
  <si>
    <t>96-11</t>
  </si>
  <si>
    <t>99120218013</t>
  </si>
  <si>
    <t>STORMCAST ETERNALS JUDICATORS</t>
  </si>
  <si>
    <t>5011921079278</t>
  </si>
  <si>
    <t>96-12</t>
  </si>
  <si>
    <t>99120218005</t>
  </si>
  <si>
    <t>STORMCAST ETERNALS PALADINS</t>
  </si>
  <si>
    <t>5011921061198</t>
  </si>
  <si>
    <t>96-14</t>
  </si>
  <si>
    <t>99070218003</t>
  </si>
  <si>
    <t>STORMCAST ETERNALS LORD-CASTELLANT</t>
  </si>
  <si>
    <t>5011921061242</t>
  </si>
  <si>
    <t>96-17</t>
  </si>
  <si>
    <t>99120218003</t>
  </si>
  <si>
    <t>STORMCAST ETERNALS KNIGHT-AZYROS</t>
  </si>
  <si>
    <t>5011921061150</t>
  </si>
  <si>
    <t>96-18</t>
  </si>
  <si>
    <t>99070218002</t>
  </si>
  <si>
    <t>STORMCAST ETERNALS KNIGHT-VEXILLOR</t>
  </si>
  <si>
    <t>5011921061235</t>
  </si>
  <si>
    <t>96-23</t>
  </si>
  <si>
    <t>99120218008</t>
  </si>
  <si>
    <t>STORMCAST ETERNALS STARDRAKE</t>
  </si>
  <si>
    <t>5011921069729</t>
  </si>
  <si>
    <t>96-24</t>
  </si>
  <si>
    <t>99120218009</t>
  </si>
  <si>
    <t>STORMCAST ETERNALS DRACOTHIAN GUARD</t>
  </si>
  <si>
    <t>5011921069736</t>
  </si>
  <si>
    <t>96-28</t>
  </si>
  <si>
    <t>99120218021</t>
  </si>
  <si>
    <t>STORMCAST ETERNALS VANGUARD-HUNTERS</t>
  </si>
  <si>
    <t>5011921082940</t>
  </si>
  <si>
    <t>96-30</t>
  </si>
  <si>
    <t>99120218023</t>
  </si>
  <si>
    <t>STORMCAST ETERNALS VANGUARD-RAPTORS</t>
  </si>
  <si>
    <t>5011921082902</t>
  </si>
  <si>
    <t>96-31</t>
  </si>
  <si>
    <t>99120218019</t>
  </si>
  <si>
    <t>STORMCAST ETERNALS GRYPH-HOUNDS</t>
  </si>
  <si>
    <t>5011921082919</t>
  </si>
  <si>
    <t>96-34</t>
  </si>
  <si>
    <t>99120218027</t>
  </si>
  <si>
    <t>LORD-CELESTANT GAVRIEL SUREHEART</t>
  </si>
  <si>
    <t>5011921091348</t>
  </si>
  <si>
    <t>96-35</t>
  </si>
  <si>
    <t>99070218012</t>
  </si>
  <si>
    <t>STORMCAST ETERNALS NEAVE BLACKTALON</t>
  </si>
  <si>
    <t>5011921092765</t>
  </si>
  <si>
    <t>96-36</t>
  </si>
  <si>
    <t>99120218031</t>
  </si>
  <si>
    <t>LORD-ORDINATOR VORRUS STARSTRIKE</t>
  </si>
  <si>
    <t>5011921098569</t>
  </si>
  <si>
    <t>96-37</t>
  </si>
  <si>
    <t>99120218032</t>
  </si>
  <si>
    <t>ENDLESS SPELLS: STORMCAST ETERNALS</t>
  </si>
  <si>
    <t>5011921098637</t>
  </si>
  <si>
    <t>96-38</t>
  </si>
  <si>
    <t>99070218013</t>
  </si>
  <si>
    <t>LORD-ORDINATOR WITH ASTRAL GRANDHAMMER</t>
  </si>
  <si>
    <t>5011921103645</t>
  </si>
  <si>
    <t>96-39</t>
  </si>
  <si>
    <t>99070218014</t>
  </si>
  <si>
    <t>STORMCAST ETERNALS LORD-EXORCIST</t>
  </si>
  <si>
    <t>5011921103652</t>
  </si>
  <si>
    <t>96-40</t>
  </si>
  <si>
    <t>99120218037</t>
  </si>
  <si>
    <t>AVENTIS FIRESTRIKE MAGISTER OF HAMMERHAL</t>
  </si>
  <si>
    <t>5011921104611</t>
  </si>
  <si>
    <t>96-41</t>
  </si>
  <si>
    <t>99120218038</t>
  </si>
  <si>
    <t>S/E EVOCATORS ON CELESTIAL DRACOLINES</t>
  </si>
  <si>
    <t>5011921104628</t>
  </si>
  <si>
    <t>96-42</t>
  </si>
  <si>
    <t>99120218039</t>
  </si>
  <si>
    <t>STORMCAST ETERNALS EVOCATORS</t>
  </si>
  <si>
    <t>5011921104635</t>
  </si>
  <si>
    <t>96-43</t>
  </si>
  <si>
    <t>99120218040</t>
  </si>
  <si>
    <t>STORMCAST ETERNALS SEQUITORS</t>
  </si>
  <si>
    <t>5011921104642</t>
  </si>
  <si>
    <t>111-07</t>
  </si>
  <si>
    <t>99220219002</t>
  </si>
  <si>
    <t>WARCRY: IDONETH DEEPKIN CARD PACK</t>
  </si>
  <si>
    <t>Aelves</t>
  </si>
  <si>
    <t>5011921121038</t>
  </si>
  <si>
    <t>70-78</t>
  </si>
  <si>
    <t>99120219012</t>
  </si>
  <si>
    <t>START COLLECTING! IDONETH DEEPKIN</t>
  </si>
  <si>
    <t>5011921105168</t>
  </si>
  <si>
    <t>87-01-60</t>
  </si>
  <si>
    <t>60030219001</t>
  </si>
  <si>
    <t>BATTLETOME: IDONETH DEEPKIN (HB) (ENG)</t>
  </si>
  <si>
    <t>9781788262286</t>
  </si>
  <si>
    <t>87-25</t>
  </si>
  <si>
    <t>99070219004</t>
  </si>
  <si>
    <t>IDONETH DEEPKIN: ISHARANN SOULRENDER</t>
  </si>
  <si>
    <t>5011921097456</t>
  </si>
  <si>
    <t>87-26</t>
  </si>
  <si>
    <t>99070219005</t>
  </si>
  <si>
    <t>IDONETH DEEPKIN: ISHARANN SOULSCRYER</t>
  </si>
  <si>
    <t>5011921097463</t>
  </si>
  <si>
    <t>87-27</t>
  </si>
  <si>
    <t>99070219006</t>
  </si>
  <si>
    <t>IDONETH DEEPKIN: ISHARANN TIDECASTER</t>
  </si>
  <si>
    <t>5011921097470</t>
  </si>
  <si>
    <t>87-28</t>
  </si>
  <si>
    <t>99120219004</t>
  </si>
  <si>
    <t>VOLTURNOS HIGH KING OF THE DEEP</t>
  </si>
  <si>
    <t>5011921097487</t>
  </si>
  <si>
    <t>87-29</t>
  </si>
  <si>
    <t>99120219011</t>
  </si>
  <si>
    <t>IDONETH DEEPKIN: NAMARTI THRALLS</t>
  </si>
  <si>
    <t>5011921097555</t>
  </si>
  <si>
    <t>87-30</t>
  </si>
  <si>
    <t>99120219010</t>
  </si>
  <si>
    <t>IDONETH DEEPKIN: NAMARTI REAVERS</t>
  </si>
  <si>
    <t>5011921097548</t>
  </si>
  <si>
    <t>87-31</t>
  </si>
  <si>
    <t>99120219006</t>
  </si>
  <si>
    <t>LOTANN WARDEN OF THE SOUL LEDGERS</t>
  </si>
  <si>
    <t>5011921097500</t>
  </si>
  <si>
    <t>87-32</t>
  </si>
  <si>
    <t>99120219005</t>
  </si>
  <si>
    <t>IDONETH DEEPKIN: EIDOLON OF MATHLANN</t>
  </si>
  <si>
    <t>5011921097494</t>
  </si>
  <si>
    <t>87-33</t>
  </si>
  <si>
    <t>99120219009</t>
  </si>
  <si>
    <t>IDONETH DEEPKIN: AKHELIAN LEVIADON</t>
  </si>
  <si>
    <t>5011921097531</t>
  </si>
  <si>
    <t>87-34</t>
  </si>
  <si>
    <t>99120219008</t>
  </si>
  <si>
    <t>IDONETH DEEPKIN: AKHELIAN GUARD</t>
  </si>
  <si>
    <t>5011921097524</t>
  </si>
  <si>
    <t>87-35</t>
  </si>
  <si>
    <t>99120219007</t>
  </si>
  <si>
    <t>IDONETH DEEPKIN: AKHELIAN ALLOPEX</t>
  </si>
  <si>
    <t>5011921097517</t>
  </si>
  <si>
    <t>92-08</t>
  </si>
  <si>
    <t>99120219002</t>
  </si>
  <si>
    <t>WANDERERS SISTERS OF THE THORN</t>
  </si>
  <si>
    <t>5011921083343</t>
  </si>
  <si>
    <t>92-09</t>
  </si>
  <si>
    <t>99120219001</t>
  </si>
  <si>
    <t>WANDERERS ETERNAL GUARD</t>
  </si>
  <si>
    <t>5011921083350</t>
  </si>
  <si>
    <t>BL1024</t>
  </si>
  <si>
    <t>60100281250</t>
  </si>
  <si>
    <t>WARHAMMER CHRONICLES: THE ORION TRILOGY</t>
  </si>
  <si>
    <t>9781784969967</t>
  </si>
  <si>
    <t>BL2296</t>
  </si>
  <si>
    <t>60100281182</t>
  </si>
  <si>
    <t>LEGENDS OF THE AGE OF SIGMAR (PB)</t>
  </si>
  <si>
    <t>9781784964474</t>
  </si>
  <si>
    <t>BL2397</t>
  </si>
  <si>
    <t>60100281191</t>
  </si>
  <si>
    <t>WH CHRONICLES: THE RISE OF NAGASH (PB)</t>
  </si>
  <si>
    <t>9781784966188</t>
  </si>
  <si>
    <t>BL2407</t>
  </si>
  <si>
    <t>60100281193</t>
  </si>
  <si>
    <t>AGE OF SIGMAR: PLAGUE GARDEN (PB)</t>
  </si>
  <si>
    <t>9781784966218</t>
  </si>
  <si>
    <t>BL2419</t>
  </si>
  <si>
    <t>60100281194</t>
  </si>
  <si>
    <t>VAMPIRE WARS:THE VON CARSTEIN TRILOGY PB</t>
  </si>
  <si>
    <t>9781784966287</t>
  </si>
  <si>
    <t>BL2426</t>
  </si>
  <si>
    <t>60100281195</t>
  </si>
  <si>
    <t>WH CHRONICLES: THE SUNDERING (PB)</t>
  </si>
  <si>
    <t>9781784966447</t>
  </si>
  <si>
    <t>BL2436</t>
  </si>
  <si>
    <t>60100281197</t>
  </si>
  <si>
    <t>EIGHT LAMENTATIONS: SPEAR OF SHADOWS PB</t>
  </si>
  <si>
    <t>9781784966676</t>
  </si>
  <si>
    <t>BL2453</t>
  </si>
  <si>
    <t>60100281204</t>
  </si>
  <si>
    <t>CHAMPIONS OF CHAOS (OMNIBUS) (PB)</t>
  </si>
  <si>
    <t>9781784966775</t>
  </si>
  <si>
    <t>BL2465</t>
  </si>
  <si>
    <t>60100281206</t>
  </si>
  <si>
    <t>OVERLORDS OF THE IRON DRAGON (PB)</t>
  </si>
  <si>
    <t>9781784966898</t>
  </si>
  <si>
    <t>BL2468</t>
  </si>
  <si>
    <t>60100281207</t>
  </si>
  <si>
    <t>MATHIAS THULMANN: WITCH HUNTER (PB)</t>
  </si>
  <si>
    <t>9781784967086</t>
  </si>
  <si>
    <t>BL2490</t>
  </si>
  <si>
    <t>60040281067</t>
  </si>
  <si>
    <t>ULRIKA THE VAMPIRE: THE OMNIBUS (PB)</t>
  </si>
  <si>
    <t>9781784967291</t>
  </si>
  <si>
    <t>BL2512</t>
  </si>
  <si>
    <t>60100281208</t>
  </si>
  <si>
    <t>THE REALMGATE WARS: VOLUME 1 (PB)</t>
  </si>
  <si>
    <t>9781784967574</t>
  </si>
  <si>
    <t>BL2519</t>
  </si>
  <si>
    <t>60100281217</t>
  </si>
  <si>
    <t>THE REALMGATE WARS: VOLUME 2 (PB)</t>
  </si>
  <si>
    <t>9781784967666</t>
  </si>
  <si>
    <t>BL2523</t>
  </si>
  <si>
    <t>60100281218</t>
  </si>
  <si>
    <t>WHC: MASTERS OF STEEL AND STONE (PB)</t>
  </si>
  <si>
    <t>9781784967703</t>
  </si>
  <si>
    <t>BL2557</t>
  </si>
  <si>
    <t>60100281220</t>
  </si>
  <si>
    <t>GOTREK &amp; FELIX: THE FIRST OMNIBUS (PB)</t>
  </si>
  <si>
    <t>9781784967857</t>
  </si>
  <si>
    <t>BL2558</t>
  </si>
  <si>
    <t>60680281014</t>
  </si>
  <si>
    <t>GOTREK: REALMSLAYER (AUDIOBOOK)</t>
  </si>
  <si>
    <t>9781784967864</t>
  </si>
  <si>
    <t>BL2563</t>
  </si>
  <si>
    <t>60100281221</t>
  </si>
  <si>
    <t>AOS: SACROSANCT &amp; OTHER STORIES (PB)</t>
  </si>
  <si>
    <t>9781784967925</t>
  </si>
  <si>
    <t>BL2602</t>
  </si>
  <si>
    <t>60100281227</t>
  </si>
  <si>
    <t>WH CHRONICLES: TYRION &amp; TECLIS (PB)</t>
  </si>
  <si>
    <t>9781784968359</t>
  </si>
  <si>
    <t>BL2609</t>
  </si>
  <si>
    <t>60100281230</t>
  </si>
  <si>
    <t>WHC: WARRIORS OF THE CHAOS WASTES (PB)</t>
  </si>
  <si>
    <t>9781784968571</t>
  </si>
  <si>
    <t>BL2622</t>
  </si>
  <si>
    <t>60100281233</t>
  </si>
  <si>
    <t>GOTREK &amp; FELIX: THE SECOND OMNIBUS (PB)</t>
  </si>
  <si>
    <t>9781784968762</t>
  </si>
  <si>
    <t>BL2626</t>
  </si>
  <si>
    <t>60100281234</t>
  </si>
  <si>
    <t>REALM QUEST: CITY OF LIFESTONE (PB)</t>
  </si>
  <si>
    <t>9781784967826</t>
  </si>
  <si>
    <t>BL2628</t>
  </si>
  <si>
    <t>60680281016</t>
  </si>
  <si>
    <t>REALM QUEST: CITY OF LIFESTONE (AUDIO)</t>
  </si>
  <si>
    <t>9781784969233</t>
  </si>
  <si>
    <t>BL2640</t>
  </si>
  <si>
    <t>60100281235</t>
  </si>
  <si>
    <t>SHADESPIRE: THE MIRRORED CITY (PB)</t>
  </si>
  <si>
    <t>9781784968915</t>
  </si>
  <si>
    <t>BL2641</t>
  </si>
  <si>
    <t>60100281236</t>
  </si>
  <si>
    <t>WHC: KNIGHTS OF THE EMPIRE (PB)</t>
  </si>
  <si>
    <t>9781784968939</t>
  </si>
  <si>
    <t>BL2653</t>
  </si>
  <si>
    <t>60100281237</t>
  </si>
  <si>
    <t>WHC: WARLORDS OF KARAK EIGHT PEAKS (PB)</t>
  </si>
  <si>
    <t>9781784969080</t>
  </si>
  <si>
    <t>BL2654</t>
  </si>
  <si>
    <t>60100281238</t>
  </si>
  <si>
    <t>DRACHENFELS (PB) (ENGLISH)</t>
  </si>
  <si>
    <t>9781784968823</t>
  </si>
  <si>
    <t>BL2655</t>
  </si>
  <si>
    <t>60680281018</t>
  </si>
  <si>
    <t>PALACE OF MEMORY &amp; OTHER STORIES (AUDIO)</t>
  </si>
  <si>
    <t>9781784969240</t>
  </si>
  <si>
    <t>BL2658</t>
  </si>
  <si>
    <t>60100281239</t>
  </si>
  <si>
    <t>BLACKTALON: FIRST MARK (PB)</t>
  </si>
  <si>
    <t>9781784969042</t>
  </si>
  <si>
    <t>BL2664</t>
  </si>
  <si>
    <t>60100281240</t>
  </si>
  <si>
    <t>HALLOWED KNIGHTS: BLACK PYRAMID (PB)</t>
  </si>
  <si>
    <t>9781784969301</t>
  </si>
  <si>
    <t>BL2667</t>
  </si>
  <si>
    <t>60100281241</t>
  </si>
  <si>
    <t>REALM QUEST: LAIR OF THE SKAVEN (PB)</t>
  </si>
  <si>
    <t>9781784967833</t>
  </si>
  <si>
    <t>BL2672</t>
  </si>
  <si>
    <t>60680281696</t>
  </si>
  <si>
    <t>DARKLY DREAMING (AUDIOBOOK)</t>
  </si>
  <si>
    <t>9781789990324</t>
  </si>
  <si>
    <t>BL2676</t>
  </si>
  <si>
    <t>60100281242</t>
  </si>
  <si>
    <t>RULERS OF THE DEAD (PB)</t>
  </si>
  <si>
    <t>9781784969325</t>
  </si>
  <si>
    <t>BL2707</t>
  </si>
  <si>
    <t>60100281245</t>
  </si>
  <si>
    <t>SOUL WARS (PB)</t>
  </si>
  <si>
    <t>9781784969899</t>
  </si>
  <si>
    <t>BL2708</t>
  </si>
  <si>
    <t>60100281246</t>
  </si>
  <si>
    <t>GOTREK &amp; FELIX: THE THIRD OMNIBUS (ENG)</t>
  </si>
  <si>
    <t>9781784969875</t>
  </si>
  <si>
    <t>BL2709</t>
  </si>
  <si>
    <t>60100281248</t>
  </si>
  <si>
    <t>REALM QUEST: FOREST OF THE ANCIENTS (PB)</t>
  </si>
  <si>
    <t>9781784969790</t>
  </si>
  <si>
    <t>BL2712</t>
  </si>
  <si>
    <t>60100281249</t>
  </si>
  <si>
    <t>HAMILCAR: CHAMPION OF THE GODS (PB)</t>
  </si>
  <si>
    <t>9781781939857</t>
  </si>
  <si>
    <t>BL2717</t>
  </si>
  <si>
    <t>60100281251</t>
  </si>
  <si>
    <t>SILVER NAILS (PB)</t>
  </si>
  <si>
    <t>9781784969097</t>
  </si>
  <si>
    <t>BL2718</t>
  </si>
  <si>
    <t>60100281252</t>
  </si>
  <si>
    <t>BEASTS IN VELVET (PB)</t>
  </si>
  <si>
    <t>9781784968946</t>
  </si>
  <si>
    <t>BL2720</t>
  </si>
  <si>
    <t>60100281253</t>
  </si>
  <si>
    <t>GODS AND MORTALS (PB)</t>
  </si>
  <si>
    <t>9781784969929</t>
  </si>
  <si>
    <t>BL2724</t>
  </si>
  <si>
    <t>60680281017</t>
  </si>
  <si>
    <t>THE IMPRECATIONS OF DAEMONS (AUDIOBOOK)</t>
  </si>
  <si>
    <t>9781784969547</t>
  </si>
  <si>
    <t>BL2732</t>
  </si>
  <si>
    <t>60040281263</t>
  </si>
  <si>
    <t>PROFIT'S RUIN (HB)</t>
  </si>
  <si>
    <t>9781789990294</t>
  </si>
  <si>
    <t>BL2742</t>
  </si>
  <si>
    <t>60100281254</t>
  </si>
  <si>
    <t>SCOURGE OF FATE (PB)</t>
  </si>
  <si>
    <t>9781781939437</t>
  </si>
  <si>
    <t>BL2743</t>
  </si>
  <si>
    <t>60100281255</t>
  </si>
  <si>
    <t>WHC: BRUNNER THE BOUNTYHUNTER (PB)</t>
  </si>
  <si>
    <t>9781781939420</t>
  </si>
  <si>
    <t>BL2745</t>
  </si>
  <si>
    <t>60100281256</t>
  </si>
  <si>
    <t>WHC:GOTREK &amp; FELIX: THE 4TH OMNIBUS (PB)</t>
  </si>
  <si>
    <t>9781781939598</t>
  </si>
  <si>
    <t>BL2749</t>
  </si>
  <si>
    <t>60680281019</t>
  </si>
  <si>
    <t>R/SLAYER: BLOOD OF THE OLD WORLD (AUDIO)</t>
  </si>
  <si>
    <t>9781781939413</t>
  </si>
  <si>
    <t>BL2759</t>
  </si>
  <si>
    <t>60100281258</t>
  </si>
  <si>
    <t>THE RED FEAST (PB)</t>
  </si>
  <si>
    <t>9781781939666</t>
  </si>
  <si>
    <t>BL2760</t>
  </si>
  <si>
    <t>60100281259</t>
  </si>
  <si>
    <t>MYTHS AND REVENANTS (PB)</t>
  </si>
  <si>
    <t>9781781939499</t>
  </si>
  <si>
    <t>BL2761</t>
  </si>
  <si>
    <t>60100281260</t>
  </si>
  <si>
    <t>GLOOMSPITE (PB)</t>
  </si>
  <si>
    <t>9781789990218</t>
  </si>
  <si>
    <t>BL2767</t>
  </si>
  <si>
    <t>60040281259</t>
  </si>
  <si>
    <t>NEFERATA: THE DOMINION OF BONES (HB)</t>
  </si>
  <si>
    <t>9781784969271</t>
  </si>
  <si>
    <t>BL2772</t>
  </si>
  <si>
    <t>60100281261</t>
  </si>
  <si>
    <t>THIEVES' PARADISE (PB)</t>
  </si>
  <si>
    <t>9781789990102</t>
  </si>
  <si>
    <t>BL2773</t>
  </si>
  <si>
    <t>60100281262</t>
  </si>
  <si>
    <t>CODE OF THE SKIES (PB)</t>
  </si>
  <si>
    <t>9781789990119</t>
  </si>
  <si>
    <t>BL2777</t>
  </si>
  <si>
    <t>60100281263</t>
  </si>
  <si>
    <t>THE MEASURE OF IRON (PB)</t>
  </si>
  <si>
    <t>9781789990157</t>
  </si>
  <si>
    <t>BL2780</t>
  </si>
  <si>
    <t>60040281260</t>
  </si>
  <si>
    <t>CASTLE OF BLOOD (HB)</t>
  </si>
  <si>
    <t>9781789990171</t>
  </si>
  <si>
    <t>BL2785</t>
  </si>
  <si>
    <t>60100281264</t>
  </si>
  <si>
    <t>WHC: THANQUOL AND BONERIPPER (PB)</t>
  </si>
  <si>
    <t>9781781939888</t>
  </si>
  <si>
    <t>BL2788</t>
  </si>
  <si>
    <t>60040281261</t>
  </si>
  <si>
    <t>WHC: TROLLSLAYER (20TH ANNIVERSARY ED.)</t>
  </si>
  <si>
    <t>9781781939345</t>
  </si>
  <si>
    <t>BL2795</t>
  </si>
  <si>
    <t>60040281262</t>
  </si>
  <si>
    <t>THE COURT OF THE BLIND KING (HB)</t>
  </si>
  <si>
    <t>9781784969417</t>
  </si>
  <si>
    <t>BL2798</t>
  </si>
  <si>
    <t>60100281267</t>
  </si>
  <si>
    <t>DARK HARVEST (PB)</t>
  </si>
  <si>
    <t>9781781939611</t>
  </si>
  <si>
    <t>01-01-60</t>
  </si>
  <si>
    <t>60041499039</t>
  </si>
  <si>
    <t>MIDDLE-EARTH SBG RULES MANUAL (ENGLISH)</t>
  </si>
  <si>
    <t>LOTR/The Hobbit</t>
  </si>
  <si>
    <t>LOTR Generic</t>
  </si>
  <si>
    <t>9781788262347</t>
  </si>
  <si>
    <t>01-02-60</t>
  </si>
  <si>
    <t>60041499040</t>
  </si>
  <si>
    <t>ARMIES OF THE LORD OF THE RINGS (ENG)</t>
  </si>
  <si>
    <t>9781788262361</t>
  </si>
  <si>
    <t>30-05</t>
  </si>
  <si>
    <t>60011499008</t>
  </si>
  <si>
    <t>LOTR: BATTLE OF PELENNOR FIELDS (ENG)</t>
  </si>
  <si>
    <t>5011921105427</t>
  </si>
  <si>
    <t>30-06-60</t>
  </si>
  <si>
    <t>60041499041</t>
  </si>
  <si>
    <t>M-E SBG: ARMIES OF THE HOBBIT (ENGLISH)</t>
  </si>
  <si>
    <t>9781788263306</t>
  </si>
  <si>
    <t>30-09-60</t>
  </si>
  <si>
    <t>60041499043</t>
  </si>
  <si>
    <t>MIDDLE-EARTH SBG: BATTLE COMPANIES (ENG)</t>
  </si>
  <si>
    <t>9781788264525</t>
  </si>
  <si>
    <t>30-12</t>
  </si>
  <si>
    <t>60041499045</t>
  </si>
  <si>
    <t>MIDDLE-EARTH SBG: WAR IN ROHAN</t>
  </si>
  <si>
    <t>9781785819452</t>
  </si>
  <si>
    <t>30-25</t>
  </si>
  <si>
    <t>99121499033</t>
  </si>
  <si>
    <t>LORD OF THE RINGS:FELLOWSHIP OF THE RING</t>
  </si>
  <si>
    <t>5011921109227</t>
  </si>
  <si>
    <t>30-27</t>
  </si>
  <si>
    <t>99121499034</t>
  </si>
  <si>
    <t>THE HOBBIT: GREAT EAGLES</t>
  </si>
  <si>
    <t>5011921109241</t>
  </si>
  <si>
    <t>30-40</t>
  </si>
  <si>
    <t>99121499037</t>
  </si>
  <si>
    <t>GANDALF THE WHITE &amp; PEREGRIN TOOK</t>
  </si>
  <si>
    <t>5011921111312</t>
  </si>
  <si>
    <t>30-42</t>
  </si>
  <si>
    <t>99121499039</t>
  </si>
  <si>
    <t>THORIN OAKENSHIELD &amp; COMPANY</t>
  </si>
  <si>
    <t>5011921114962</t>
  </si>
  <si>
    <t>30-44</t>
  </si>
  <si>
    <t>99121499041</t>
  </si>
  <si>
    <t>THE THREE HUNTERS</t>
  </si>
  <si>
    <t>5011921118601</t>
  </si>
  <si>
    <t>30-45</t>
  </si>
  <si>
    <t>99121499042</t>
  </si>
  <si>
    <t>EOWYN &amp; MERRY</t>
  </si>
  <si>
    <t>5011921118984</t>
  </si>
  <si>
    <t>30-47</t>
  </si>
  <si>
    <t>99121499043</t>
  </si>
  <si>
    <t>MIDDLE-EARTH SBG: ROHAN HOUSE</t>
  </si>
  <si>
    <t>5011921127979</t>
  </si>
  <si>
    <t>30-48</t>
  </si>
  <si>
    <t>99121499044</t>
  </si>
  <si>
    <t>M-E SBG: ROHAN WATCHTOWER &amp; PALISADES</t>
  </si>
  <si>
    <t>5011921127986</t>
  </si>
  <si>
    <t>30-29</t>
  </si>
  <si>
    <t>99121462013</t>
  </si>
  <si>
    <t>URUK-HAI WARRIORS</t>
  </si>
  <si>
    <t>LOTR Orcs</t>
  </si>
  <si>
    <t>5011921109265</t>
  </si>
  <si>
    <t>30-33</t>
  </si>
  <si>
    <t>99121462015</t>
  </si>
  <si>
    <t>LOTR: MORDOR ORCS</t>
  </si>
  <si>
    <t>5011921109302</t>
  </si>
  <si>
    <t>30-34</t>
  </si>
  <si>
    <t>99121462016</t>
  </si>
  <si>
    <t>MORANNON ORCS</t>
  </si>
  <si>
    <t>5011921109319</t>
  </si>
  <si>
    <t>30-37</t>
  </si>
  <si>
    <t>99121462017</t>
  </si>
  <si>
    <t>THE LORD OF THE RINGS: WARG RIDERS</t>
  </si>
  <si>
    <t>5011921109340</t>
  </si>
  <si>
    <t>30-20</t>
  </si>
  <si>
    <t>99121464015</t>
  </si>
  <si>
    <t>LOTR: KNIGHTS OF MINAS TIRITH</t>
  </si>
  <si>
    <t>LOTR Humans</t>
  </si>
  <si>
    <t>5011921107711</t>
  </si>
  <si>
    <t>30-21</t>
  </si>
  <si>
    <t>99121464016</t>
  </si>
  <si>
    <t>WARRIORS OF MINAS TIRITH</t>
  </si>
  <si>
    <t>5011921108343</t>
  </si>
  <si>
    <t>30-31</t>
  </si>
  <si>
    <t>99121464018</t>
  </si>
  <si>
    <t>EASTERLING WARRIORS</t>
  </si>
  <si>
    <t>5011921109289</t>
  </si>
  <si>
    <t>30-49</t>
  </si>
  <si>
    <t>99121464029</t>
  </si>
  <si>
    <t>SARUMAN THE WHITE &amp; GRIMA</t>
  </si>
  <si>
    <t>5011921133130</t>
  </si>
  <si>
    <t>30-22</t>
  </si>
  <si>
    <t>99121466008</t>
  </si>
  <si>
    <t>LOTR: MORDOR TROLL / ISENGARD TROLL</t>
  </si>
  <si>
    <t>LOTR Monsters</t>
  </si>
  <si>
    <t>5011921108381</t>
  </si>
  <si>
    <t>30-24</t>
  </si>
  <si>
    <t>99121466009</t>
  </si>
  <si>
    <t>LOTR: WAR MUMAK OF HARAD</t>
  </si>
  <si>
    <t>5011921109210</t>
  </si>
  <si>
    <t>30-26</t>
  </si>
  <si>
    <t>99121466010</t>
  </si>
  <si>
    <t>THE BALROG</t>
  </si>
  <si>
    <t>5011921109234</t>
  </si>
  <si>
    <t>30-38</t>
  </si>
  <si>
    <t>99121466012</t>
  </si>
  <si>
    <t>LORD OF THE RINGS: WINGED NAZGUL</t>
  </si>
  <si>
    <t>5011921109357</t>
  </si>
  <si>
    <t>30-46</t>
  </si>
  <si>
    <t>99121466014</t>
  </si>
  <si>
    <t>KING OF THE DEAD &amp; HERALDS</t>
  </si>
  <si>
    <t>5011921125630</t>
  </si>
  <si>
    <t>110-02</t>
  </si>
  <si>
    <t>15010799007</t>
  </si>
  <si>
    <t>WARHAMMER UNDERWORLDS: BEASTGRAVE (CHN)</t>
  </si>
  <si>
    <t>5011921119967</t>
  </si>
  <si>
    <t>60010799007</t>
  </si>
  <si>
    <t>WARHAMMER UNDERWORLDS: BEASTGRAVE  (ENG)</t>
  </si>
  <si>
    <t>5011921119912</t>
  </si>
  <si>
    <t>110-41-15</t>
  </si>
  <si>
    <t>15120799001</t>
  </si>
  <si>
    <t>WH UNDERWORLDS: MOLLOG'S MOB (CHN)</t>
  </si>
  <si>
    <t>5011921110773</t>
  </si>
  <si>
    <t>110-41-60</t>
  </si>
  <si>
    <t>60120799001</t>
  </si>
  <si>
    <t>WH UNDERWORLDS: MOLLOG'S MOB (ENG)</t>
  </si>
  <si>
    <t>5011921110728</t>
  </si>
  <si>
    <t>110-58-15</t>
  </si>
  <si>
    <t>15220799006</t>
  </si>
  <si>
    <t>WH UNDERWORLDS: POWER UNBOUND CARDS CHN</t>
  </si>
  <si>
    <t>5011921119233</t>
  </si>
  <si>
    <t>110-58-60</t>
  </si>
  <si>
    <t>60220799006</t>
  </si>
  <si>
    <t>WH UNDERWORLDS: POWER UNBOUND CARDS ENG</t>
  </si>
  <si>
    <t>5011921119134</t>
  </si>
  <si>
    <t>110-71</t>
  </si>
  <si>
    <t>99220799012</t>
  </si>
  <si>
    <t>WH UNDERWORLDS: BEASTGRAVE PLAYMAT</t>
  </si>
  <si>
    <t>5011921126477</t>
  </si>
  <si>
    <t>110-72</t>
  </si>
  <si>
    <t>99220799013</t>
  </si>
  <si>
    <t>WH UNDERWORLDS: BEASTGRAVE DECK BOX</t>
  </si>
  <si>
    <t>5011921126484</t>
  </si>
  <si>
    <t>48191000</t>
  </si>
  <si>
    <t>110-73</t>
  </si>
  <si>
    <t>15120799002</t>
  </si>
  <si>
    <t>WHU: CHAMPIONS OF DREADFANE (CHINESE)</t>
  </si>
  <si>
    <t>5011921126880</t>
  </si>
  <si>
    <t>60120799002</t>
  </si>
  <si>
    <t>WHU: CHAMPIONS OF DREADFANE (ENGLISH)</t>
  </si>
  <si>
    <t>5011921126835</t>
  </si>
  <si>
    <t>110-76</t>
  </si>
  <si>
    <t>99120799004</t>
  </si>
  <si>
    <t>WH UNDERWORLDS: BEASTGRAVE PRIMAL LAIR</t>
  </si>
  <si>
    <t>5011921074853</t>
  </si>
  <si>
    <t>110-78</t>
  </si>
  <si>
    <t>99220799014</t>
  </si>
  <si>
    <t>WHU BEASTGRAVE: COUNTER SET</t>
  </si>
  <si>
    <t>5011921128013</t>
  </si>
  <si>
    <t>110-83</t>
  </si>
  <si>
    <t>99230799002</t>
  </si>
  <si>
    <t>WH UNDERWORLDS: BEASTGRAVE CARRY CASE</t>
  </si>
  <si>
    <t>5011921129201</t>
  </si>
  <si>
    <t>110-84</t>
  </si>
  <si>
    <t>15220799015</t>
  </si>
  <si>
    <t>WHU: BEASTGRAVE GIFT PACK (CHINESE)</t>
  </si>
  <si>
    <t>5011921131372</t>
  </si>
  <si>
    <t>60220799015</t>
  </si>
  <si>
    <t>WHU: BEASTGRAVE GIFT PACK (ENGLISH)</t>
  </si>
  <si>
    <t>5011921131327</t>
  </si>
  <si>
    <t>200-01-60</t>
  </si>
  <si>
    <t>60010999003</t>
  </si>
  <si>
    <t>BLOOD BOWL (ENGLISH 2016 EDITION)</t>
  </si>
  <si>
    <t>5011921078790</t>
  </si>
  <si>
    <t>200-23</t>
  </si>
  <si>
    <t>99120999001</t>
  </si>
  <si>
    <t>BLOOD BOWL OGRE</t>
  </si>
  <si>
    <t>5011921084838</t>
  </si>
  <si>
    <t>200-24</t>
  </si>
  <si>
    <t>99120999002</t>
  </si>
  <si>
    <t>BLOOD BOWL TROLL</t>
  </si>
  <si>
    <t>5011921084869</t>
  </si>
  <si>
    <t>200-36</t>
  </si>
  <si>
    <t>99120999003</t>
  </si>
  <si>
    <t>THE ELFHEIM EAGLES BLOOD BOWL TEAM</t>
  </si>
  <si>
    <t>5011921097449</t>
  </si>
  <si>
    <t>200-65</t>
  </si>
  <si>
    <t>99120999004</t>
  </si>
  <si>
    <t>BLOOD BOWL: GREENFIELD GRASSHUGGERS</t>
  </si>
  <si>
    <t>5011921120031</t>
  </si>
  <si>
    <t>200-72</t>
  </si>
  <si>
    <t>60220999006</t>
  </si>
  <si>
    <t>BB HEAD COACH'S RULES &amp; ACCESSORIES PACK</t>
  </si>
  <si>
    <t>5011921122110</t>
  </si>
  <si>
    <t>28-54</t>
  </si>
  <si>
    <t>9918999940503</t>
  </si>
  <si>
    <t>AIR: CLEANER (250ML) (3-PACK)</t>
  </si>
  <si>
    <t>3</t>
  </si>
  <si>
    <t>99189999405035</t>
  </si>
  <si>
    <t>32139000</t>
  </si>
  <si>
    <t>300-09</t>
  </si>
  <si>
    <t>60010599002</t>
  </si>
  <si>
    <t>NECROMUNDA: DARK UPRISING (ENGLISH)</t>
  </si>
  <si>
    <t>5011921125685</t>
  </si>
  <si>
    <t>300-10</t>
  </si>
  <si>
    <t>99120599003</t>
  </si>
  <si>
    <t>NECROMUNDA GOLIATH GANG</t>
  </si>
  <si>
    <t>5011921095711</t>
  </si>
  <si>
    <t>300-11</t>
  </si>
  <si>
    <t>99120599004</t>
  </si>
  <si>
    <t>NECROMUNDA ESCHER GANG</t>
  </si>
  <si>
    <t>5011921095889</t>
  </si>
  <si>
    <t>300-16</t>
  </si>
  <si>
    <t>99070599002</t>
  </si>
  <si>
    <t>NECROMUNDA 32MM BASES (X10)</t>
  </si>
  <si>
    <t>5011921096282</t>
  </si>
  <si>
    <t>300-20</t>
  </si>
  <si>
    <t>99120599005</t>
  </si>
  <si>
    <t>NECROMUNDA ORLOCK GANG</t>
  </si>
  <si>
    <t>5011921101344</t>
  </si>
  <si>
    <t>300-25-60</t>
  </si>
  <si>
    <t>60040599017</t>
  </si>
  <si>
    <t>NECROMUNDA: RULEBOOK (ENGLISH)</t>
  </si>
  <si>
    <t>9781788263337</t>
  </si>
  <si>
    <t>300-26-60</t>
  </si>
  <si>
    <t>60040599018</t>
  </si>
  <si>
    <t>NECROMUNDA: GANGS OF THE UNDERHIVE (ENG)</t>
  </si>
  <si>
    <t>9781788263405</t>
  </si>
  <si>
    <t>300-29</t>
  </si>
  <si>
    <t>99120599006</t>
  </si>
  <si>
    <t>NECROMUNDA: VAN SAAR GANG</t>
  </si>
  <si>
    <t>5011921107742</t>
  </si>
  <si>
    <t>300-31</t>
  </si>
  <si>
    <t>99120599007</t>
  </si>
  <si>
    <t>NECROMUNDA CAWDOR GANG</t>
  </si>
  <si>
    <t>5011921111510</t>
  </si>
  <si>
    <t>300-36</t>
  </si>
  <si>
    <t>99120599008</t>
  </si>
  <si>
    <t>NECROMUNDA: DELAQUE GANG</t>
  </si>
  <si>
    <t>5011921115280</t>
  </si>
  <si>
    <t>300-37</t>
  </si>
  <si>
    <t>99120599009</t>
  </si>
  <si>
    <t>NECROMUNDA AMBOT AUTOMATA</t>
  </si>
  <si>
    <t>5011921116881</t>
  </si>
  <si>
    <t>300-38</t>
  </si>
  <si>
    <t>99120599010</t>
  </si>
  <si>
    <t>NECROMUNDA KAL JERICHO AND SCABS</t>
  </si>
  <si>
    <t>5011921118762</t>
  </si>
  <si>
    <t>300-41-60</t>
  </si>
  <si>
    <t>60040599022</t>
  </si>
  <si>
    <t>NECROMUNDA: THE BOOK OF JUDGEMENT (ENG)</t>
  </si>
  <si>
    <t>9781785818646</t>
  </si>
  <si>
    <t>300-42</t>
  </si>
  <si>
    <t>99220599012</t>
  </si>
  <si>
    <t>NECROMUNDA ENFORCER TACTICS CARD PACK</t>
  </si>
  <si>
    <t>5011921124145</t>
  </si>
  <si>
    <t>300-45</t>
  </si>
  <si>
    <t>99120599011</t>
  </si>
  <si>
    <t>NECROMUNDA: PALANITE ENFORCER PATROL</t>
  </si>
  <si>
    <t>5011921125418</t>
  </si>
  <si>
    <t>300-59</t>
  </si>
  <si>
    <t>99120599017</t>
  </si>
  <si>
    <t>NECROMUNDA:ZONE MORTALIS FLOOR TILE SET</t>
  </si>
  <si>
    <t>5011921132126</t>
  </si>
  <si>
    <t>300-60</t>
  </si>
  <si>
    <t>60040599029</t>
  </si>
  <si>
    <t>NECROMUNDA: THE BOOK OF RUIN (ENGLISH)</t>
  </si>
  <si>
    <t>9781785819445</t>
  </si>
  <si>
    <t>400-10</t>
  </si>
  <si>
    <t>99120399003</t>
  </si>
  <si>
    <t>ADEPTUS TITANICUS CIVITAS IMPERIALIS</t>
  </si>
  <si>
    <t>5011921106783</t>
  </si>
  <si>
    <t>400-18</t>
  </si>
  <si>
    <t>99120399006</t>
  </si>
  <si>
    <t>ADEPTUS TITANICUS WARHOUND SCOUT TITANS</t>
  </si>
  <si>
    <t>5011921112098</t>
  </si>
  <si>
    <t>400-19</t>
  </si>
  <si>
    <t>99120399007</t>
  </si>
  <si>
    <t>ADEPTUS TITANICUS: CERASTUS KNIGHTS</t>
  </si>
  <si>
    <t>5011921113057</t>
  </si>
  <si>
    <t>400-22</t>
  </si>
  <si>
    <t>99120399009</t>
  </si>
  <si>
    <t>WARLORD TITAN WITH PLASMA ANNIHILATOR</t>
  </si>
  <si>
    <t>5011921114931</t>
  </si>
  <si>
    <t>400-23</t>
  </si>
  <si>
    <t>99120399010</t>
  </si>
  <si>
    <t>REAVER TITAN W/MELTA CANNON &amp; CHAINFIST</t>
  </si>
  <si>
    <t>5011921116874</t>
  </si>
  <si>
    <t>400-26</t>
  </si>
  <si>
    <t>99120399011</t>
  </si>
  <si>
    <t>A/TITANICUS ACASTUS KNIGHTS PORPHYRION</t>
  </si>
  <si>
    <t>5011921121779</t>
  </si>
  <si>
    <t>400-29</t>
  </si>
  <si>
    <t>99120399014</t>
  </si>
  <si>
    <t>ADEPTUS TITANICUS QUESTORIS KNIGHTS</t>
  </si>
  <si>
    <t>5011921127283</t>
  </si>
  <si>
    <t>400-31-60</t>
  </si>
  <si>
    <t>60220399012</t>
  </si>
  <si>
    <t>ACASTUS KNIGHT COMMAND TERMINAL PK (ENG)</t>
  </si>
  <si>
    <t>5011921121472</t>
  </si>
  <si>
    <t>500-01</t>
  </si>
  <si>
    <t>60011899001</t>
  </si>
  <si>
    <t>AERO/IMPERIALIS: WINGS OF VENGEANCE ENG</t>
  </si>
  <si>
    <t>Aeronautica Imperialis</t>
  </si>
  <si>
    <t>5011921118687</t>
  </si>
  <si>
    <t>500-03</t>
  </si>
  <si>
    <t>60041899001</t>
  </si>
  <si>
    <t>A/I: RYNN'S WORLD AIR WAR CAMPAIGN BOOK</t>
  </si>
  <si>
    <t>9781785818738</t>
  </si>
  <si>
    <t>60-07</t>
  </si>
  <si>
    <t>9922999917106</t>
  </si>
  <si>
    <t>CITADEL WATER POT (6-PACK)</t>
  </si>
  <si>
    <t>99229999171063</t>
  </si>
  <si>
    <t>39261000</t>
  </si>
  <si>
    <t>60-36</t>
  </si>
  <si>
    <t>9923999907806</t>
  </si>
  <si>
    <t>CITADEL PALETTE PAD (6-PACK)</t>
  </si>
  <si>
    <t>99239999078064</t>
  </si>
  <si>
    <t>48201030</t>
  </si>
  <si>
    <t>60-37</t>
  </si>
  <si>
    <t>99239999074</t>
  </si>
  <si>
    <t>CITADEL SKIRMISH FIGURE CASE</t>
  </si>
  <si>
    <t>5011921053421</t>
  </si>
  <si>
    <t>60-38</t>
  </si>
  <si>
    <t>99239999075</t>
  </si>
  <si>
    <t>CITADEL BATTLE FIGURE CASE</t>
  </si>
  <si>
    <t>5011921053438</t>
  </si>
  <si>
    <t>60-39</t>
  </si>
  <si>
    <t>99239999076</t>
  </si>
  <si>
    <t>CITADEL CRUSADE FIGURE CASE</t>
  </si>
  <si>
    <t>5011921053445</t>
  </si>
  <si>
    <t>60-40</t>
  </si>
  <si>
    <t>99239999103</t>
  </si>
  <si>
    <t>CITADEL CRUSADE CASE XL</t>
  </si>
  <si>
    <t>5011921108466</t>
  </si>
  <si>
    <t>60-66</t>
  </si>
  <si>
    <t>99239999099</t>
  </si>
  <si>
    <t>CITADEL HOBBY PROJECT BOX</t>
  </si>
  <si>
    <t>5011921089741</t>
  </si>
  <si>
    <t>60-67</t>
  </si>
  <si>
    <t>99239999100</t>
  </si>
  <si>
    <t>CITADEL PAINT BOX</t>
  </si>
  <si>
    <t>5011921089758</t>
  </si>
  <si>
    <t>60-68</t>
  </si>
  <si>
    <t>99239999101</t>
  </si>
  <si>
    <t>CITADEL PAINT RACK</t>
  </si>
  <si>
    <t>5011921089765</t>
  </si>
  <si>
    <t>62-01</t>
  </si>
  <si>
    <t>9920999904106</t>
  </si>
  <si>
    <t>CORAX WHITE SPRAY (GLOBAL) (6-PACK)</t>
  </si>
  <si>
    <t>99209999041061</t>
  </si>
  <si>
    <t>32091000</t>
  </si>
  <si>
    <t>62-01-51</t>
  </si>
  <si>
    <t>5120999904106</t>
  </si>
  <si>
    <t>CORAX WHITE SPRAY (JAPAN/CHINA) (6-PACK)</t>
  </si>
  <si>
    <t>51209999041061</t>
  </si>
  <si>
    <t>62-02</t>
  </si>
  <si>
    <t>9920999904206</t>
  </si>
  <si>
    <t>CHAOS BLACK SPRAY (GLOBAL) (6-PACK)</t>
  </si>
  <si>
    <t>99209999042068</t>
  </si>
  <si>
    <t>62-02-51</t>
  </si>
  <si>
    <t>5120999904206</t>
  </si>
  <si>
    <t>CHAOS BLACK SPRAY (JAPAN/CHINA) (6-PACK)</t>
  </si>
  <si>
    <t>51209999042068</t>
  </si>
  <si>
    <t>62-03</t>
  </si>
  <si>
    <t>9920999905806</t>
  </si>
  <si>
    <t>CITADEL MUNITORUM VARNISH (GLO) (6-PACK)</t>
  </si>
  <si>
    <t>99209999058069</t>
  </si>
  <si>
    <t>62-15</t>
  </si>
  <si>
    <t>9920999904506</t>
  </si>
  <si>
    <t>MEPHISTON RED SPRAY (6-PACK)</t>
  </si>
  <si>
    <t>99209999045069</t>
  </si>
  <si>
    <t>62-16</t>
  </si>
  <si>
    <t>9920999904606</t>
  </si>
  <si>
    <t>MACRAGGE BLUE SPRAY (6-PACK)</t>
  </si>
  <si>
    <t>99209999046066</t>
  </si>
  <si>
    <t>62-20</t>
  </si>
  <si>
    <t>9920999904806</t>
  </si>
  <si>
    <t>ZANDRI DUST SPRAY (6-PACK)</t>
  </si>
  <si>
    <t>99209999048060</t>
  </si>
  <si>
    <t>62-24</t>
  </si>
  <si>
    <t>9920999905106</t>
  </si>
  <si>
    <t>LEADBELCHER SPRAY (6-PACK)</t>
  </si>
  <si>
    <t>99209999051060</t>
  </si>
  <si>
    <t>62-25-99</t>
  </si>
  <si>
    <t>9920999904406</t>
  </si>
  <si>
    <t>RETRIBUTOR ARMOUR SPRAY (6-PACK)</t>
  </si>
  <si>
    <t>99209999044062</t>
  </si>
  <si>
    <t>62-26</t>
  </si>
  <si>
    <t>9920999905006</t>
  </si>
  <si>
    <t>MECHANICUS STANDARD GREY SPRAY (6-PACK)</t>
  </si>
  <si>
    <t>99209999050063</t>
  </si>
  <si>
    <t>62-32</t>
  </si>
  <si>
    <t>9920999905706</t>
  </si>
  <si>
    <t>CITADEL DEATH GUARD GREEN SPRAY (6-PACK)</t>
  </si>
  <si>
    <t>99209999057062</t>
  </si>
  <si>
    <t>62-33</t>
  </si>
  <si>
    <t>9920999905906</t>
  </si>
  <si>
    <t>WRAITHBONE SPRAY 400ML (GLOBAL) (6-PACK)</t>
  </si>
  <si>
    <t>99209999059066</t>
  </si>
  <si>
    <t>62-34</t>
  </si>
  <si>
    <t>9920999906006</t>
  </si>
  <si>
    <t>GREY SEER SPRAY 400ML (GLOBAL) (6-PACK)</t>
  </si>
  <si>
    <t>99209999060062</t>
  </si>
  <si>
    <t>63-12</t>
  </si>
  <si>
    <t>9919999904303</t>
  </si>
  <si>
    <t>CITADEL SMALL BASE BRUSH (3-PACK)</t>
  </si>
  <si>
    <t>2</t>
  </si>
  <si>
    <t>99199999043038</t>
  </si>
  <si>
    <t>96033010</t>
  </si>
  <si>
    <t>63-13</t>
  </si>
  <si>
    <t>9919999904403</t>
  </si>
  <si>
    <t>CITADEL MEDIUM BASE BRUSH (3-PACK)</t>
  </si>
  <si>
    <t>99199999044035</t>
  </si>
  <si>
    <t>63-14</t>
  </si>
  <si>
    <t>9919999904503</t>
  </si>
  <si>
    <t>CITADEL LARGE BASE BRUSH (3-PACK)</t>
  </si>
  <si>
    <t>99199999045032</t>
  </si>
  <si>
    <t>63-15</t>
  </si>
  <si>
    <t>9919999904603</t>
  </si>
  <si>
    <t>CITADEL EXTRA LARGE BASE BRUSH (3-PACK)</t>
  </si>
  <si>
    <t>99199999046039</t>
  </si>
  <si>
    <t>63-16</t>
  </si>
  <si>
    <t>9919999904703</t>
  </si>
  <si>
    <t>CITADEL MEDIUM SHADE BRUSH (3-PACK)</t>
  </si>
  <si>
    <t>99199999047036</t>
  </si>
  <si>
    <t>63-17</t>
  </si>
  <si>
    <t>9919999904803</t>
  </si>
  <si>
    <t>CITADEL LARGE SHADE BRUSH (3-PACK)</t>
  </si>
  <si>
    <t>99199999048033</t>
  </si>
  <si>
    <t>63-18</t>
  </si>
  <si>
    <t>9919999904903</t>
  </si>
  <si>
    <t>CITADEL SMALL DRYBRUSH (3-PACK)</t>
  </si>
  <si>
    <t>99199999049030</t>
  </si>
  <si>
    <t>63-19</t>
  </si>
  <si>
    <t>9919999905003</t>
  </si>
  <si>
    <t>CITADEL MEDIUM DRYBRUSH (3-PACK)</t>
  </si>
  <si>
    <t>99199999050036</t>
  </si>
  <si>
    <t>63-20</t>
  </si>
  <si>
    <t>9919999905103</t>
  </si>
  <si>
    <t>CITADEL LARGE DRYBRUSH (3-PACK)</t>
  </si>
  <si>
    <t>99199999051033</t>
  </si>
  <si>
    <t>63-21</t>
  </si>
  <si>
    <t>9919999905206</t>
  </si>
  <si>
    <t>CITADEL SMALL LAYER BRUSH (6-PACK)</t>
  </si>
  <si>
    <t>99199999052061</t>
  </si>
  <si>
    <t>63-22</t>
  </si>
  <si>
    <t>9919999905306</t>
  </si>
  <si>
    <t>CITADEL MEDIUM LAYER BRUSH (6-PACK)</t>
  </si>
  <si>
    <t>99199999053068</t>
  </si>
  <si>
    <t>63-23</t>
  </si>
  <si>
    <t>99199999054</t>
  </si>
  <si>
    <t>CITADEL X-SMALL ARTIFICER LAYER BRUSH</t>
  </si>
  <si>
    <t>5011921058242</t>
  </si>
  <si>
    <t>63-24</t>
  </si>
  <si>
    <t>9919999905503</t>
  </si>
  <si>
    <t>CITADEL MEDIUM GLAZE BRUSH (3-PACK)</t>
  </si>
  <si>
    <t>99199999055031</t>
  </si>
  <si>
    <t>63-25</t>
  </si>
  <si>
    <t>9919999905603</t>
  </si>
  <si>
    <t>CITADEL MEDIUM SCENERY BRUSH (3-PACK)</t>
  </si>
  <si>
    <t>99199999056038</t>
  </si>
  <si>
    <t>63-26</t>
  </si>
  <si>
    <t>9919999905703</t>
  </si>
  <si>
    <t>CITADEL LARGE SCENERY BRUSH (3-PACK)</t>
  </si>
  <si>
    <t>99199999057035</t>
  </si>
  <si>
    <t>63-27</t>
  </si>
  <si>
    <t>9919999905803</t>
  </si>
  <si>
    <t>CITADEL MEDIUM TEXTURE SPREADER (3-PACK)</t>
  </si>
  <si>
    <t>99199999058032</t>
  </si>
  <si>
    <t>63-28</t>
  </si>
  <si>
    <t>99199999060</t>
  </si>
  <si>
    <t>CITADEL SMALL ARTIFICER LAYER BRUSH</t>
  </si>
  <si>
    <t>5011921072989</t>
  </si>
  <si>
    <t>63-29</t>
  </si>
  <si>
    <t>99199999061</t>
  </si>
  <si>
    <t>CITADEL MEDIUM ARTIFICER LAYER BRUSH</t>
  </si>
  <si>
    <t>5011921072996</t>
  </si>
  <si>
    <t>64-29</t>
  </si>
  <si>
    <t>99129999012</t>
  </si>
  <si>
    <t>CITADEL SKULLS</t>
  </si>
  <si>
    <t>5011921087594</t>
  </si>
  <si>
    <t>64-51</t>
  </si>
  <si>
    <t>99129999011</t>
  </si>
  <si>
    <t>CITADEL CREEPING VINES</t>
  </si>
  <si>
    <t>5011921087587</t>
  </si>
  <si>
    <t>64-52</t>
  </si>
  <si>
    <t>99129999010</t>
  </si>
  <si>
    <t>CITADEL BARBED BRACKEN</t>
  </si>
  <si>
    <t>5011921087570</t>
  </si>
  <si>
    <t>65-02</t>
  </si>
  <si>
    <t>9923999903503</t>
  </si>
  <si>
    <t>GW TAPE MEASURE (PACK OF 3)</t>
  </si>
  <si>
    <t>99239999035036</t>
  </si>
  <si>
    <t>90178010</t>
  </si>
  <si>
    <t>65-36</t>
  </si>
  <si>
    <t>9922999914206</t>
  </si>
  <si>
    <t>CITADEL 12mm DICE SET (6-PACK)</t>
  </si>
  <si>
    <t>99229999142063</t>
  </si>
  <si>
    <t>66-08</t>
  </si>
  <si>
    <t>99239999093</t>
  </si>
  <si>
    <t>CITADEL SAW</t>
  </si>
  <si>
    <t>5011921082391</t>
  </si>
  <si>
    <t>82021000</t>
  </si>
  <si>
    <t>66-11</t>
  </si>
  <si>
    <t>9923999909506</t>
  </si>
  <si>
    <t>CITADEL PAINTING HANDLE (6-PACK)</t>
  </si>
  <si>
    <t>99239999095061</t>
  </si>
  <si>
    <t>82057000</t>
  </si>
  <si>
    <t>66-12</t>
  </si>
  <si>
    <t>9921999903503</t>
  </si>
  <si>
    <t>LIQUID GREEN STUFF (3-PACK)</t>
  </si>
  <si>
    <t>99219999035038</t>
  </si>
  <si>
    <t>66-14</t>
  </si>
  <si>
    <t>99239999096</t>
  </si>
  <si>
    <t>CITADEL PAINTING MAT</t>
  </si>
  <si>
    <t>5011921086788</t>
  </si>
  <si>
    <t>66-15</t>
  </si>
  <si>
    <t>9923999910404</t>
  </si>
  <si>
    <t>CITADEL PAINTING HANDLE XL (4-PACK)</t>
  </si>
  <si>
    <t>4</t>
  </si>
  <si>
    <t>99239999104046</t>
  </si>
  <si>
    <t>66-16</t>
  </si>
  <si>
    <t>99239999105</t>
  </si>
  <si>
    <t>CITADEL ASSEMBLY HANDLE</t>
  </si>
  <si>
    <t>5011921110919</t>
  </si>
  <si>
    <t>66-17</t>
  </si>
  <si>
    <t>99239999106</t>
  </si>
  <si>
    <t>CITADEL COLOUR SPRAY STICK</t>
  </si>
  <si>
    <t>5011921129218</t>
  </si>
  <si>
    <t>66-18</t>
  </si>
  <si>
    <t>9923999910706</t>
  </si>
  <si>
    <t>CITADEL COLOUR RED PAINTING HANDLE (X6)</t>
  </si>
  <si>
    <t>99239999107061</t>
  </si>
  <si>
    <t>66-19</t>
  </si>
  <si>
    <t>99079999004</t>
  </si>
  <si>
    <t>CITADEL MIXED BASE PACK 1</t>
  </si>
  <si>
    <t>5011921064397</t>
  </si>
  <si>
    <t>66-20</t>
  </si>
  <si>
    <t>99079999005</t>
  </si>
  <si>
    <t>CITADEL MIXED BASE PACK 2</t>
  </si>
  <si>
    <t>5011921064403</t>
  </si>
  <si>
    <t>66-22</t>
  </si>
  <si>
    <t>99239999108</t>
  </si>
  <si>
    <t>PAINTING HANDLE: BOX OF 5</t>
  </si>
  <si>
    <t>5011921129577</t>
  </si>
  <si>
    <t>66-23</t>
  </si>
  <si>
    <t>9923999910906</t>
  </si>
  <si>
    <t>CITADEL PAINT POT HOLDER (6-PACK)</t>
  </si>
  <si>
    <t>99239999109065</t>
  </si>
  <si>
    <t>66-51-99</t>
  </si>
  <si>
    <t>9921999903810</t>
  </si>
  <si>
    <t>CITADEL SUPER GLUE (GLOBAL) 10-PACK</t>
  </si>
  <si>
    <t>5</t>
  </si>
  <si>
    <t>10</t>
  </si>
  <si>
    <t>99219999038107</t>
  </si>
  <si>
    <t>35061000</t>
  </si>
  <si>
    <t>66-53-99</t>
  </si>
  <si>
    <t>9921999903710</t>
  </si>
  <si>
    <t>PLASTIC GLUE (GLOBAL) (10-PACK)</t>
  </si>
  <si>
    <t>99219999037100</t>
  </si>
  <si>
    <t>66-61</t>
  </si>
  <si>
    <t>99239999092</t>
  </si>
  <si>
    <t>CITADEL KNIFE</t>
  </si>
  <si>
    <t>5011921082384</t>
  </si>
  <si>
    <t>82119300</t>
  </si>
  <si>
    <t>66-62</t>
  </si>
  <si>
    <t>99239999068</t>
  </si>
  <si>
    <t>CITADEL FINE DETAIL CUTTERS</t>
  </si>
  <si>
    <t>5011921050109</t>
  </si>
  <si>
    <t>82033000</t>
  </si>
  <si>
    <t>66-64</t>
  </si>
  <si>
    <t>99239999072</t>
  </si>
  <si>
    <t>CITADEL DRILL</t>
  </si>
  <si>
    <t>5011921050086</t>
  </si>
  <si>
    <t>82051000</t>
  </si>
  <si>
    <t>66-65</t>
  </si>
  <si>
    <t>99239999069</t>
  </si>
  <si>
    <t>CITADEL MOULDLINE REMOVER</t>
  </si>
  <si>
    <t>5011921050154</t>
  </si>
  <si>
    <t>82031000</t>
  </si>
  <si>
    <t>66-66</t>
  </si>
  <si>
    <t>99239999066</t>
  </si>
  <si>
    <t>CITADEL FILE SET</t>
  </si>
  <si>
    <t>5011921050116</t>
  </si>
  <si>
    <t>66-71</t>
  </si>
  <si>
    <t>99179999037</t>
  </si>
  <si>
    <t>CITADEL BASING SET</t>
  </si>
  <si>
    <t>5011921112135</t>
  </si>
  <si>
    <t>66-79</t>
  </si>
  <si>
    <t>9922999912103</t>
  </si>
  <si>
    <t>MIDDENLAND TUFTS (3-PACK)</t>
  </si>
  <si>
    <t>99229999121037</t>
  </si>
  <si>
    <t>BF-01-60</t>
  </si>
  <si>
    <t>60010699015</t>
  </si>
  <si>
    <t>WARHAMMER QUEST: BLACKSTONE FORTRESS ENG</t>
  </si>
  <si>
    <t>5011921110384</t>
  </si>
  <si>
    <t>BF-02</t>
  </si>
  <si>
    <t>60010699016</t>
  </si>
  <si>
    <t>B/STONE FORTRESS: THE DREADED AMBULL ENG</t>
  </si>
  <si>
    <t>5011921113651</t>
  </si>
  <si>
    <t>BF-03</t>
  </si>
  <si>
    <t>15010699017</t>
  </si>
  <si>
    <t>B/STONE FORTRESS: TRAITOR COMMAND (CHN)</t>
  </si>
  <si>
    <t>5011921118588</t>
  </si>
  <si>
    <t>60010699017</t>
  </si>
  <si>
    <t>B/STONE FORTRESS: TRAITOR COMMAND (ENG)</t>
  </si>
  <si>
    <t>5011921118533</t>
  </si>
  <si>
    <t>BF-05</t>
  </si>
  <si>
    <t>15010699018</t>
  </si>
  <si>
    <t>BLACKSTONE FORTRESS: ESCALATION (CHN)</t>
  </si>
  <si>
    <t>5011921120437</t>
  </si>
  <si>
    <t>60010699018</t>
  </si>
  <si>
    <t>BLACKSTONE FORTRESS: ESCALATION (ENG)</t>
  </si>
  <si>
    <t>5011921120369</t>
  </si>
  <si>
    <t>BF-07</t>
  </si>
  <si>
    <t>99120699001</t>
  </si>
  <si>
    <t>B/STONE FORTRESS: CULTISTS OF THE ABYSS</t>
  </si>
  <si>
    <t>5011921127177</t>
  </si>
  <si>
    <t>BF-09</t>
  </si>
  <si>
    <t>15040699003</t>
  </si>
  <si>
    <t>BLACKSTONE FORTRESS: ANNUAL 2019 (CHN)</t>
  </si>
  <si>
    <t>9781788268813</t>
  </si>
  <si>
    <t>60040699003</t>
  </si>
  <si>
    <t>BLACKSTONE FORTRESS: ANNUAL 2019 (ENG)</t>
  </si>
  <si>
    <t>9781788268769</t>
  </si>
  <si>
    <t>WD12-60</t>
  </si>
  <si>
    <t>60249999589</t>
  </si>
  <si>
    <t>WHITE DWARF DECEMBER 2019 (ENG)</t>
  </si>
  <si>
    <t>5011921131754</t>
  </si>
  <si>
    <t>01-05</t>
  </si>
  <si>
    <t>99120101170</t>
  </si>
  <si>
    <t>MARK III SPACE MARINES</t>
  </si>
  <si>
    <t>Loyalist Space Marines</t>
  </si>
  <si>
    <t>5011921080786</t>
  </si>
  <si>
    <t>110-35-15</t>
  </si>
  <si>
    <t>15120701002</t>
  </si>
  <si>
    <t>WH UNDERWORLDS: GARREK'S REAVERS (CHN)</t>
  </si>
  <si>
    <t>5011921109470</t>
  </si>
  <si>
    <t>110-35-60</t>
  </si>
  <si>
    <t>60120701002</t>
  </si>
  <si>
    <t>WH UNDERWORLDS: GARREK'S REAVERS (ENG)</t>
  </si>
  <si>
    <t>5011921109425</t>
  </si>
  <si>
    <t>110-37-60</t>
  </si>
  <si>
    <t>60120701003</t>
  </si>
  <si>
    <t>WH UNDERWORLDS: THE EYES OF THE NINE ENG</t>
  </si>
  <si>
    <t>5011921109593</t>
  </si>
  <si>
    <t>110-42-15</t>
  </si>
  <si>
    <t>15120701004</t>
  </si>
  <si>
    <t>WH UNDERWORLDS: GODSWORN HUNT (CHN)</t>
  </si>
  <si>
    <t>5011921110858</t>
  </si>
  <si>
    <t>110-42-60</t>
  </si>
  <si>
    <t>60120701004</t>
  </si>
  <si>
    <t>WH UNDERWORLDS: GODSWORN HUNT (ENG)</t>
  </si>
  <si>
    <t>5011921110803</t>
  </si>
  <si>
    <t>200-47</t>
  </si>
  <si>
    <t>99120901001</t>
  </si>
  <si>
    <t>BLOOD BOWL: THE DOOM LORDS</t>
  </si>
  <si>
    <t>5011921102921</t>
  </si>
  <si>
    <t>200-57</t>
  </si>
  <si>
    <t>99120901002</t>
  </si>
  <si>
    <t>BLOOD BOWL: NURGLE'S ROTTERS TEAM</t>
  </si>
  <si>
    <t>5011921112586</t>
  </si>
  <si>
    <t>SMH-01-60</t>
  </si>
  <si>
    <t>1512100100212</t>
  </si>
  <si>
    <t>SPACE MARINE HEROES 1 R.O.W. (CHINESE)</t>
  </si>
  <si>
    <t>Blind Box Space Marines</t>
  </si>
  <si>
    <t>12</t>
  </si>
  <si>
    <t>5011921112524</t>
  </si>
  <si>
    <t>SMH-02-14</t>
  </si>
  <si>
    <t>14121001016</t>
  </si>
  <si>
    <t>WH40K: SPACE MARINE HEROES SERIES 2 JPN</t>
  </si>
  <si>
    <t>4545784010662</t>
  </si>
  <si>
    <t>200-13</t>
  </si>
  <si>
    <t>99120902001</t>
  </si>
  <si>
    <t>THE REIKLAND REAVERS BLOOD BOWL TEAM</t>
  </si>
  <si>
    <t>Human</t>
  </si>
  <si>
    <t>5011921081929</t>
  </si>
  <si>
    <t>SMH-05-14</t>
  </si>
  <si>
    <t>14121002001</t>
  </si>
  <si>
    <t>SPACE MARINE HEROES 3 F/DISPENSER (JPN)</t>
  </si>
  <si>
    <t>Blind Box Chaos Space Marines</t>
  </si>
  <si>
    <t>4545784010815</t>
  </si>
  <si>
    <t>SMH-05-15</t>
  </si>
  <si>
    <t>15121002001</t>
  </si>
  <si>
    <t>SPACE MARINE HEROES 3 DISPENSER (CHN)</t>
  </si>
  <si>
    <t>5011921125654</t>
  </si>
  <si>
    <t>SMH-06-15</t>
  </si>
  <si>
    <t>15171002001</t>
  </si>
  <si>
    <t>SPACE MARINE HEROES 3 PAINT SET (CHN)</t>
  </si>
  <si>
    <t>5011921126729</t>
  </si>
  <si>
    <t>500-05</t>
  </si>
  <si>
    <t>60221803001</t>
  </si>
  <si>
    <t>A/I AIRCRFT &amp; ACES: ORK AIR WAAAGH! CRDS</t>
  </si>
  <si>
    <t>5011921127368</t>
  </si>
  <si>
    <t>500-11</t>
  </si>
  <si>
    <t>99221803001</t>
  </si>
  <si>
    <t>A/IMPERIALIS ORK FLYBOYZ DICE SET</t>
  </si>
  <si>
    <t>5011921121861</t>
  </si>
  <si>
    <t>500-14</t>
  </si>
  <si>
    <t>99121803001</t>
  </si>
  <si>
    <t>A/IMPERIALIS: ORK AIR WAAAGH! DAKKAJETS</t>
  </si>
  <si>
    <t>5011921124077</t>
  </si>
  <si>
    <t>500-15</t>
  </si>
  <si>
    <t>99121803002</t>
  </si>
  <si>
    <t>A/I: ORK AIR WAAAGH! FIGHTA BOMMERZ</t>
  </si>
  <si>
    <t>5011921124084</t>
  </si>
  <si>
    <t>500-18</t>
  </si>
  <si>
    <t>99121803003</t>
  </si>
  <si>
    <t>A/I: ORK AIR WAAAGH! 'EAVY BOMMERZ</t>
  </si>
  <si>
    <t>5011921128914</t>
  </si>
  <si>
    <t>500-19</t>
  </si>
  <si>
    <t>99121803004</t>
  </si>
  <si>
    <t>A/I ORK AIR WAAAGH! GROT BOMMERS</t>
  </si>
  <si>
    <t>5011921129119</t>
  </si>
  <si>
    <t>110-55-15</t>
  </si>
  <si>
    <t>15120704001</t>
  </si>
  <si>
    <t>WHU: YLTHARI'S GUARDIANS (CHINESE)</t>
  </si>
  <si>
    <t>Sylvaneth</t>
  </si>
  <si>
    <t>5011921114900</t>
  </si>
  <si>
    <t>110-55-60</t>
  </si>
  <si>
    <t>60120704001</t>
  </si>
  <si>
    <t>WHU: YLTHARI'S GUARDIANS (ENGLISH)</t>
  </si>
  <si>
    <t>5011921114856</t>
  </si>
  <si>
    <t>110-66</t>
  </si>
  <si>
    <t>99220704003</t>
  </si>
  <si>
    <t>WH UNDERWORLDS: SKAETH'S WILD HUNT DICE</t>
  </si>
  <si>
    <t>5011921124756</t>
  </si>
  <si>
    <t>110-70</t>
  </si>
  <si>
    <t>99220704004</t>
  </si>
  <si>
    <t>WHU: SKAETH'S WILD HUNT PREMIUM SLEEVES</t>
  </si>
  <si>
    <t>5011921126163</t>
  </si>
  <si>
    <t>200-66</t>
  </si>
  <si>
    <t>99120904001</t>
  </si>
  <si>
    <t>BLOOD BOWL: THE ATHELORN AVENGERS</t>
  </si>
  <si>
    <t>5011921125371</t>
  </si>
  <si>
    <t>110-54-15</t>
  </si>
  <si>
    <t>15120705002</t>
  </si>
  <si>
    <t>WHU: THUNDRIK'S PROFITEERS (CHINESE)</t>
  </si>
  <si>
    <t>Duardin</t>
  </si>
  <si>
    <t>5011921114825</t>
  </si>
  <si>
    <t>110-54-60</t>
  </si>
  <si>
    <t>60120705002</t>
  </si>
  <si>
    <t>WHU: THUNDRIK'S PROFITEERS (ENGLISH)</t>
  </si>
  <si>
    <t>5011921114771</t>
  </si>
  <si>
    <t>200-17</t>
  </si>
  <si>
    <t>99120905001</t>
  </si>
  <si>
    <t>THE DWARF GIANTS BLOOD BOWL TEAM</t>
  </si>
  <si>
    <t>Dwarfs</t>
  </si>
  <si>
    <t>5011921081936</t>
  </si>
  <si>
    <t>200-11</t>
  </si>
  <si>
    <t>99120906001</t>
  </si>
  <si>
    <t>BLOOD BOWL: THE SKAVENBLIGHT SCRAMBLERS</t>
  </si>
  <si>
    <t>5011921080472</t>
  </si>
  <si>
    <t>110-63</t>
  </si>
  <si>
    <t>60120707002</t>
  </si>
  <si>
    <t>WH UNDERWORLDS: THE GRYMWATCH (ENGLISH)</t>
  </si>
  <si>
    <t>Undead</t>
  </si>
  <si>
    <t>5011921124602</t>
  </si>
  <si>
    <t>110-63-15</t>
  </si>
  <si>
    <t>15120707002</t>
  </si>
  <si>
    <t>WH UNDERWORLDS: THE GRYMWATCH (CHINESE)</t>
  </si>
  <si>
    <t>5011921124657</t>
  </si>
  <si>
    <t>200-62</t>
  </si>
  <si>
    <t>99120907001</t>
  </si>
  <si>
    <t>BLOOD BOWL CHAMPIONS OF DEATH TEAM</t>
  </si>
  <si>
    <t>5011921117031</t>
  </si>
  <si>
    <t>200-74</t>
  </si>
  <si>
    <t>99120908001</t>
  </si>
  <si>
    <t>BLOOD BOWL: GWAKA'MOLI CRATER GATORS</t>
  </si>
  <si>
    <t>5011921126156</t>
  </si>
  <si>
    <t>500-04</t>
  </si>
  <si>
    <t>60221808001</t>
  </si>
  <si>
    <t>A/I: AIRCRAFT AND ACES: IMP. NAVY CARDS</t>
  </si>
  <si>
    <t>Imperial Navy</t>
  </si>
  <si>
    <t>5011921127351</t>
  </si>
  <si>
    <t>500-10</t>
  </si>
  <si>
    <t>99221808001</t>
  </si>
  <si>
    <t>A/IMPERIALIS IMPERIAL NAVY DICE SET</t>
  </si>
  <si>
    <t>5011921121854</t>
  </si>
  <si>
    <t>500-12</t>
  </si>
  <si>
    <t>99121808001</t>
  </si>
  <si>
    <t>A/I: IMPERIAL NAVY THUNDERBOLT FIGHTERS</t>
  </si>
  <si>
    <t>5011921124046</t>
  </si>
  <si>
    <t>500-13</t>
  </si>
  <si>
    <t>99121808002</t>
  </si>
  <si>
    <t>A/I: IMPERIAL NAVY MARAUDER BOMBERS</t>
  </si>
  <si>
    <t>5011921124053</t>
  </si>
  <si>
    <t>500-16</t>
  </si>
  <si>
    <t>99121808003</t>
  </si>
  <si>
    <t>A/I: IMPERIAL NAVY MARAUDER DESTROYERS</t>
  </si>
  <si>
    <t>5011921124060</t>
  </si>
  <si>
    <t>110-36-15</t>
  </si>
  <si>
    <t>15120709002</t>
  </si>
  <si>
    <t>WH UNDERWORLDS: ZARBAG'S GITZ (CHN)</t>
  </si>
  <si>
    <t>Orruks</t>
  </si>
  <si>
    <t>5011921109555</t>
  </si>
  <si>
    <t>110-36-60</t>
  </si>
  <si>
    <t>60120709002</t>
  </si>
  <si>
    <t>WH UNDERWORLDS: ZARBAG'S GITZ (ENGLISH)</t>
  </si>
  <si>
    <t>5011921109500</t>
  </si>
  <si>
    <t>110-64</t>
  </si>
  <si>
    <t>15120709003</t>
  </si>
  <si>
    <t>WH UNDERWORLDS: RIPPA'S SNARLFANGS (CHN)</t>
  </si>
  <si>
    <t>5011921124572</t>
  </si>
  <si>
    <t>60120709003</t>
  </si>
  <si>
    <t>WH UNDERWORLDS: RIPPA'S SNARLFANGS (ENG)</t>
  </si>
  <si>
    <t>5011921124527</t>
  </si>
  <si>
    <t>200-15</t>
  </si>
  <si>
    <t>99120909001</t>
  </si>
  <si>
    <t>THE GOUGED EYE ORC BLOOD BOWL TEAM</t>
  </si>
  <si>
    <t>5011921081271</t>
  </si>
  <si>
    <t>200-27</t>
  </si>
  <si>
    <t>99120909002</t>
  </si>
  <si>
    <t>SCARCRAG SNIVELLERS BLOOD BOWL TEAM</t>
  </si>
  <si>
    <t>5011921085804</t>
  </si>
  <si>
    <t>200-54</t>
  </si>
  <si>
    <t>99120912001</t>
  </si>
  <si>
    <t>BLOOD BOWL: NAGGAROTH NIGHTMARES</t>
  </si>
  <si>
    <t>5011921107759</t>
  </si>
  <si>
    <t>202-02</t>
  </si>
  <si>
    <t>99120913001</t>
  </si>
  <si>
    <t>BLOOD BOWL: FIRE MOUNTAIN GUT BUSTERS</t>
  </si>
  <si>
    <t>Ogres</t>
  </si>
  <si>
    <t>5011921133123</t>
  </si>
  <si>
    <t>70-73</t>
  </si>
  <si>
    <t>99129915040</t>
  </si>
  <si>
    <t>START COLLECTING! DAEMONS OF SLAANESH</t>
  </si>
  <si>
    <t>5011921088201</t>
  </si>
  <si>
    <t>70-84</t>
  </si>
  <si>
    <t>99129915043</t>
  </si>
  <si>
    <t>START COLLECTING! DAEMONS OF TZEENTCH</t>
  </si>
  <si>
    <t>5011921088584</t>
  </si>
  <si>
    <t>70-97</t>
  </si>
  <si>
    <t>99129915041</t>
  </si>
  <si>
    <t>START COLLECTING! DAEMONS OF KHORNE</t>
  </si>
  <si>
    <t>5011921088539</t>
  </si>
  <si>
    <t>70-98</t>
  </si>
  <si>
    <t>99129915042</t>
  </si>
  <si>
    <t>START COLLECTING! DAEMONS OF NURGLE</t>
  </si>
  <si>
    <t>5011921088546</t>
  </si>
  <si>
    <t>83-15</t>
  </si>
  <si>
    <t>99129915044</t>
  </si>
  <si>
    <t>DAEMONS OF NURGLE BEAST OF NURGLE</t>
  </si>
  <si>
    <t>5011921092475</t>
  </si>
  <si>
    <t>83-41</t>
  </si>
  <si>
    <t>99129915045</t>
  </si>
  <si>
    <t>DAEMONS OF NURGLE GREAT UNCLEAN ONE</t>
  </si>
  <si>
    <t>5011921092482</t>
  </si>
  <si>
    <t>83-43</t>
  </si>
  <si>
    <t>99129915046</t>
  </si>
  <si>
    <t>DAEMONS OF NURGLE HORTICULOUS SLIMUX</t>
  </si>
  <si>
    <t>5011921092499</t>
  </si>
  <si>
    <t>83-44</t>
  </si>
  <si>
    <t>99079915004</t>
  </si>
  <si>
    <t>DAEMONS OF NURGLE: SLOPPITY BILEPIPER</t>
  </si>
  <si>
    <t>5011921092512</t>
  </si>
  <si>
    <t>83-47</t>
  </si>
  <si>
    <t>99079915003</t>
  </si>
  <si>
    <t>DAEMONS OF NURGLE: SPOILPOX SCRIVENER</t>
  </si>
  <si>
    <t>5011921092505</t>
  </si>
  <si>
    <t>83-53</t>
  </si>
  <si>
    <t>99129915047</t>
  </si>
  <si>
    <t>FECULENT GNARLMAW</t>
  </si>
  <si>
    <t>5011921092703</t>
  </si>
  <si>
    <t>97-06</t>
  </si>
  <si>
    <t>99129915056</t>
  </si>
  <si>
    <t>DAEMONS OF SLAANESH KEEPER OF SECRETS</t>
  </si>
  <si>
    <t>5011921116270</t>
  </si>
  <si>
    <t>97-08</t>
  </si>
  <si>
    <t>99129915049</t>
  </si>
  <si>
    <t>DAEMONS OF KHORNE BLOODLETTERS</t>
  </si>
  <si>
    <t>5011921092864</t>
  </si>
  <si>
    <t>97-09</t>
  </si>
  <si>
    <t>99129915036</t>
  </si>
  <si>
    <t>DAEMONS OF SLAANESH DAEMONETTES</t>
  </si>
  <si>
    <t>5011921085521</t>
  </si>
  <si>
    <t>97-10</t>
  </si>
  <si>
    <t>99129915039</t>
  </si>
  <si>
    <t>DAEMONS OF NURGLE PLAGUEBEARERS</t>
  </si>
  <si>
    <t>5011921085538</t>
  </si>
  <si>
    <t>97-12</t>
  </si>
  <si>
    <t>99129915048</t>
  </si>
  <si>
    <t>DAEMONS OF TZEENTCH PINK HORRORS</t>
  </si>
  <si>
    <t>5011921092857</t>
  </si>
  <si>
    <t>97-13</t>
  </si>
  <si>
    <t>99129915031</t>
  </si>
  <si>
    <t>DAEMONS OF TZEENTCH FLAMERS OF TZEENTCH</t>
  </si>
  <si>
    <t>5011921077335</t>
  </si>
  <si>
    <t>97-18</t>
  </si>
  <si>
    <t>99129915037</t>
  </si>
  <si>
    <t>DAEMONS OF NURGLE NURGLINGS</t>
  </si>
  <si>
    <t>5011921085552</t>
  </si>
  <si>
    <t>97-20</t>
  </si>
  <si>
    <t>99129915030</t>
  </si>
  <si>
    <t>HERALD OF TZEENTCH ON BURNING CHARIOT</t>
  </si>
  <si>
    <t>5011921077328</t>
  </si>
  <si>
    <t>97-26</t>
  </si>
  <si>
    <t>99129915028</t>
  </si>
  <si>
    <t>DAEMONS OF TZEENTCH LORD OF CHANGE</t>
  </si>
  <si>
    <t>5011921077304</t>
  </si>
  <si>
    <t>97-27</t>
  </si>
  <si>
    <t>99129915024</t>
  </si>
  <si>
    <t>DAEMONS OF KHORNE BLOODTHIRSTER</t>
  </si>
  <si>
    <t>5011921064335</t>
  </si>
  <si>
    <t>97-28</t>
  </si>
  <si>
    <t>99129915021</t>
  </si>
  <si>
    <t>SKARBRAND THE BLOODTHIRSTER</t>
  </si>
  <si>
    <t>5011921063857</t>
  </si>
  <si>
    <t>97-30</t>
  </si>
  <si>
    <t>99129915029</t>
  </si>
  <si>
    <t>DAEMONS OF TZEENTCH BLUE HORRORS</t>
  </si>
  <si>
    <t>5011921077311</t>
  </si>
  <si>
    <t>97-35</t>
  </si>
  <si>
    <t>99129915051</t>
  </si>
  <si>
    <t>DAEMONS OF KHORNE SKULLTAKER</t>
  </si>
  <si>
    <t>5011921113163</t>
  </si>
  <si>
    <t>97-38</t>
  </si>
  <si>
    <t>99129915052</t>
  </si>
  <si>
    <t>DAEMONS OF SLAANESH: FIENDS</t>
  </si>
  <si>
    <t>5011921114054</t>
  </si>
  <si>
    <t>97-45</t>
  </si>
  <si>
    <t>99129915034</t>
  </si>
  <si>
    <t>DAEMONS OF TZEENTCH THE CHANGELING</t>
  </si>
  <si>
    <t>5011921081554</t>
  </si>
  <si>
    <t>97-46</t>
  </si>
  <si>
    <t>99129915053</t>
  </si>
  <si>
    <t>DAEMONS OF SLAANESH:INFERNAL ENRAPTURESS</t>
  </si>
  <si>
    <t>5011921114061</t>
  </si>
  <si>
    <t>97-47</t>
  </si>
  <si>
    <t>99129915055</t>
  </si>
  <si>
    <t>SYLL'ESSKE: THE VENGEFUL ALLEGIANCE</t>
  </si>
  <si>
    <t>5011921114603</t>
  </si>
  <si>
    <t>97-48</t>
  </si>
  <si>
    <t>99129915054</t>
  </si>
  <si>
    <t>DAEMONS/SLAANESH: THE CONTORTED EPITOME</t>
  </si>
  <si>
    <t>5011921114597</t>
  </si>
  <si>
    <t>97-62</t>
  </si>
  <si>
    <t>99079915005</t>
  </si>
  <si>
    <t>BLOODMASTER HERALD OF KHORNE</t>
  </si>
  <si>
    <t>5011921113194</t>
  </si>
  <si>
    <t>97-63</t>
  </si>
  <si>
    <t>99129915050</t>
  </si>
  <si>
    <t>DAEMONS OF KHORNE FLESH HOUNDS</t>
  </si>
  <si>
    <t>5011921113170</t>
  </si>
  <si>
    <t>97-64</t>
  </si>
  <si>
    <t>99079915006</t>
  </si>
  <si>
    <t>KARANAK THE HOUND OF VENGEANCE</t>
  </si>
  <si>
    <t>5011921113187</t>
  </si>
  <si>
    <t>97-65</t>
  </si>
  <si>
    <t>99079915007</t>
  </si>
  <si>
    <t>DAEMONS OF SLAANESH: THE MASQUE</t>
  </si>
  <si>
    <t>5011921114047</t>
  </si>
  <si>
    <t>WR-60</t>
  </si>
  <si>
    <t>60019915001</t>
  </si>
  <si>
    <t>REALM OF CHAOS: WRATH &amp; RAPTURE (ENG)</t>
  </si>
  <si>
    <t>5011921110216</t>
  </si>
  <si>
    <t>110-65</t>
  </si>
  <si>
    <t>99220716001</t>
  </si>
  <si>
    <t>WHU: GRASHRAK'S DESPOILERS DICE PACK</t>
  </si>
  <si>
    <t>5011921124749</t>
  </si>
  <si>
    <t>110-69</t>
  </si>
  <si>
    <t>99220716002</t>
  </si>
  <si>
    <t>WHU: GRASHRAK'S DESPOILERS PREMIUM SLVS</t>
  </si>
  <si>
    <t>5011921126170</t>
  </si>
  <si>
    <t>110-34-15</t>
  </si>
  <si>
    <t>15120718002</t>
  </si>
  <si>
    <t>WH U/WORLDS: STEELHEARTS CHAMPIONS (CHN)</t>
  </si>
  <si>
    <t>5011921109180</t>
  </si>
  <si>
    <t>110-34-60</t>
  </si>
  <si>
    <t>60120718002</t>
  </si>
  <si>
    <t>WH U/WORLDS: STEELHEARTS CHAMPIONS (ENG)</t>
  </si>
  <si>
    <t>5011921109135</t>
  </si>
  <si>
    <t>21-01</t>
  </si>
  <si>
    <t>9918995000106</t>
  </si>
  <si>
    <t>BASE: AVERLAND SUNSET (12ML) (6-PACK)</t>
  </si>
  <si>
    <t>Paint - Base</t>
  </si>
  <si>
    <t>99189950001061</t>
  </si>
  <si>
    <t>E:P210</t>
  </si>
  <si>
    <t>21-02</t>
  </si>
  <si>
    <t>9918995000206</t>
  </si>
  <si>
    <t>JOKAERO ORANGE (6-PACK)</t>
  </si>
  <si>
    <t>99189950002068</t>
  </si>
  <si>
    <t>21-03</t>
  </si>
  <si>
    <t>9918995000306</t>
  </si>
  <si>
    <t>MEPHISTON RED 12ML (6-PACK)</t>
  </si>
  <si>
    <t>99189950003065</t>
  </si>
  <si>
    <t>21-04</t>
  </si>
  <si>
    <t>9918995000406</t>
  </si>
  <si>
    <t>KHORNE RED 12ML (6-PACK)</t>
  </si>
  <si>
    <t>99189950004062</t>
  </si>
  <si>
    <t>21-05</t>
  </si>
  <si>
    <t>9918995000506</t>
  </si>
  <si>
    <t>NAGGAROTH NIGHT (6-PACK)</t>
  </si>
  <si>
    <t>99189950005069</t>
  </si>
  <si>
    <t>21-06</t>
  </si>
  <si>
    <t>9918995000606</t>
  </si>
  <si>
    <t>BASE: DAEMONETTE HIDE (12ML) (6-PACK)</t>
  </si>
  <si>
    <t>99189950006066</t>
  </si>
  <si>
    <t>21-07</t>
  </si>
  <si>
    <t>9918995000706</t>
  </si>
  <si>
    <t>KANTOR BLUE 12ML (6-PACK)</t>
  </si>
  <si>
    <t>99189950007063</t>
  </si>
  <si>
    <t>21-08</t>
  </si>
  <si>
    <t>9918995000806</t>
  </si>
  <si>
    <t>MACRAGGE BLUE (12ML) (6-PACK)</t>
  </si>
  <si>
    <t>99189950008060</t>
  </si>
  <si>
    <t>21-09</t>
  </si>
  <si>
    <t>9918995000906</t>
  </si>
  <si>
    <t>CALEDOR SKY (6-PACK)</t>
  </si>
  <si>
    <t>99189950009067</t>
  </si>
  <si>
    <t>21-10</t>
  </si>
  <si>
    <t>9918995001006</t>
  </si>
  <si>
    <t>STEGADON SCALE GREEN (6-PACK)</t>
  </si>
  <si>
    <t>99189950010063</t>
  </si>
  <si>
    <t>21-11</t>
  </si>
  <si>
    <t>9918995001106</t>
  </si>
  <si>
    <t>INCUBI DARKNESS (6-PACK)</t>
  </si>
  <si>
    <t>99189950011060</t>
  </si>
  <si>
    <t>21-12</t>
  </si>
  <si>
    <t>9918995001206</t>
  </si>
  <si>
    <t>CALIBAN GREEN 12ML (6-PACK)</t>
  </si>
  <si>
    <t>99189950012067</t>
  </si>
  <si>
    <t>21-13</t>
  </si>
  <si>
    <t>9918995001306</t>
  </si>
  <si>
    <t>WAAAGH! FLESH (6-PACK)</t>
  </si>
  <si>
    <t>99189950013064</t>
  </si>
  <si>
    <t>21-14</t>
  </si>
  <si>
    <t>9918995001406</t>
  </si>
  <si>
    <t>CASTELLAN GREEN (6-PACK)</t>
  </si>
  <si>
    <t>99189950014061</t>
  </si>
  <si>
    <t>21-15</t>
  </si>
  <si>
    <t>9918995001506</t>
  </si>
  <si>
    <t>BASE: DEATHWORLD FOREST (12ML) (6-PACK)</t>
  </si>
  <si>
    <t>99189950015068</t>
  </si>
  <si>
    <t>21-16</t>
  </si>
  <si>
    <t>9918995001606</t>
  </si>
  <si>
    <t>ZANDRI DUST (6-PACK)</t>
  </si>
  <si>
    <t>99189950016065</t>
  </si>
  <si>
    <t>21-17</t>
  </si>
  <si>
    <t>9918995001706</t>
  </si>
  <si>
    <t>STEEL LEGION DRAB 12ML (6-PACK)</t>
  </si>
  <si>
    <t>99189950017062</t>
  </si>
  <si>
    <t>21-18</t>
  </si>
  <si>
    <t>9918995001806</t>
  </si>
  <si>
    <t>BUGMAN'S GLOW 12ML (6-PACK)</t>
  </si>
  <si>
    <t>99189950018069</t>
  </si>
  <si>
    <t>21-19</t>
  </si>
  <si>
    <t>9918995001906</t>
  </si>
  <si>
    <t>BASE: RATSKIN FLESH (12ML) (6-PACK)</t>
  </si>
  <si>
    <t>99189950019066</t>
  </si>
  <si>
    <t>21-20</t>
  </si>
  <si>
    <t>9918995002006</t>
  </si>
  <si>
    <t>MOURNFANG BROWN 12ML (6-PACK)</t>
  </si>
  <si>
    <t>99189950020062</t>
  </si>
  <si>
    <t>21-21</t>
  </si>
  <si>
    <t>9918995002106</t>
  </si>
  <si>
    <t>XV-88  12ML (6-PACK)</t>
  </si>
  <si>
    <t>99189950021069</t>
  </si>
  <si>
    <t>21-22</t>
  </si>
  <si>
    <t>9918995002206</t>
  </si>
  <si>
    <t>RHINOX HIDE (6-PACK)</t>
  </si>
  <si>
    <t>99189950022066</t>
  </si>
  <si>
    <t>21-23</t>
  </si>
  <si>
    <t>9918995002306</t>
  </si>
  <si>
    <t>DRYAD BARK 12ML (6-PACK)</t>
  </si>
  <si>
    <t>99189950023063</t>
  </si>
  <si>
    <t>21-24</t>
  </si>
  <si>
    <t>9918995002406</t>
  </si>
  <si>
    <t>MECHANICUS STANDARD GREY (12ML) (6-PACK)</t>
  </si>
  <si>
    <t>99189950024060</t>
  </si>
  <si>
    <t>21-25</t>
  </si>
  <si>
    <t>9918995002506</t>
  </si>
  <si>
    <t>ABADDON BLACK 12ML (6-PACK)</t>
  </si>
  <si>
    <t>99189950025067</t>
  </si>
  <si>
    <t>21-26</t>
  </si>
  <si>
    <t>9918995002606</t>
  </si>
  <si>
    <t>CELESTRA GREY 12ML (6-PACK)</t>
  </si>
  <si>
    <t>99189950026064</t>
  </si>
  <si>
    <t>21-27</t>
  </si>
  <si>
    <t>9918995002706</t>
  </si>
  <si>
    <t>RAKARTH FLESH 12ML (6-PACK)</t>
  </si>
  <si>
    <t>99189950027061</t>
  </si>
  <si>
    <t>21-28</t>
  </si>
  <si>
    <t>9918995002806</t>
  </si>
  <si>
    <t>LEADBELCHER (6-PACK)</t>
  </si>
  <si>
    <t>99189950028068</t>
  </si>
  <si>
    <t>21-29</t>
  </si>
  <si>
    <t>9918995013006</t>
  </si>
  <si>
    <t>BASE: BALTHASAR GOLD (12ML) (6-PACK)</t>
  </si>
  <si>
    <t>99189950130068</t>
  </si>
  <si>
    <t>21-30</t>
  </si>
  <si>
    <t>9918995003006</t>
  </si>
  <si>
    <t>SCREAMING BELL  (6-PACK)</t>
  </si>
  <si>
    <t>99189950030061</t>
  </si>
  <si>
    <t>21-31</t>
  </si>
  <si>
    <t>9918995003106</t>
  </si>
  <si>
    <t>WARPLOCK BRONZE (6-PACK)</t>
  </si>
  <si>
    <t>99189950031068</t>
  </si>
  <si>
    <t>21-32</t>
  </si>
  <si>
    <t>9918995003206</t>
  </si>
  <si>
    <t>THE FANG (6-PACK)</t>
  </si>
  <si>
    <t>99189950032065</t>
  </si>
  <si>
    <t>21-33</t>
  </si>
  <si>
    <t>9918995003306</t>
  </si>
  <si>
    <t>SCREAMER PINK 12ML (6-PACK)</t>
  </si>
  <si>
    <t>99189950033062</t>
  </si>
  <si>
    <t>21-35</t>
  </si>
  <si>
    <t>9918995003906</t>
  </si>
  <si>
    <t>RETRIBUTOR ARMOUR 12ML (6-PACK)</t>
  </si>
  <si>
    <t>99189950039064</t>
  </si>
  <si>
    <t>21-36</t>
  </si>
  <si>
    <t>9918995007106</t>
  </si>
  <si>
    <t>BASE: THOUSAND SONS BLUE (12ML) (6-PACK)</t>
  </si>
  <si>
    <t>99189950071064</t>
  </si>
  <si>
    <t>21-37</t>
  </si>
  <si>
    <t>9918995007906</t>
  </si>
  <si>
    <t>BASE: DEATH GUARD GREEN (12ML) (6-PACK)</t>
  </si>
  <si>
    <t>99189950079060</t>
  </si>
  <si>
    <t>21-38</t>
  </si>
  <si>
    <t>9918995008206</t>
  </si>
  <si>
    <t>BASE: IONRACH SKIN (12ML) 6-PACK</t>
  </si>
  <si>
    <t>99189950082060</t>
  </si>
  <si>
    <t>21-39</t>
  </si>
  <si>
    <t>9918995012106</t>
  </si>
  <si>
    <t>BASE: PHOENICIAN PURPLE (12ML) (6-PACK)</t>
  </si>
  <si>
    <t>99189950121066</t>
  </si>
  <si>
    <t>21-40</t>
  </si>
  <si>
    <t>9918995012206</t>
  </si>
  <si>
    <t>BASE: DEATH KORPS DRAB (12ML) (6-PACK)</t>
  </si>
  <si>
    <t>99189950122063</t>
  </si>
  <si>
    <t>21-41</t>
  </si>
  <si>
    <t>9918995012306</t>
  </si>
  <si>
    <t>BASE: GAL VORBAK RED (12ML) (6-PACK)</t>
  </si>
  <si>
    <t>99189950123060</t>
  </si>
  <si>
    <t>21-42</t>
  </si>
  <si>
    <t>9918995012406</t>
  </si>
  <si>
    <t>BASE: NIGHT LORDS BLUE (12ML) (6-PACK)</t>
  </si>
  <si>
    <t>99189950124067</t>
  </si>
  <si>
    <t>21-43</t>
  </si>
  <si>
    <t>9918995012506</t>
  </si>
  <si>
    <t>BASE: NOCTURNE GREEN (12ML) (6-PACK)</t>
  </si>
  <si>
    <t>99189950125064</t>
  </si>
  <si>
    <t>21-44</t>
  </si>
  <si>
    <t>9918995012606</t>
  </si>
  <si>
    <t>BASE: CORVUS BLACK (12ML) (6-PACK)</t>
  </si>
  <si>
    <t>99189950126061</t>
  </si>
  <si>
    <t>21-45</t>
  </si>
  <si>
    <t>9918995012706</t>
  </si>
  <si>
    <t>BASE: LUPERCAL GREEN (12ML) (6-PACK)</t>
  </si>
  <si>
    <t>99189950127068</t>
  </si>
  <si>
    <t>21-46</t>
  </si>
  <si>
    <t>9918995012806</t>
  </si>
  <si>
    <t>BASE: IRON HANDS STEEL (12ML) (6-PACK)</t>
  </si>
  <si>
    <t>99189950128065</t>
  </si>
  <si>
    <t>21-47</t>
  </si>
  <si>
    <t>9918995012906</t>
  </si>
  <si>
    <t>BASE: GREY KNIGHTS STEEL (12ML) (6-PACK)</t>
  </si>
  <si>
    <t>99189950129062</t>
  </si>
  <si>
    <t>21-48</t>
  </si>
  <si>
    <t>9918995016806</t>
  </si>
  <si>
    <t>BASE: IRON WARRIORS (12ML) (6-PACK)</t>
  </si>
  <si>
    <t>99189950168061</t>
  </si>
  <si>
    <t>21-49</t>
  </si>
  <si>
    <t>9918995016906</t>
  </si>
  <si>
    <t>BASE: BARAK-NAR BURGUNDY (12ML) (6-PACK)</t>
  </si>
  <si>
    <t>99189950169068</t>
  </si>
  <si>
    <t>21-50</t>
  </si>
  <si>
    <t>9918995017006</t>
  </si>
  <si>
    <t>BASE: CATACHAN FLESHTONE (12ML) (6-PACK)</t>
  </si>
  <si>
    <t>99189950170064</t>
  </si>
  <si>
    <t>21-51</t>
  </si>
  <si>
    <t>9918995017106</t>
  </si>
  <si>
    <t>BASE: MORGHAST BONE (12ML) (6-PACK)</t>
  </si>
  <si>
    <t>99189950171061</t>
  </si>
  <si>
    <t>21-52</t>
  </si>
  <si>
    <t>9918995017206</t>
  </si>
  <si>
    <t>BASE: CORAX WHITE (12ML) (6-PACK)</t>
  </si>
  <si>
    <t>99189950172068</t>
  </si>
  <si>
    <t>21-53</t>
  </si>
  <si>
    <t>9918995017306</t>
  </si>
  <si>
    <t>BASE: WRAITHBONE (12ML) (6-PACK)</t>
  </si>
  <si>
    <t>99189950173065</t>
  </si>
  <si>
    <t>21-54</t>
  </si>
  <si>
    <t>9918995017406</t>
  </si>
  <si>
    <t>BASE: GREY SEER (12ML) (6-PACK)</t>
  </si>
  <si>
    <t>99189950174062</t>
  </si>
  <si>
    <t>60-22</t>
  </si>
  <si>
    <t>99179950002</t>
  </si>
  <si>
    <t>CITADEL BASE PAINT SET</t>
  </si>
  <si>
    <t>5011921064908</t>
  </si>
  <si>
    <t>22-01</t>
  </si>
  <si>
    <t>9918995100106</t>
  </si>
  <si>
    <t>YRIEL YELLOW 12ML (6-PACK)</t>
  </si>
  <si>
    <t>Paint - Layer</t>
  </si>
  <si>
    <t>99189951001060</t>
  </si>
  <si>
    <t>22-02</t>
  </si>
  <si>
    <t>9918995100206</t>
  </si>
  <si>
    <t>FLASH GITZ YELLOW (6-PACK)</t>
  </si>
  <si>
    <t>99189951002067</t>
  </si>
  <si>
    <t>22-03</t>
  </si>
  <si>
    <t>9918995100306</t>
  </si>
  <si>
    <t>TROLL SLAYER ORANGE 12ML (6-PACK)</t>
  </si>
  <si>
    <t>99189951003064</t>
  </si>
  <si>
    <t>22-04</t>
  </si>
  <si>
    <t>9918995100406</t>
  </si>
  <si>
    <t>FIRE DRAGON BRIGHT 12ML (6-PACK)</t>
  </si>
  <si>
    <t>99189951004061</t>
  </si>
  <si>
    <t>22-05</t>
  </si>
  <si>
    <t>9918995100506</t>
  </si>
  <si>
    <t>EVIL SUNZ SCARLET (6-PACK)</t>
  </si>
  <si>
    <t>99189951005068</t>
  </si>
  <si>
    <t>22-06</t>
  </si>
  <si>
    <t>9918995100606</t>
  </si>
  <si>
    <t>WILD RIDER RED 12ML (6-PACK)</t>
  </si>
  <si>
    <t>99189951006065</t>
  </si>
  <si>
    <t>22-07</t>
  </si>
  <si>
    <t>9918995100706</t>
  </si>
  <si>
    <t>WAZDAKKA RED 12ML (6-PACK)</t>
  </si>
  <si>
    <t>99189951007062</t>
  </si>
  <si>
    <t>22-08</t>
  </si>
  <si>
    <t>9918995100806</t>
  </si>
  <si>
    <t>SQUIG ORANGE (6-PACK)</t>
  </si>
  <si>
    <t>99189951008069</t>
  </si>
  <si>
    <t>22-09</t>
  </si>
  <si>
    <t>9918995100906</t>
  </si>
  <si>
    <t>XEREUS PURPLE (6-PACK)</t>
  </si>
  <si>
    <t>99189951009066</t>
  </si>
  <si>
    <t>22-10</t>
  </si>
  <si>
    <t>9918995101006</t>
  </si>
  <si>
    <t>GENESTEALER PURPLE (6-PACK)</t>
  </si>
  <si>
    <t>99189951010062</t>
  </si>
  <si>
    <t>22-11</t>
  </si>
  <si>
    <t>9918995101106</t>
  </si>
  <si>
    <t>LAYER: WARPFIEND GREY (12ML) (6-PACK)</t>
  </si>
  <si>
    <t>99189951011069</t>
  </si>
  <si>
    <t>22-12</t>
  </si>
  <si>
    <t>9918995101206</t>
  </si>
  <si>
    <t>LAYER: SLAANESH GREY (12ML) (6-PACK)</t>
  </si>
  <si>
    <t>99189951012066</t>
  </si>
  <si>
    <t>22-13</t>
  </si>
  <si>
    <t>9918995101306</t>
  </si>
  <si>
    <t>ALAITOC BLUE (6-PACK)</t>
  </si>
  <si>
    <t>99189951013063</t>
  </si>
  <si>
    <t>22-14</t>
  </si>
  <si>
    <t>9918995101406</t>
  </si>
  <si>
    <t>HOETH BLUE (6-PACK)</t>
  </si>
  <si>
    <t>99189951014060</t>
  </si>
  <si>
    <t>22-15</t>
  </si>
  <si>
    <t>9918995101506</t>
  </si>
  <si>
    <t>ALTDORF GUARD BLUE (6-PACK)</t>
  </si>
  <si>
    <t>99189951015067</t>
  </si>
  <si>
    <t>22-16</t>
  </si>
  <si>
    <t>9918995101606</t>
  </si>
  <si>
    <t>CALGAR BLUE 12ML (6-PACK)</t>
  </si>
  <si>
    <t>99189951016064</t>
  </si>
  <si>
    <t>22-17</t>
  </si>
  <si>
    <t>9918995101706</t>
  </si>
  <si>
    <t>TECLIS BLUE (6-PACK)</t>
  </si>
  <si>
    <t>99189951017061</t>
  </si>
  <si>
    <t>22-18</t>
  </si>
  <si>
    <t>9918995101806</t>
  </si>
  <si>
    <t>LOTHERN BLUE (6-PACK)</t>
  </si>
  <si>
    <t>99189951018068</t>
  </si>
  <si>
    <t>22-19</t>
  </si>
  <si>
    <t>9918995101906</t>
  </si>
  <si>
    <t>SOTEK GREEN (6-PACK)</t>
  </si>
  <si>
    <t>99189951019065</t>
  </si>
  <si>
    <t>22-20</t>
  </si>
  <si>
    <t>9918995102006</t>
  </si>
  <si>
    <t>TEMPLE GUARD BLUE 12ML (6-PACK)</t>
  </si>
  <si>
    <t>99189951020061</t>
  </si>
  <si>
    <t>22-21</t>
  </si>
  <si>
    <t>9918995102106</t>
  </si>
  <si>
    <t>KABALITE GREEN (6-PACK)</t>
  </si>
  <si>
    <t>99189951021068</t>
  </si>
  <si>
    <t>22-22</t>
  </si>
  <si>
    <t>9918995102206</t>
  </si>
  <si>
    <t>SYBARITE GREEN (6-PACK)</t>
  </si>
  <si>
    <t>99189951022065</t>
  </si>
  <si>
    <t>22-23</t>
  </si>
  <si>
    <t>9918995102306</t>
  </si>
  <si>
    <t>WARPSTONE GLOW (6-PACK)</t>
  </si>
  <si>
    <t>99189951023062</t>
  </si>
  <si>
    <t>22-24</t>
  </si>
  <si>
    <t>9918995102406</t>
  </si>
  <si>
    <t>MOOT GREEN 12ML (6-PACK)</t>
  </si>
  <si>
    <t>99189951024069</t>
  </si>
  <si>
    <t>22-25</t>
  </si>
  <si>
    <t>9918995102506</t>
  </si>
  <si>
    <t>WARBOSS GREEN (6-PACK)</t>
  </si>
  <si>
    <t>99189951025066</t>
  </si>
  <si>
    <t>22-26</t>
  </si>
  <si>
    <t>9918995102606</t>
  </si>
  <si>
    <t>SKARSNIK GREEN (6-PACK)</t>
  </si>
  <si>
    <t>99189951026063</t>
  </si>
  <si>
    <t>22-27</t>
  </si>
  <si>
    <t>9918995102706</t>
  </si>
  <si>
    <t>LAYER: LOREN FOREST (12ML) (6-PACK)</t>
  </si>
  <si>
    <t>99189951027060</t>
  </si>
  <si>
    <t>22-28</t>
  </si>
  <si>
    <t>9918995102806</t>
  </si>
  <si>
    <t>STRAKEN GREEN (6-PACK)</t>
  </si>
  <si>
    <t>99189951028067</t>
  </si>
  <si>
    <t>22-29</t>
  </si>
  <si>
    <t>9918995102906</t>
  </si>
  <si>
    <t>NURGLING GREEN 12ML (6-PACK)</t>
  </si>
  <si>
    <t>99189951029064</t>
  </si>
  <si>
    <t>22-30</t>
  </si>
  <si>
    <t>9918995103006</t>
  </si>
  <si>
    <t>ELYSIAN GREEN (6-PACK)</t>
  </si>
  <si>
    <t>99189951030060</t>
  </si>
  <si>
    <t>22-31</t>
  </si>
  <si>
    <t>9918995103106</t>
  </si>
  <si>
    <t>OGRYN CAMO 12ML (6-PACK)</t>
  </si>
  <si>
    <t>99189951031067</t>
  </si>
  <si>
    <t>22-32</t>
  </si>
  <si>
    <t>9918995103206</t>
  </si>
  <si>
    <t>USHABTI BONE (6-PACK)</t>
  </si>
  <si>
    <t>99189951032064</t>
  </si>
  <si>
    <t>22-33</t>
  </si>
  <si>
    <t>9918995103306</t>
  </si>
  <si>
    <t>SCREAMING SKULL 12ML (6-PACK)</t>
  </si>
  <si>
    <t>99189951033061</t>
  </si>
  <si>
    <t>22-34</t>
  </si>
  <si>
    <t>9918995103406</t>
  </si>
  <si>
    <t>TALLARN SAND (6-PACK)</t>
  </si>
  <si>
    <t>99189951034068</t>
  </si>
  <si>
    <t>22-35</t>
  </si>
  <si>
    <t>9918995103506</t>
  </si>
  <si>
    <t>KARAK STONE (6-PACK)</t>
  </si>
  <si>
    <t>99189951035065</t>
  </si>
  <si>
    <t>22-36</t>
  </si>
  <si>
    <t>9918995103606</t>
  </si>
  <si>
    <t>CADIAN FLESHTONE 12ML (6-PACK)</t>
  </si>
  <si>
    <t>99189951036062</t>
  </si>
  <si>
    <t>22-37</t>
  </si>
  <si>
    <t>9918995103706</t>
  </si>
  <si>
    <t>KISLEV FLESH (6-PACK)</t>
  </si>
  <si>
    <t>99189951037069</t>
  </si>
  <si>
    <t>22-38</t>
  </si>
  <si>
    <t>9918995103806</t>
  </si>
  <si>
    <t>LAYER: BESTIGOR FLESH (12ML) (6-PACK)</t>
  </si>
  <si>
    <t>99189951038066</t>
  </si>
  <si>
    <t>22-39</t>
  </si>
  <si>
    <t>9918995103906</t>
  </si>
  <si>
    <t>UNGOR FLESH (6-PACK)</t>
  </si>
  <si>
    <t>99189951039063</t>
  </si>
  <si>
    <t>22-40</t>
  </si>
  <si>
    <t>9918995104006</t>
  </si>
  <si>
    <t>SKRAG BROWN (6-PACK)</t>
  </si>
  <si>
    <t>99189951040069</t>
  </si>
  <si>
    <t>22-41</t>
  </si>
  <si>
    <t>9918995104106</t>
  </si>
  <si>
    <t>DEATHCLAW BROWN (6-PACK)</t>
  </si>
  <si>
    <t>99189951041066</t>
  </si>
  <si>
    <t>22-42</t>
  </si>
  <si>
    <t>9918995104206</t>
  </si>
  <si>
    <t>TAU LIGHT OCHRE (12ML) (6-PACK)</t>
  </si>
  <si>
    <t>99189951042063</t>
  </si>
  <si>
    <t>22-43</t>
  </si>
  <si>
    <t>9918995104306</t>
  </si>
  <si>
    <t>BALOR BROWN 12ML (6-PACK)</t>
  </si>
  <si>
    <t>99189951043060</t>
  </si>
  <si>
    <t>22-44</t>
  </si>
  <si>
    <t>9918995104406</t>
  </si>
  <si>
    <t>ZAMESI DESERT (6-PACK)</t>
  </si>
  <si>
    <t>99189951044067</t>
  </si>
  <si>
    <t>22-45</t>
  </si>
  <si>
    <t>9918995104506</t>
  </si>
  <si>
    <t>DOOMBULL BROWN (6-PACK)</t>
  </si>
  <si>
    <t>99189951045064</t>
  </si>
  <si>
    <t>22-46</t>
  </si>
  <si>
    <t>9918995104606</t>
  </si>
  <si>
    <t>TUSKGOR FUR (6-PACK)</t>
  </si>
  <si>
    <t>99189951046061</t>
  </si>
  <si>
    <t>22-47</t>
  </si>
  <si>
    <t>9918995104706</t>
  </si>
  <si>
    <t>GORTHOR BROWN (6-PACK)</t>
  </si>
  <si>
    <t>99189951047068</t>
  </si>
  <si>
    <t>22-48</t>
  </si>
  <si>
    <t>9918995104806</t>
  </si>
  <si>
    <t>BANEBLADE BROWN 12ML (6-PACK)</t>
  </si>
  <si>
    <t>99189951048065</t>
  </si>
  <si>
    <t>22-49</t>
  </si>
  <si>
    <t>9918995104906</t>
  </si>
  <si>
    <t>DAWNSTONE 12ML (6-PACK)</t>
  </si>
  <si>
    <t>99189951049062</t>
  </si>
  <si>
    <t>22-50</t>
  </si>
  <si>
    <t>9918995105006</t>
  </si>
  <si>
    <t>ADMINISTRATUM GREY 12ML (6-PACK)</t>
  </si>
  <si>
    <t>99189951050068</t>
  </si>
  <si>
    <t>22-51</t>
  </si>
  <si>
    <t>9918995105106</t>
  </si>
  <si>
    <t>ESHIN GREY (6-PACK)</t>
  </si>
  <si>
    <t>99189951051065</t>
  </si>
  <si>
    <t>22-52</t>
  </si>
  <si>
    <t>9918995105206</t>
  </si>
  <si>
    <t>LAYER: DARK REAPER (12ML) (6-PACK)</t>
  </si>
  <si>
    <t>99189951052062</t>
  </si>
  <si>
    <t>22-53</t>
  </si>
  <si>
    <t>9918995105306</t>
  </si>
  <si>
    <t>LAYER: THUNDERHAWK BLUE (12ML) (6-PACK)</t>
  </si>
  <si>
    <t>99189951053069</t>
  </si>
  <si>
    <t>22-54</t>
  </si>
  <si>
    <t>9918995105406</t>
  </si>
  <si>
    <t>SKAVENBLIGHT DINGE (6-PACK)</t>
  </si>
  <si>
    <t>99189951054066</t>
  </si>
  <si>
    <t>22-55</t>
  </si>
  <si>
    <t>9918995105506</t>
  </si>
  <si>
    <t>STORMVERMIN FUR (6-PACK)</t>
  </si>
  <si>
    <t>99189951055063</t>
  </si>
  <si>
    <t>22-56</t>
  </si>
  <si>
    <t>9918995105606</t>
  </si>
  <si>
    <t>ULTHUAN GREY (6-PACK)</t>
  </si>
  <si>
    <t>99189951056060</t>
  </si>
  <si>
    <t>22-57</t>
  </si>
  <si>
    <t>9918995105706</t>
  </si>
  <si>
    <t>WHITE SCAR 12ML (6-PACK)</t>
  </si>
  <si>
    <t>99189951057067</t>
  </si>
  <si>
    <t>22-58</t>
  </si>
  <si>
    <t>9918995105806</t>
  </si>
  <si>
    <t>PALLID WYCH FLESH 12ML (6-PACK)</t>
  </si>
  <si>
    <t>99189951058064</t>
  </si>
  <si>
    <t>22-59</t>
  </si>
  <si>
    <t>9918995105906</t>
  </si>
  <si>
    <t>IRONBREAKER (6-PACK)</t>
  </si>
  <si>
    <t>99189951059061</t>
  </si>
  <si>
    <t>22-60</t>
  </si>
  <si>
    <t>9918995106006</t>
  </si>
  <si>
    <t>RUNEFANG STEEL (6-PACK)</t>
  </si>
  <si>
    <t>99189951060067</t>
  </si>
  <si>
    <t>22-61</t>
  </si>
  <si>
    <t>9918995106106</t>
  </si>
  <si>
    <t>GEHENNA'S GOLD (6-PACK)</t>
  </si>
  <si>
    <t>99189951061064</t>
  </si>
  <si>
    <t>22-62</t>
  </si>
  <si>
    <t>9918995106206</t>
  </si>
  <si>
    <t>AURIC ARMOUR GOLD (6-PACK)</t>
  </si>
  <si>
    <t>99189951062061</t>
  </si>
  <si>
    <t>22-63</t>
  </si>
  <si>
    <t>9918995111606</t>
  </si>
  <si>
    <t>LAYER: HASHUT COPPER (12ML) (6-PACK)</t>
  </si>
  <si>
    <t>99189951116061</t>
  </si>
  <si>
    <t>22-64</t>
  </si>
  <si>
    <t>9918995106406</t>
  </si>
  <si>
    <t>SYCORAX BRONZE (6-PACK)</t>
  </si>
  <si>
    <t>99189951064065</t>
  </si>
  <si>
    <t>22-65</t>
  </si>
  <si>
    <t>9918995106506</t>
  </si>
  <si>
    <t>BRASS SCORPION  (6-PACK)</t>
  </si>
  <si>
    <t>99189951065062</t>
  </si>
  <si>
    <t>22-66</t>
  </si>
  <si>
    <t>9918995111706</t>
  </si>
  <si>
    <t>LAYER: RUNELORD BRASS (12ML) (6-PACK)</t>
  </si>
  <si>
    <t>99189951117068</t>
  </si>
  <si>
    <t>22-67</t>
  </si>
  <si>
    <t>9918995106706</t>
  </si>
  <si>
    <t>RUSS GREY (6-PACK)</t>
  </si>
  <si>
    <t>99189951067066</t>
  </si>
  <si>
    <t>22-68</t>
  </si>
  <si>
    <t>9918995106806</t>
  </si>
  <si>
    <t>FENRISIAN GREY (6-PACK)</t>
  </si>
  <si>
    <t>99189951068063</t>
  </si>
  <si>
    <t>22-69</t>
  </si>
  <si>
    <t>9918995106906</t>
  </si>
  <si>
    <t>PINK HORROR 12ML (6-PACK)</t>
  </si>
  <si>
    <t>99189951069060</t>
  </si>
  <si>
    <t>22-70</t>
  </si>
  <si>
    <t>9918995107006</t>
  </si>
  <si>
    <t>EMPEROR'S CHILDREN (6-PACK)</t>
  </si>
  <si>
    <t>99189951070066</t>
  </si>
  <si>
    <t>22-71</t>
  </si>
  <si>
    <t>9918995107306</t>
  </si>
  <si>
    <t>LIBERATOR GOLD 12ML (6-PACK)</t>
  </si>
  <si>
    <t>99189951073067</t>
  </si>
  <si>
    <t>22-72</t>
  </si>
  <si>
    <t>9918995107406</t>
  </si>
  <si>
    <t>FLAYED ONE FLESH (6-PACK)</t>
  </si>
  <si>
    <t>99189951074064</t>
  </si>
  <si>
    <t>22-73</t>
  </si>
  <si>
    <t>9918995108106</t>
  </si>
  <si>
    <t>LAYER:SKULLCRUSHER BRASS (12ML) (6-PACK)</t>
  </si>
  <si>
    <t>99189951081062</t>
  </si>
  <si>
    <t>22-74</t>
  </si>
  <si>
    <t>9918995108206</t>
  </si>
  <si>
    <t>LAYER: FULGURITE COPPER (12ML) (6-PACK)</t>
  </si>
  <si>
    <t>99189951082069</t>
  </si>
  <si>
    <t>22-75</t>
  </si>
  <si>
    <t>9918995108306</t>
  </si>
  <si>
    <t>LAYER: STORMHOST SILVER (12ML) (6-PACK)</t>
  </si>
  <si>
    <t>99189951083066</t>
  </si>
  <si>
    <t>22-76</t>
  </si>
  <si>
    <t>9918995108406</t>
  </si>
  <si>
    <t>LAYER: AHRIMAN BLUE (12ML) (6-PACK)</t>
  </si>
  <si>
    <t>99189951084063</t>
  </si>
  <si>
    <t>22-77</t>
  </si>
  <si>
    <t>9918995110106</t>
  </si>
  <si>
    <t>LAYER: DEEPKIN FLESH (12ML) 6-PACK</t>
  </si>
  <si>
    <t>99189951101067</t>
  </si>
  <si>
    <t>22-78</t>
  </si>
  <si>
    <t>9918995110206</t>
  </si>
  <si>
    <t>LAYER: GAUSS BLASTER GREEN (12ML) (6PK)</t>
  </si>
  <si>
    <t>99189951102064</t>
  </si>
  <si>
    <t>22-79</t>
  </si>
  <si>
    <t>9918995110306</t>
  </si>
  <si>
    <t>LAYER: BAHARROTH BLUE (12ML) (6-PACK)</t>
  </si>
  <si>
    <t>99189951103061</t>
  </si>
  <si>
    <t>22-80</t>
  </si>
  <si>
    <t>9918995110406</t>
  </si>
  <si>
    <t>LAYER: DORN YELLOW (12ML) (6-PACK)</t>
  </si>
  <si>
    <t>99189951104068</t>
  </si>
  <si>
    <t>22-81</t>
  </si>
  <si>
    <t>9918995110506</t>
  </si>
  <si>
    <t>LAYER: FULGRIM PINK (12ML) (6-PACK)</t>
  </si>
  <si>
    <t>99189951105065</t>
  </si>
  <si>
    <t>22-82</t>
  </si>
  <si>
    <t>9918995110606</t>
  </si>
  <si>
    <t>LAYER: DECHALA LILAC (12ML) (6-PACK)</t>
  </si>
  <si>
    <t>99189951106062</t>
  </si>
  <si>
    <t>22-83</t>
  </si>
  <si>
    <t>9918995110706</t>
  </si>
  <si>
    <t>LAYER: KRIEG KHAKI (12ML) (6-PACK)</t>
  </si>
  <si>
    <t>99189951107069</t>
  </si>
  <si>
    <t>22-84</t>
  </si>
  <si>
    <t>9918995110806</t>
  </si>
  <si>
    <t>LAYER: BLUE HORROR (12ML) (6-PACK)</t>
  </si>
  <si>
    <t>99189951108066</t>
  </si>
  <si>
    <t>22-85</t>
  </si>
  <si>
    <t>9918995110906</t>
  </si>
  <si>
    <t>LAYER: LUGGANATH ORANGE (12ML) (6-PACK)</t>
  </si>
  <si>
    <t>99189951109063</t>
  </si>
  <si>
    <t>22-86</t>
  </si>
  <si>
    <t>9918995111006</t>
  </si>
  <si>
    <t>LAYER: KAKOPHONI PURPLE  (12ML) (6-PACK)</t>
  </si>
  <si>
    <t>99189951110069</t>
  </si>
  <si>
    <t>22-87</t>
  </si>
  <si>
    <t>9918995111106</t>
  </si>
  <si>
    <t>LAYER:SONS OF HORUS GREEN (12ML)(6-PACK)</t>
  </si>
  <si>
    <t>99189951111066</t>
  </si>
  <si>
    <t>22-88</t>
  </si>
  <si>
    <t>9918995111206</t>
  </si>
  <si>
    <t>LAYER: PHALANX YELLOW (12ML) (6-PACK)</t>
  </si>
  <si>
    <t>99189951112063</t>
  </si>
  <si>
    <t>22-89</t>
  </si>
  <si>
    <t>9918995111306</t>
  </si>
  <si>
    <t>LAYER: CASTELLAX BRONZE (12ML) (6-PACK)</t>
  </si>
  <si>
    <t>99189951113060</t>
  </si>
  <si>
    <t>22-90</t>
  </si>
  <si>
    <t>9918995111406</t>
  </si>
  <si>
    <t>LAYER: VULKAN GREEN (12ML) (6-PACK)</t>
  </si>
  <si>
    <t>99189951114067</t>
  </si>
  <si>
    <t>22-91</t>
  </si>
  <si>
    <t>9918995111506</t>
  </si>
  <si>
    <t>LAYER: WORD BEARERS RED (12ML) (6-PACK)</t>
  </si>
  <si>
    <t>99189951115064</t>
  </si>
  <si>
    <t>22-92</t>
  </si>
  <si>
    <t>9918995119406</t>
  </si>
  <si>
    <t>LAYER: BLOODREAVER FLESH (12ML) (6-PACK)</t>
  </si>
  <si>
    <t>99189951194069</t>
  </si>
  <si>
    <t>22-93</t>
  </si>
  <si>
    <t>9918995119506</t>
  </si>
  <si>
    <t>LAYER: KNIGHT-QUESTOR FLESH (12ML) 6-PK</t>
  </si>
  <si>
    <t>99189951195066</t>
  </si>
  <si>
    <t>60-25</t>
  </si>
  <si>
    <t>99179951002</t>
  </si>
  <si>
    <t>CITADEL LAYER PAINT SET</t>
  </si>
  <si>
    <t>5011921064892</t>
  </si>
  <si>
    <t>23-01</t>
  </si>
  <si>
    <t>9918995200106</t>
  </si>
  <si>
    <t>HEXOS PALESUN (6-PACK)</t>
  </si>
  <si>
    <t>Paint - Dry</t>
  </si>
  <si>
    <t>99189952001069</t>
  </si>
  <si>
    <t>23-02</t>
  </si>
  <si>
    <t>9918995200206</t>
  </si>
  <si>
    <t>KINDLEFLAME (6-PACK)</t>
  </si>
  <si>
    <t>99189952002066</t>
  </si>
  <si>
    <t>23-03</t>
  </si>
  <si>
    <t>9918995200306</t>
  </si>
  <si>
    <t>LUCIUS LILAC (6-PACK)</t>
  </si>
  <si>
    <t>99189952003063</t>
  </si>
  <si>
    <t>23-04</t>
  </si>
  <si>
    <t>9918995200406</t>
  </si>
  <si>
    <t>PRAXETI WHITE (6-PACK)</t>
  </si>
  <si>
    <t>99189952004060</t>
  </si>
  <si>
    <t>23-05</t>
  </si>
  <si>
    <t>9918995200506</t>
  </si>
  <si>
    <t>DRY: ETHERIUM BLUE (12ML) (6-PACK)</t>
  </si>
  <si>
    <t>99189952005067</t>
  </si>
  <si>
    <t>23-06</t>
  </si>
  <si>
    <t>9918995200606</t>
  </si>
  <si>
    <t>SKINK BLUE (6-PACK)</t>
  </si>
  <si>
    <t>99189952006064</t>
  </si>
  <si>
    <t>23-07</t>
  </si>
  <si>
    <t>9918995200706</t>
  </si>
  <si>
    <t>HELLION GREEN (6-PACK)</t>
  </si>
  <si>
    <t>99189952007061</t>
  </si>
  <si>
    <t>23-08</t>
  </si>
  <si>
    <t>9918995200806</t>
  </si>
  <si>
    <t>UNDERHIVE ASH (6-PACK)</t>
  </si>
  <si>
    <t>99189952008068</t>
  </si>
  <si>
    <t>23-09</t>
  </si>
  <si>
    <t>9918995200906</t>
  </si>
  <si>
    <t>DRY: ELDAR FLESH (12ML) (6-PACK)</t>
  </si>
  <si>
    <t>99189952009065</t>
  </si>
  <si>
    <t>23-10</t>
  </si>
  <si>
    <t>9918995201006</t>
  </si>
  <si>
    <t>DRY: TYRANT SKULL (12ML) (6-PACK)</t>
  </si>
  <si>
    <t>99189952010061</t>
  </si>
  <si>
    <t>23-11</t>
  </si>
  <si>
    <t>9918995201106</t>
  </si>
  <si>
    <t>DRY: TERMINATUS STONE (12ML) (6-PACK)</t>
  </si>
  <si>
    <t>99189952011068</t>
  </si>
  <si>
    <t>23-12</t>
  </si>
  <si>
    <t>9918995201206</t>
  </si>
  <si>
    <t>LONGBEARD GREY (6-PACK)</t>
  </si>
  <si>
    <t>99189952012065</t>
  </si>
  <si>
    <t>23-13</t>
  </si>
  <si>
    <t>9918995201306</t>
  </si>
  <si>
    <t>NECRON COMPOUND 12ML (6-PACK)</t>
  </si>
  <si>
    <t>99189952013062</t>
  </si>
  <si>
    <t>23-14</t>
  </si>
  <si>
    <t>9918995201406</t>
  </si>
  <si>
    <t>GOLDEN GRIFFON (6-PACK)</t>
  </si>
  <si>
    <t>99189952014069</t>
  </si>
  <si>
    <t>23-15</t>
  </si>
  <si>
    <t>9918995201706</t>
  </si>
  <si>
    <t>CHANGELING PINK (6-PACK)</t>
  </si>
  <si>
    <t>99189952017060</t>
  </si>
  <si>
    <t>23-16</t>
  </si>
  <si>
    <t>9918995201806</t>
  </si>
  <si>
    <t>RYZA RUST (6-PACK)</t>
  </si>
  <si>
    <t>99189952018067</t>
  </si>
  <si>
    <t>23-17</t>
  </si>
  <si>
    <t>9918995202106</t>
  </si>
  <si>
    <t>DRY: ASTORATH RED (6-PACK)</t>
  </si>
  <si>
    <t>99189952021067</t>
  </si>
  <si>
    <t>23-18</t>
  </si>
  <si>
    <t>9918995202206</t>
  </si>
  <si>
    <t>DRY: HOETH BLUE (6-PACK)</t>
  </si>
  <si>
    <t>99189952022064</t>
  </si>
  <si>
    <t>23-19</t>
  </si>
  <si>
    <t>9918995202306</t>
  </si>
  <si>
    <t>DRY: CHRONUS BLUE (6-PACK)</t>
  </si>
  <si>
    <t>99189952023061</t>
  </si>
  <si>
    <t>23-20</t>
  </si>
  <si>
    <t>9918995202406</t>
  </si>
  <si>
    <t>DRY: IMRIK BLUE (6-PACK)</t>
  </si>
  <si>
    <t>99189952024068</t>
  </si>
  <si>
    <t>23-21</t>
  </si>
  <si>
    <t>9918995202506</t>
  </si>
  <si>
    <t>DRY: STORMFANG (6-PACK)</t>
  </si>
  <si>
    <t>99189952025065</t>
  </si>
  <si>
    <t>23-22</t>
  </si>
  <si>
    <t>9918995202006</t>
  </si>
  <si>
    <t>DRY: WRACK WHITE (6-PACK)</t>
  </si>
  <si>
    <t>99189952020060</t>
  </si>
  <si>
    <t>23-24</t>
  </si>
  <si>
    <t>9918995202606</t>
  </si>
  <si>
    <t>DRY: NIBLET GREEN (6-PACK)</t>
  </si>
  <si>
    <t>99189952026062</t>
  </si>
  <si>
    <t>23-25</t>
  </si>
  <si>
    <t>9918995202706</t>
  </si>
  <si>
    <t>DRY: NURGLING GREEN (6-PACK)</t>
  </si>
  <si>
    <t>99189952027069</t>
  </si>
  <si>
    <t>23-26</t>
  </si>
  <si>
    <t>9918995202806</t>
  </si>
  <si>
    <t>DRY: GOLGFAG BROWN (6-PACK)</t>
  </si>
  <si>
    <t>99189952028066</t>
  </si>
  <si>
    <t>23-27</t>
  </si>
  <si>
    <t>9918995202906</t>
  </si>
  <si>
    <t>DRY: VERMINLORD HIDE (6-PACK)</t>
  </si>
  <si>
    <t>99189952029063</t>
  </si>
  <si>
    <t>23-28</t>
  </si>
  <si>
    <t>9918995203006</t>
  </si>
  <si>
    <t>DRY: SYLVANETH BARK (6-PACK)</t>
  </si>
  <si>
    <t>99189952030069</t>
  </si>
  <si>
    <t>23-29</t>
  </si>
  <si>
    <t>9918995203106</t>
  </si>
  <si>
    <t>DRY: DAWNSTONE (6-PACK)</t>
  </si>
  <si>
    <t>99189952031066</t>
  </si>
  <si>
    <t>23-30</t>
  </si>
  <si>
    <t>9918995203206</t>
  </si>
  <si>
    <t>DRY: SIGMARITE (6-PACK)</t>
  </si>
  <si>
    <t>99189952032063</t>
  </si>
  <si>
    <t>23-31</t>
  </si>
  <si>
    <t>9918995203306</t>
  </si>
  <si>
    <t>DRY: SLAANESH GREY (12ML) (6-PACK)</t>
  </si>
  <si>
    <t>99189952033060</t>
  </si>
  <si>
    <t>23-32</t>
  </si>
  <si>
    <t>9918995203406</t>
  </si>
  <si>
    <t>DRY: THUNDERHAWK BLUE (12ML) (6-PACK)</t>
  </si>
  <si>
    <t>99189952034067</t>
  </si>
  <si>
    <t>60-24</t>
  </si>
  <si>
    <t>99179952002</t>
  </si>
  <si>
    <t>CITADEL DRY PAINT SET</t>
  </si>
  <si>
    <t>5011921069293</t>
  </si>
  <si>
    <t>24-13</t>
  </si>
  <si>
    <t>9918995301606</t>
  </si>
  <si>
    <t>SHADE: CARROBURG CRIMSON (24ML) (6-PACK)</t>
  </si>
  <si>
    <t>Paint - Shade</t>
  </si>
  <si>
    <t>99189953016062</t>
  </si>
  <si>
    <t>24-14</t>
  </si>
  <si>
    <t>9918995301706</t>
  </si>
  <si>
    <t>SHADE: NULN OIL (24ML) (6-PACK)</t>
  </si>
  <si>
    <t>99189953017069</t>
  </si>
  <si>
    <t>24-15</t>
  </si>
  <si>
    <t>9918995301806</t>
  </si>
  <si>
    <t>SHADE: AGRAX EARTHSHADE (24ML) (6-PACK)</t>
  </si>
  <si>
    <t>99189953018066</t>
  </si>
  <si>
    <t>24-16</t>
  </si>
  <si>
    <t>9918995301906</t>
  </si>
  <si>
    <t>SHADE: DRUCHII VIOLET (24ML) (6-PACK)</t>
  </si>
  <si>
    <t>99189953019063</t>
  </si>
  <si>
    <t>24-17</t>
  </si>
  <si>
    <t>9918995302006</t>
  </si>
  <si>
    <t>SHADE: DRAKENHOF NIGHTSHADE (24ML) (6PK)</t>
  </si>
  <si>
    <t>99189953020069</t>
  </si>
  <si>
    <t>24-18</t>
  </si>
  <si>
    <t>9918995302106</t>
  </si>
  <si>
    <t>SHADE: CASANDORA YELLOW (24ML) (6-PACK)</t>
  </si>
  <si>
    <t>99189953021066</t>
  </si>
  <si>
    <t>24-19</t>
  </si>
  <si>
    <t>9918995302206</t>
  </si>
  <si>
    <t>SHADE: BIEL-TAN GREEN (24ML) (6-PACK)</t>
  </si>
  <si>
    <t>99189953022063</t>
  </si>
  <si>
    <t>24-20</t>
  </si>
  <si>
    <t>9918995302306</t>
  </si>
  <si>
    <t>SHADE: FUEGAN ORANGE (24ML) (6-PACK)</t>
  </si>
  <si>
    <t>99189953023060</t>
  </si>
  <si>
    <t>24-21</t>
  </si>
  <si>
    <t>9918995302406</t>
  </si>
  <si>
    <t>SHADE: ATHONIAN CAMOSHADE (24ML) (6PK)</t>
  </si>
  <si>
    <t>99189953024067</t>
  </si>
  <si>
    <t>24-22</t>
  </si>
  <si>
    <t>9918995302506</t>
  </si>
  <si>
    <t>SHADE: COELIA GREENSHADE (24ML) 6-PACK</t>
  </si>
  <si>
    <t>99189953025064</t>
  </si>
  <si>
    <t>24-23</t>
  </si>
  <si>
    <t>9918995302606</t>
  </si>
  <si>
    <t>SHADE: SERAPHIM SEPIA (24ML) (6-PACK)</t>
  </si>
  <si>
    <t>99189953026061</t>
  </si>
  <si>
    <t>24-24</t>
  </si>
  <si>
    <t>9918995302706</t>
  </si>
  <si>
    <t>SHADE: REIKLAND FLESHSHADE (24ML) 6-PACK</t>
  </si>
  <si>
    <t>99189953027068</t>
  </si>
  <si>
    <t>24-25</t>
  </si>
  <si>
    <t>9918995303306</t>
  </si>
  <si>
    <t>SHADE: NULN OIL GLOSS (24ML) (6-PACK)</t>
  </si>
  <si>
    <t>99189953033069</t>
  </si>
  <si>
    <t>24-26</t>
  </si>
  <si>
    <t>9918995303406</t>
  </si>
  <si>
    <t>SHADE:AGRAX EARTHSHADE GLOSS 24ML 6-PACK</t>
  </si>
  <si>
    <t>99189953034066</t>
  </si>
  <si>
    <t>24-27</t>
  </si>
  <si>
    <t>9918995303506</t>
  </si>
  <si>
    <t>SHADE:REIKLAND FLESHSHADE GLOSS 24ML 6PK</t>
  </si>
  <si>
    <t>99189953035063</t>
  </si>
  <si>
    <t>60-23</t>
  </si>
  <si>
    <t>99179953002</t>
  </si>
  <si>
    <t>CITADEL SHADE PAINT SET</t>
  </si>
  <si>
    <t>5011921064915</t>
  </si>
  <si>
    <t>27-02</t>
  </si>
  <si>
    <t>9918995604906</t>
  </si>
  <si>
    <t>TECHNICAL: LAHMIAN MEDIUM (24ML) (6PK)</t>
  </si>
  <si>
    <t>Paint - Technical</t>
  </si>
  <si>
    <t>99189956049067</t>
  </si>
  <si>
    <t>27-03</t>
  </si>
  <si>
    <t>9918995605006</t>
  </si>
  <si>
    <t>TECHNICAL: 'ARDCOAT (24ML) (6-PACK)</t>
  </si>
  <si>
    <t>99189956050063</t>
  </si>
  <si>
    <t>27-05</t>
  </si>
  <si>
    <t>9918995600506</t>
  </si>
  <si>
    <t>BLOOD FOR THE BLOOD GOD (6-PACK)</t>
  </si>
  <si>
    <t>99189956005063</t>
  </si>
  <si>
    <t>27-06</t>
  </si>
  <si>
    <t>9918995600606</t>
  </si>
  <si>
    <t>NIHILAKH OXIDE 12ML (6-PACK)</t>
  </si>
  <si>
    <t>99189956006060</t>
  </si>
  <si>
    <t>27-09</t>
  </si>
  <si>
    <t>9918995600906</t>
  </si>
  <si>
    <t>NURGLES ROT 12ML (6-PACK)</t>
  </si>
  <si>
    <t>99189956009061</t>
  </si>
  <si>
    <t>27-10</t>
  </si>
  <si>
    <t>9918995601006</t>
  </si>
  <si>
    <t>TYPHUS CORROSION (6-PACK)</t>
  </si>
  <si>
    <t>99189956010067</t>
  </si>
  <si>
    <t>27-12</t>
  </si>
  <si>
    <t>9918995601506</t>
  </si>
  <si>
    <t>TECHNICAL: SPIRITSTONE RED (12ML) 6-PACK</t>
  </si>
  <si>
    <t>99189956015062</t>
  </si>
  <si>
    <t>27-13</t>
  </si>
  <si>
    <t>9918995601606</t>
  </si>
  <si>
    <t>TECHNICAL: SOULSTONE BLUE (12ML) 6-PACK</t>
  </si>
  <si>
    <t>99189956016069</t>
  </si>
  <si>
    <t>27-14</t>
  </si>
  <si>
    <t>9918995601706</t>
  </si>
  <si>
    <t>TECHNICAL: WAYSTONE GREEN (12ML) 6-PACK</t>
  </si>
  <si>
    <t>99189956017066</t>
  </si>
  <si>
    <t>27-19</t>
  </si>
  <si>
    <t>9918995602506</t>
  </si>
  <si>
    <t>TECHNICAL: NIGHTHAUNT GLOOM (24ML) X6</t>
  </si>
  <si>
    <t>99189956025061</t>
  </si>
  <si>
    <t>27-20</t>
  </si>
  <si>
    <t>9918995602606</t>
  </si>
  <si>
    <t>TECHNICAL: HEXWRAITH FLAME (24ML) X6</t>
  </si>
  <si>
    <t>99189956026068</t>
  </si>
  <si>
    <t>27-21</t>
  </si>
  <si>
    <t>9918995603706</t>
  </si>
  <si>
    <t>TECHNICAL: MORDANT EARTH (24ML) (6-PACK)</t>
  </si>
  <si>
    <t>99189956037064</t>
  </si>
  <si>
    <t>27-22</t>
  </si>
  <si>
    <t>9918995603806</t>
  </si>
  <si>
    <t>TECHNICAL: AGRELLAN EARTH (24ML) (6PK)</t>
  </si>
  <si>
    <t>99189956038061</t>
  </si>
  <si>
    <t>27-23</t>
  </si>
  <si>
    <t>9918995603906</t>
  </si>
  <si>
    <t>TECHNICAL: AGRELLAN BADLAND (24ML) (6PK)</t>
  </si>
  <si>
    <t>99189956039068</t>
  </si>
  <si>
    <t>27-24</t>
  </si>
  <si>
    <t>9918995604006</t>
  </si>
  <si>
    <t>TECHNICAL: MARTIAN IRONEARTH (24ML) 6PK</t>
  </si>
  <si>
    <t>99189956040064</t>
  </si>
  <si>
    <t>27-25</t>
  </si>
  <si>
    <t>9918995604106</t>
  </si>
  <si>
    <t>TECHNICAL: MARTIAN IRONCRUST (24ML) 6PK</t>
  </si>
  <si>
    <t>99189956041061</t>
  </si>
  <si>
    <t>27-26</t>
  </si>
  <si>
    <t>9918995604206</t>
  </si>
  <si>
    <t>TECHNICAL: STIRLAND MUD (24ML) (6-PACK)</t>
  </si>
  <si>
    <t>99189956042068</t>
  </si>
  <si>
    <t>27-27</t>
  </si>
  <si>
    <t>9918995604306</t>
  </si>
  <si>
    <t>TECHNICAL: STIRLAND BATTLEMIRE 24ML 6PK</t>
  </si>
  <si>
    <t>99189956043065</t>
  </si>
  <si>
    <t>27-28</t>
  </si>
  <si>
    <t>9918995604406</t>
  </si>
  <si>
    <t>TECHNICAL: ARMAGEDDON DUST (24ML) (6PK)</t>
  </si>
  <si>
    <t>99189956044062</t>
  </si>
  <si>
    <t>27-29</t>
  </si>
  <si>
    <t>9918995604506</t>
  </si>
  <si>
    <t>TECHNICAL: ARMAGEDDON DUNES (24ML) (6PK)</t>
  </si>
  <si>
    <t>99189956045069</t>
  </si>
  <si>
    <t>27-30</t>
  </si>
  <si>
    <t>9918995604606</t>
  </si>
  <si>
    <t>TECHNICAL: ASTROGRANITE (24ML) (6-PACK)</t>
  </si>
  <si>
    <t>99189956046066</t>
  </si>
  <si>
    <t>27-31</t>
  </si>
  <si>
    <t>9918995604706</t>
  </si>
  <si>
    <t>TECHNICAL: ASTROGRANITE DEBRIS 24ML 6PK</t>
  </si>
  <si>
    <t>99189956047063</t>
  </si>
  <si>
    <t>27-32</t>
  </si>
  <si>
    <t>9918995604806</t>
  </si>
  <si>
    <t>TECHNICAL: VALHALLAN BLIZZARD (24ML) 6PK</t>
  </si>
  <si>
    <t>99189956048060</t>
  </si>
  <si>
    <t>27-33</t>
  </si>
  <si>
    <t>9918995605106</t>
  </si>
  <si>
    <t>TECHNICAL: CONTRAST MEDIUM (24ML) (6-PK)</t>
  </si>
  <si>
    <t>99189956051060</t>
  </si>
  <si>
    <t>27-34</t>
  </si>
  <si>
    <t>9918995605206</t>
  </si>
  <si>
    <t>TECHNICAL: STORMSHIELD (24ML) (6-PACK)</t>
  </si>
  <si>
    <t>99189956052067</t>
  </si>
  <si>
    <t>28-01</t>
  </si>
  <si>
    <t>9918995805306</t>
  </si>
  <si>
    <t>AIR: AVERLAND SUNSET (24ML) (6-PACK)</t>
  </si>
  <si>
    <t>Paint -Airbrush</t>
  </si>
  <si>
    <t>99189958053062</t>
  </si>
  <si>
    <t>28-02</t>
  </si>
  <si>
    <t>9918995805406</t>
  </si>
  <si>
    <t>AIR: MEPHISTON RED (24ML) (6-PACK)</t>
  </si>
  <si>
    <t>99189958054069</t>
  </si>
  <si>
    <t>28-03</t>
  </si>
  <si>
    <t>9918995805506</t>
  </si>
  <si>
    <t>AIR: KHORNE RED (24ML) (6-PACK)</t>
  </si>
  <si>
    <t>99189958055066</t>
  </si>
  <si>
    <t>28-04</t>
  </si>
  <si>
    <t>9918995805606</t>
  </si>
  <si>
    <t>AIR: KANTOR BLUE (24ML) (6-PACK)</t>
  </si>
  <si>
    <t>99189958056063</t>
  </si>
  <si>
    <t>28-05</t>
  </si>
  <si>
    <t>9918995805706</t>
  </si>
  <si>
    <t>AIR: MACRAGGE BLUE (24ML) (6-PACK)</t>
  </si>
  <si>
    <t>99189958057060</t>
  </si>
  <si>
    <t>28-06</t>
  </si>
  <si>
    <t>9918995805806</t>
  </si>
  <si>
    <t>AIR: CALEDOR SKY (24ML) (6-PACK)</t>
  </si>
  <si>
    <t>99189958058067</t>
  </si>
  <si>
    <t>28-07</t>
  </si>
  <si>
    <t>9918995805906</t>
  </si>
  <si>
    <t>AIR: CALIBAN GREEN (24ML) (6-PACK)</t>
  </si>
  <si>
    <t>99189958059064</t>
  </si>
  <si>
    <t>28-08</t>
  </si>
  <si>
    <t>9918995806006</t>
  </si>
  <si>
    <t>AIR: CASTELLAN GREEN (24ML) (6-PACK)</t>
  </si>
  <si>
    <t>99189958060060</t>
  </si>
  <si>
    <t>28-09</t>
  </si>
  <si>
    <t>9918995806106</t>
  </si>
  <si>
    <t>AIR: DEATHWORLD FOREST (24ML) (6-PACK)</t>
  </si>
  <si>
    <t>99189958061067</t>
  </si>
  <si>
    <t>28-10</t>
  </si>
  <si>
    <t>9918995806206</t>
  </si>
  <si>
    <t>AIR: ZANDRI DUST (24ML) (6-PACK)</t>
  </si>
  <si>
    <t>99189958062064</t>
  </si>
  <si>
    <t>28-11</t>
  </si>
  <si>
    <t>9918995806306</t>
  </si>
  <si>
    <t>AIR: MOURNFANG BROWN (24ML) (6-PACK)</t>
  </si>
  <si>
    <t>99189958063061</t>
  </si>
  <si>
    <t>28-12</t>
  </si>
  <si>
    <t>9918995806406</t>
  </si>
  <si>
    <t>AIR: XV-88 (24ML) (6-PACK)</t>
  </si>
  <si>
    <t>99189958064068</t>
  </si>
  <si>
    <t>28-13</t>
  </si>
  <si>
    <t>9918995806506</t>
  </si>
  <si>
    <t>AIR: DRYAD BARK (24ML) (6-PACK)</t>
  </si>
  <si>
    <t>99189958065065</t>
  </si>
  <si>
    <t>28-14</t>
  </si>
  <si>
    <t>9918995806606</t>
  </si>
  <si>
    <t>AIR: MECH STANDARD GREY (24ML) (6-PACK)</t>
  </si>
  <si>
    <t>99189958066062</t>
  </si>
  <si>
    <t>28-15</t>
  </si>
  <si>
    <t>9918995806706</t>
  </si>
  <si>
    <t>AIR: ABADDON BLACK (24ML) (6-PACK)</t>
  </si>
  <si>
    <t>99189958067069</t>
  </si>
  <si>
    <t>28-16</t>
  </si>
  <si>
    <t>9918995806806</t>
  </si>
  <si>
    <t>AIR: LEADBELCHER (24ML) (6-PACK)</t>
  </si>
  <si>
    <t>99189958068066</t>
  </si>
  <si>
    <t>28-17</t>
  </si>
  <si>
    <t>9918995806906</t>
  </si>
  <si>
    <t>AIR: BALTHASAR GOLD 24ML (6-PACK)</t>
  </si>
  <si>
    <t>99189958069063</t>
  </si>
  <si>
    <t>28-18</t>
  </si>
  <si>
    <t>9918995807006</t>
  </si>
  <si>
    <t>AIR: STEEL LEGION DRAB (24ML) (6-PACK)</t>
  </si>
  <si>
    <t>99189958070069</t>
  </si>
  <si>
    <t>28-19</t>
  </si>
  <si>
    <t>9918995807106</t>
  </si>
  <si>
    <t>AIR: THE FANG (24ML) (6-PACK)</t>
  </si>
  <si>
    <t>99189958071066</t>
  </si>
  <si>
    <t>28-20</t>
  </si>
  <si>
    <t>9918995807206</t>
  </si>
  <si>
    <t>AIR: FLASH GITZ YELLOW (24ML) (6-PACK)</t>
  </si>
  <si>
    <t>99189958072063</t>
  </si>
  <si>
    <t>28-21</t>
  </si>
  <si>
    <t>9918995807306</t>
  </si>
  <si>
    <t>AIR: TROLL SLAYER ORANGE (24ML) (6-PACK)</t>
  </si>
  <si>
    <t>99189958073060</t>
  </si>
  <si>
    <t>28-22</t>
  </si>
  <si>
    <t>9918995807406</t>
  </si>
  <si>
    <t>AIR: EVIL SUNZ SCARLET (24ML) (6-PACK)</t>
  </si>
  <si>
    <t>99189958074067</t>
  </si>
  <si>
    <t>28-23</t>
  </si>
  <si>
    <t>9918995807506</t>
  </si>
  <si>
    <t>AIR: GENESTEALER PURPLE (24ML) (6-PACK)</t>
  </si>
  <si>
    <t>99189958075064</t>
  </si>
  <si>
    <t>28-24</t>
  </si>
  <si>
    <t>9918995807606</t>
  </si>
  <si>
    <t>AIR: CALGAR BLUE (24ML) (6-PACK)</t>
  </si>
  <si>
    <t>99189958076061</t>
  </si>
  <si>
    <t>28-25</t>
  </si>
  <si>
    <t>9918995807706</t>
  </si>
  <si>
    <t>AIR: LOTHERN BLUE (24ML) (6-PACK)</t>
  </si>
  <si>
    <t>99189958077068</t>
  </si>
  <si>
    <t>28-26</t>
  </si>
  <si>
    <t>9918995807806</t>
  </si>
  <si>
    <t>AIR: TEMPLE GUARD BLUE (24ML) (6-PACK)</t>
  </si>
  <si>
    <t>99189958078065</t>
  </si>
  <si>
    <t>28-27</t>
  </si>
  <si>
    <t>9918995807906</t>
  </si>
  <si>
    <t>AIR: SYBARITE GREEN (24ML) (6-PACK)</t>
  </si>
  <si>
    <t>99189958079062</t>
  </si>
  <si>
    <t>28-28</t>
  </si>
  <si>
    <t>9918995808006</t>
  </si>
  <si>
    <t>AIR: MOOT GREEN (24ML) (6-PACK)</t>
  </si>
  <si>
    <t>99189958080068</t>
  </si>
  <si>
    <t>28-29</t>
  </si>
  <si>
    <t>9918995808106</t>
  </si>
  <si>
    <t>AIR: WARBOSS GREEN (24ML) (6-PACK)</t>
  </si>
  <si>
    <t>99189958081065</t>
  </si>
  <si>
    <t>28-30</t>
  </si>
  <si>
    <t>9918995808206</t>
  </si>
  <si>
    <t>AIR: STRAKEN GREEN (24ML) (6-PACK)</t>
  </si>
  <si>
    <t>99189958082062</t>
  </si>
  <si>
    <t>28-31</t>
  </si>
  <si>
    <t>9918995808306</t>
  </si>
  <si>
    <t>AIR: ELYSIAN GREEN (24ML) (6-PACK)</t>
  </si>
  <si>
    <t>99189958083069</t>
  </si>
  <si>
    <t>28-32</t>
  </si>
  <si>
    <t>9918995808406</t>
  </si>
  <si>
    <t>AIR: OGRYN CAMO (24ML) (6-PACK)</t>
  </si>
  <si>
    <t>99189958084066</t>
  </si>
  <si>
    <t>28-33</t>
  </si>
  <si>
    <t>9918995808506</t>
  </si>
  <si>
    <t>AIR: USHABTI BONE (24ML) (6-PACK)</t>
  </si>
  <si>
    <t>99189958085063</t>
  </si>
  <si>
    <t>28-34</t>
  </si>
  <si>
    <t>9918995808606</t>
  </si>
  <si>
    <t>AIR: CASTE THINNER (24ML) (6-PACK)</t>
  </si>
  <si>
    <t>99189958086060</t>
  </si>
  <si>
    <t>28-35</t>
  </si>
  <si>
    <t>9918995808706</t>
  </si>
  <si>
    <t>AIR: TALLARN SAND (24ML) (6-PACK)</t>
  </si>
  <si>
    <t>99189958087067</t>
  </si>
  <si>
    <t>28-36</t>
  </si>
  <si>
    <t>9918995808806</t>
  </si>
  <si>
    <t>AIR: KARAK STONE (24ML) (6-PACK)</t>
  </si>
  <si>
    <t>99189958088064</t>
  </si>
  <si>
    <t>28-37</t>
  </si>
  <si>
    <t>9918995808906</t>
  </si>
  <si>
    <t>AIR: KISLEV FLESH (24ML) (6-PACK)</t>
  </si>
  <si>
    <t>99189958089061</t>
  </si>
  <si>
    <t>28-38</t>
  </si>
  <si>
    <t>9918995809006</t>
  </si>
  <si>
    <t>AIR: DEATHCLAW BROWN (24ML) (6-PACK)</t>
  </si>
  <si>
    <t>99189958090067</t>
  </si>
  <si>
    <t>28-39</t>
  </si>
  <si>
    <t>9918995809106</t>
  </si>
  <si>
    <t>AIR: TAU LIGHT OCHRE (24ML) (6-PACK)</t>
  </si>
  <si>
    <t>99189958091064</t>
  </si>
  <si>
    <t>28-40</t>
  </si>
  <si>
    <t>9918995809206</t>
  </si>
  <si>
    <t>AIR: BALOR BROWN (24ML) (6-PACK)</t>
  </si>
  <si>
    <t>99189958092061</t>
  </si>
  <si>
    <t>28-41</t>
  </si>
  <si>
    <t>9918995809306</t>
  </si>
  <si>
    <t>AIR: TUSKGOR FUR (24ML) (6-PACK)</t>
  </si>
  <si>
    <t>99189958093068</t>
  </si>
  <si>
    <t>28-42</t>
  </si>
  <si>
    <t>9918995809406</t>
  </si>
  <si>
    <t>AIR: BANEBLADE BROWN (24ML) (6-PACK)</t>
  </si>
  <si>
    <t>99189958094065</t>
  </si>
  <si>
    <t>28-43</t>
  </si>
  <si>
    <t>9918995809506</t>
  </si>
  <si>
    <t>AIR: DAWNSTONE (24ML) (6-PACK)</t>
  </si>
  <si>
    <t>99189958095062</t>
  </si>
  <si>
    <t>28-44</t>
  </si>
  <si>
    <t>9918995809606</t>
  </si>
  <si>
    <t>AIR: ADMINISTRATUM GREY (24ML) (6-PACK)</t>
  </si>
  <si>
    <t>99189958096069</t>
  </si>
  <si>
    <t>28-45</t>
  </si>
  <si>
    <t>9918995809706</t>
  </si>
  <si>
    <t>AIR: ULTHUAN GREY (24ML) (6-PACK)</t>
  </si>
  <si>
    <t>99189958097066</t>
  </si>
  <si>
    <t>28-46</t>
  </si>
  <si>
    <t>9918995809806</t>
  </si>
  <si>
    <t>AIR: WHITE SCAR (24ML) (6-PACK)</t>
  </si>
  <si>
    <t>99189958098063</t>
  </si>
  <si>
    <t>28-47</t>
  </si>
  <si>
    <t>9918995809906</t>
  </si>
  <si>
    <t>AIR: IRONBREAKER (24ML) (6-PACK)</t>
  </si>
  <si>
    <t>99189958099060</t>
  </si>
  <si>
    <t>28-48</t>
  </si>
  <si>
    <t>9918995810006</t>
  </si>
  <si>
    <t>AIR: RUNEFANG STEEL (24ML) (6-PACK)</t>
  </si>
  <si>
    <t>99189958100063</t>
  </si>
  <si>
    <t>28-49</t>
  </si>
  <si>
    <t>9918995810106</t>
  </si>
  <si>
    <t>AIR: RELICTOR GOLD (24ML) (6-PACK)</t>
  </si>
  <si>
    <t>99189958101060</t>
  </si>
  <si>
    <t>28-50</t>
  </si>
  <si>
    <t>9918995810206</t>
  </si>
  <si>
    <t>AIR: RUSS GREY (24ML) (6-PACK)</t>
  </si>
  <si>
    <t>99189958102067</t>
  </si>
  <si>
    <t>28-51</t>
  </si>
  <si>
    <t>9918995810306</t>
  </si>
  <si>
    <t>AIR: FENRISIAN GREY (24ML) (6-PACK)</t>
  </si>
  <si>
    <t>99189958103064</t>
  </si>
  <si>
    <t>28-52</t>
  </si>
  <si>
    <t>9918995810406</t>
  </si>
  <si>
    <t>AIR: TERMINATUS STONE (24ML) (6-PACK)</t>
  </si>
  <si>
    <t>99189958104061</t>
  </si>
  <si>
    <t>28-55</t>
  </si>
  <si>
    <t>9918995810506</t>
  </si>
  <si>
    <t>AIR: ANGRON RED CLEAR (24ML) (6-PACK)</t>
  </si>
  <si>
    <t>99189958105068</t>
  </si>
  <si>
    <t>28-56</t>
  </si>
  <si>
    <t>9918995810606</t>
  </si>
  <si>
    <t>AIR: CALTH BLUE CLEAR (24ML) (6-PACK)</t>
  </si>
  <si>
    <t>99189958106065</t>
  </si>
  <si>
    <t>28-57</t>
  </si>
  <si>
    <t>9918995810706</t>
  </si>
  <si>
    <t>AIR: DEATHSHROUD CLEAR (24ML) (6-PACK)</t>
  </si>
  <si>
    <t>99189958107062</t>
  </si>
  <si>
    <t>28-58</t>
  </si>
  <si>
    <t>9918995810806</t>
  </si>
  <si>
    <t>AIR: EIDOLON PURPLE CLEAR (24ML)(6-PACK)</t>
  </si>
  <si>
    <t>99189958108069</t>
  </si>
  <si>
    <t>28-59</t>
  </si>
  <si>
    <t>9918995810906</t>
  </si>
  <si>
    <t>AIR: MORTARION GREEN (24ML) (6-PACK)</t>
  </si>
  <si>
    <t>99189958109066</t>
  </si>
  <si>
    <t>28-60</t>
  </si>
  <si>
    <t>9918995811006</t>
  </si>
  <si>
    <t>AIR: PHOENICIAN PURPLE (24ML) (6-PACK)</t>
  </si>
  <si>
    <t>99189958110062</t>
  </si>
  <si>
    <t>28-61</t>
  </si>
  <si>
    <t>9918995811106</t>
  </si>
  <si>
    <t>AIR: PYROCLAST ORANGE CLEAR (24ML) 6PK</t>
  </si>
  <si>
    <t>99189958111069</t>
  </si>
  <si>
    <t>28-62</t>
  </si>
  <si>
    <t>9918995811206</t>
  </si>
  <si>
    <t>AIR: SIGISMUND YELLOW CL (24ML) (6-PACK)</t>
  </si>
  <si>
    <t>99189958112066</t>
  </si>
  <si>
    <t>28-63</t>
  </si>
  <si>
    <t>9918995811306</t>
  </si>
  <si>
    <t>AIR: NIGHT LORDS BLUE (24ML) (6-PACK)</t>
  </si>
  <si>
    <t>99189958113063</t>
  </si>
  <si>
    <t>28-64</t>
  </si>
  <si>
    <t>9918995811406</t>
  </si>
  <si>
    <t>AIR: DEATH KORPS DRAB (24ML) (6-PACK)</t>
  </si>
  <si>
    <t>99189958114060</t>
  </si>
  <si>
    <t>28-65</t>
  </si>
  <si>
    <t>9918995811506</t>
  </si>
  <si>
    <t>AIR: VULKAN GREEN (24ML) (6-PACK)</t>
  </si>
  <si>
    <t>99189958115067</t>
  </si>
  <si>
    <t>28-66</t>
  </si>
  <si>
    <t>9918995811606</t>
  </si>
  <si>
    <t>AIR: CORVUS BLACK (24ML) (6-PACK)</t>
  </si>
  <si>
    <t>99189958116064</t>
  </si>
  <si>
    <t>28-67</t>
  </si>
  <si>
    <t>9918995811706</t>
  </si>
  <si>
    <t>AIR: CHEMOS PURPLE (24ML) (6-PACK)</t>
  </si>
  <si>
    <t>99189958117061</t>
  </si>
  <si>
    <t>28-68</t>
  </si>
  <si>
    <t>9918995811806</t>
  </si>
  <si>
    <t>AIR: TYPHON ASH (24ML) (6-PACK)</t>
  </si>
  <si>
    <t>99189958118068</t>
  </si>
  <si>
    <t>28-69</t>
  </si>
  <si>
    <t>9918995811906</t>
  </si>
  <si>
    <t>AIR: SONS OF HORUS GREEN (24ML) (6-PACK)</t>
  </si>
  <si>
    <t>99189958119065</t>
  </si>
  <si>
    <t>28-70</t>
  </si>
  <si>
    <t>9918995812006</t>
  </si>
  <si>
    <t>AIR: PHALANX YELLOW (24ML) (6-PACK)</t>
  </si>
  <si>
    <t>99189958120061</t>
  </si>
  <si>
    <t>28-71</t>
  </si>
  <si>
    <t>9918995812106</t>
  </si>
  <si>
    <t>AIR: KAKOPHONI PURPLE (24ML) (6-PACK)</t>
  </si>
  <si>
    <t>99189958121068</t>
  </si>
  <si>
    <t>28-72</t>
  </si>
  <si>
    <t>9918995812206</t>
  </si>
  <si>
    <t>AIR: NOCTURNE GREEN (24ML) (6-PACK)</t>
  </si>
  <si>
    <t>99189958122065</t>
  </si>
  <si>
    <t>28-73</t>
  </si>
  <si>
    <t>9918995812306</t>
  </si>
  <si>
    <t>AIR: LUPERCAL GREEN (24ML) (6-PACK)</t>
  </si>
  <si>
    <t>99189958123062</t>
  </si>
  <si>
    <t>28-74</t>
  </si>
  <si>
    <t>9918995812406</t>
  </si>
  <si>
    <t>AIR: GAL VORBAK RED (24ML) (6-PACK)</t>
  </si>
  <si>
    <t>99189958124069</t>
  </si>
  <si>
    <t>28-75</t>
  </si>
  <si>
    <t>9918995812506</t>
  </si>
  <si>
    <t>AIR: WORD BEARERS RED (24ML) (6-PACK)</t>
  </si>
  <si>
    <t>99189958125066</t>
  </si>
  <si>
    <t>28-76</t>
  </si>
  <si>
    <t>9918995812606</t>
  </si>
  <si>
    <t>AIR: CASTELLAX BRONZE (24ML) (6-PACK)</t>
  </si>
  <si>
    <t>99189958126063</t>
  </si>
  <si>
    <t>28-77</t>
  </si>
  <si>
    <t>9918995812706</t>
  </si>
  <si>
    <t>AIR: VALDOR GOLD (24ML) (6-PACK)</t>
  </si>
  <si>
    <t>99189958127060</t>
  </si>
  <si>
    <t>28-78</t>
  </si>
  <si>
    <t>9918995812806</t>
  </si>
  <si>
    <t>AIR: IRON HANDS STEEL (24ML) (6-PACK)</t>
  </si>
  <si>
    <t>99189958128067</t>
  </si>
  <si>
    <t>28-79</t>
  </si>
  <si>
    <t>9918995812906</t>
  </si>
  <si>
    <t>AIR: GREY KNIGHTS STEEL (24ML) (6-PACK)</t>
  </si>
  <si>
    <t>99189958129064</t>
  </si>
  <si>
    <t>28-80</t>
  </si>
  <si>
    <t>9918995813006</t>
  </si>
  <si>
    <t>AIR: THALLAX GOLD (24ML) (6-PACK)</t>
  </si>
  <si>
    <t>99189958130060</t>
  </si>
  <si>
    <t>29-10</t>
  </si>
  <si>
    <t>9918996000106</t>
  </si>
  <si>
    <t>CONTRAST: IYANDEN YELLOW (18ML) (6-PACK)</t>
  </si>
  <si>
    <t>Paint - Contrast</t>
  </si>
  <si>
    <t>99189960001068</t>
  </si>
  <si>
    <t>29-11</t>
  </si>
  <si>
    <t>9918996000206</t>
  </si>
  <si>
    <t>CONTRAST: GRYPH-HOUND ORANGE (18ML) 6PK</t>
  </si>
  <si>
    <t>99189960002065</t>
  </si>
  <si>
    <t>29-12</t>
  </si>
  <si>
    <t>9918996000306</t>
  </si>
  <si>
    <t>CONTRAST: BLOOD ANGELS RED (18ML) (6PK)</t>
  </si>
  <si>
    <t>99189960003062</t>
  </si>
  <si>
    <t>29-13</t>
  </si>
  <si>
    <t>9918996000406</t>
  </si>
  <si>
    <t>CONTRAST: FLESH TEARERS RED (18ML) (6PK)</t>
  </si>
  <si>
    <t>99189960004069</t>
  </si>
  <si>
    <t>29-14</t>
  </si>
  <si>
    <t>9918996000506</t>
  </si>
  <si>
    <t>CONTRAST: VOLUPUS PINK (18ML) (6-PACK)</t>
  </si>
  <si>
    <t>99189960005066</t>
  </si>
  <si>
    <t>29-15</t>
  </si>
  <si>
    <t>9918996000606</t>
  </si>
  <si>
    <t>CONTRAST: SHYISH PURPLE (18ML) (6-PACK)</t>
  </si>
  <si>
    <t>99189960006063</t>
  </si>
  <si>
    <t>29-16</t>
  </si>
  <si>
    <t>9918996000706</t>
  </si>
  <si>
    <t>CONTRAST: MAGOS PURPLE (18ML) (6-PACK)</t>
  </si>
  <si>
    <t>99189960007060</t>
  </si>
  <si>
    <t>29-17</t>
  </si>
  <si>
    <t>9918996000806</t>
  </si>
  <si>
    <t>CONTRAST: LEVIADON BLUE (18ML) (6-PACK)</t>
  </si>
  <si>
    <t>99189960008067</t>
  </si>
  <si>
    <t>29-18</t>
  </si>
  <si>
    <t>9918996000906</t>
  </si>
  <si>
    <t>CONTRAST: ULTRAMARINES BLUE (18ML) (6PK)</t>
  </si>
  <si>
    <t>99189960009064</t>
  </si>
  <si>
    <t>29-19</t>
  </si>
  <si>
    <t>9918996001006</t>
  </si>
  <si>
    <t>CONTRAST: AKHELIAN GREEN (18ML) (6-PACK)</t>
  </si>
  <si>
    <t>99189960010060</t>
  </si>
  <si>
    <t>29-20</t>
  </si>
  <si>
    <t>9918996001106</t>
  </si>
  <si>
    <t>CONTRAST: DARK ANGELS GREEN (18ML) (6PK)</t>
  </si>
  <si>
    <t>99189960011067</t>
  </si>
  <si>
    <t>29-21</t>
  </si>
  <si>
    <t>9918996001206</t>
  </si>
  <si>
    <t>CONTRAST: NAZDREG YELLOW (18ML) (6-PACK)</t>
  </si>
  <si>
    <t>99189960012064</t>
  </si>
  <si>
    <t>29-22</t>
  </si>
  <si>
    <t>9918996001306</t>
  </si>
  <si>
    <t>CONTRAST: ORK FLESH (18ML) (6-PACK)</t>
  </si>
  <si>
    <t>99189960013061</t>
  </si>
  <si>
    <t>29-23</t>
  </si>
  <si>
    <t>9918996001406</t>
  </si>
  <si>
    <t>CONTRAST: CREED CAMO (18ML) (6-PACK)</t>
  </si>
  <si>
    <t>99189960014068</t>
  </si>
  <si>
    <t>29-24</t>
  </si>
  <si>
    <t>9918996001506</t>
  </si>
  <si>
    <t>CONTRAST: MILITARUM GREEN (18ML) (6PK)</t>
  </si>
  <si>
    <t>99189960015065</t>
  </si>
  <si>
    <t>29-25</t>
  </si>
  <si>
    <t>9918996001606</t>
  </si>
  <si>
    <t>CONTRAST: AGGAROS DUNES (18ML) (6-PACK)</t>
  </si>
  <si>
    <t>99189960016062</t>
  </si>
  <si>
    <t>29-26</t>
  </si>
  <si>
    <t>9918996001706</t>
  </si>
  <si>
    <t>CONTRAST: SKELETON HORDE (18ML) (6-PACK)</t>
  </si>
  <si>
    <t>99189960017069</t>
  </si>
  <si>
    <t>29-27</t>
  </si>
  <si>
    <t>9918996001806</t>
  </si>
  <si>
    <t>CONTRAST: SNAKEBITE LEATHER (18ML) (6PK)</t>
  </si>
  <si>
    <t>99189960018066</t>
  </si>
  <si>
    <t>29-28</t>
  </si>
  <si>
    <t>9918996001906</t>
  </si>
  <si>
    <t>CONTRAST: GORE-GRUNTA FUR (18ML) (6PK)</t>
  </si>
  <si>
    <t>99189960019063</t>
  </si>
  <si>
    <t>29-29</t>
  </si>
  <si>
    <t>9918996002006</t>
  </si>
  <si>
    <t>CONTRAST: CYGOR BROWN (18ML) (6-PACK)</t>
  </si>
  <si>
    <t>99189960020069</t>
  </si>
  <si>
    <t>29-30</t>
  </si>
  <si>
    <t>9918996002106</t>
  </si>
  <si>
    <t>CONTRAST: WYLDWOOD (18ML) (6-PACK)</t>
  </si>
  <si>
    <t>99189960021066</t>
  </si>
  <si>
    <t>29-31</t>
  </si>
  <si>
    <t>9918996002206</t>
  </si>
  <si>
    <t>CONTRAST: FYRESLAYER FLESH (18ML) (6PK)</t>
  </si>
  <si>
    <t>99189960022063</t>
  </si>
  <si>
    <t>29-32</t>
  </si>
  <si>
    <t>9918996002306</t>
  </si>
  <si>
    <t>CONTRAST: GUILLIMAN FLESH (18ML) (6PK)</t>
  </si>
  <si>
    <t>99189960023060</t>
  </si>
  <si>
    <t>29-33</t>
  </si>
  <si>
    <t>9918996002406</t>
  </si>
  <si>
    <t>CONTRAST: DARKOATH FLESH (18ML) (6-PACK)</t>
  </si>
  <si>
    <t>99189960024067</t>
  </si>
  <si>
    <t>29-34</t>
  </si>
  <si>
    <t>9918996002506</t>
  </si>
  <si>
    <t>CONTRAST: APOTHECARY WHITE (18ML) (6PK)</t>
  </si>
  <si>
    <t>99189960025064</t>
  </si>
  <si>
    <t>29-35</t>
  </si>
  <si>
    <t>9918996002606</t>
  </si>
  <si>
    <t>CONTRAST: GRYPH-CHARGER GREY (18ML) 6PK</t>
  </si>
  <si>
    <t>99189960026061</t>
  </si>
  <si>
    <t>29-36</t>
  </si>
  <si>
    <t>9918996002706</t>
  </si>
  <si>
    <t>CONTRAST: SPACE WOLVES GREY (18ML) (6PK)</t>
  </si>
  <si>
    <t>99189960027068</t>
  </si>
  <si>
    <t>29-37</t>
  </si>
  <si>
    <t>9918996002806</t>
  </si>
  <si>
    <t>CONTRAST: BASILICANUM GREY (18ML) (6PK)</t>
  </si>
  <si>
    <t>99189960028065</t>
  </si>
  <si>
    <t>29-38</t>
  </si>
  <si>
    <t>9918996002906</t>
  </si>
  <si>
    <t>CONTRAST: BLACK TEMPLAR (18ML) (6-PACK)</t>
  </si>
  <si>
    <t>99189960029062</t>
  </si>
  <si>
    <t>29-39</t>
  </si>
  <si>
    <t>9918996003006</t>
  </si>
  <si>
    <t>CONTRAST: TALASSAR BLUE (18ML) (6-PACK)</t>
  </si>
  <si>
    <t>99189960030068</t>
  </si>
  <si>
    <t>29-40</t>
  </si>
  <si>
    <t>9918996003106</t>
  </si>
  <si>
    <t>CONTRAST: WARP LIGHTNING (18ML) (6-PACK)</t>
  </si>
  <si>
    <t>99189960031065</t>
  </si>
  <si>
    <t>29-41</t>
  </si>
  <si>
    <t>9918996003206</t>
  </si>
  <si>
    <t>CONTRAST: AETHERMATIC BLUE (18ML) (6PK)</t>
  </si>
  <si>
    <t>99189960032062</t>
  </si>
  <si>
    <t>29-42</t>
  </si>
  <si>
    <t>9918996003306</t>
  </si>
  <si>
    <t>CONTRAST: PLAGUEBEARER FLESH (18ML) 6PK</t>
  </si>
  <si>
    <t>99189960033069</t>
  </si>
  <si>
    <t>29-43</t>
  </si>
  <si>
    <t>9918996003406</t>
  </si>
  <si>
    <t>CONTRAST: TERRADON TURQUOISE (18ML) 6PK</t>
  </si>
  <si>
    <t>99189960034066</t>
  </si>
  <si>
    <t>BL2402</t>
  </si>
  <si>
    <t>60100581011</t>
  </si>
  <si>
    <t>NECROMUNDA: KAL JERICHO OMNIBUS</t>
  </si>
  <si>
    <t>9781784966966</t>
  </si>
  <si>
    <t>BL2565</t>
  </si>
  <si>
    <t>60109981006</t>
  </si>
  <si>
    <t>INFERNO! VOLUME 1 (PB)</t>
  </si>
  <si>
    <t>9781784967338</t>
  </si>
  <si>
    <t>BL2614</t>
  </si>
  <si>
    <t>60109981008</t>
  </si>
  <si>
    <t>INFERNO! VOLUME 2 (PB)</t>
  </si>
  <si>
    <t>9781784968526</t>
  </si>
  <si>
    <t>BL2635</t>
  </si>
  <si>
    <t>60101881001</t>
  </si>
  <si>
    <t>ON WINGS OF BLOOD (PB)</t>
  </si>
  <si>
    <t>9781784968861</t>
  </si>
  <si>
    <t>BL2646</t>
  </si>
  <si>
    <t>60109981010</t>
  </si>
  <si>
    <t>MALEDICTIONS (PB)</t>
  </si>
  <si>
    <t>9781784968816</t>
  </si>
  <si>
    <t>BL2647</t>
  </si>
  <si>
    <t>60109981011</t>
  </si>
  <si>
    <t>THE WICKED AND THE DAMNED (PB)</t>
  </si>
  <si>
    <t>9781784969394</t>
  </si>
  <si>
    <t>BL2675</t>
  </si>
  <si>
    <t>60109981014</t>
  </si>
  <si>
    <t>GENEVIEVE UNDEAD (PB)</t>
  </si>
  <si>
    <t>9781784969820</t>
  </si>
  <si>
    <t>BL2678</t>
  </si>
  <si>
    <t>60109981015</t>
  </si>
  <si>
    <t>INFERNO! VOLUME 3 (PB)</t>
  </si>
  <si>
    <t>9781784969295</t>
  </si>
  <si>
    <t>BL2714</t>
  </si>
  <si>
    <t>60100581022</t>
  </si>
  <si>
    <t>UNDERHIVE: A NECROMUNDA ANTHOLOGY (PB)</t>
  </si>
  <si>
    <t>9781784969905</t>
  </si>
  <si>
    <t>BL2725</t>
  </si>
  <si>
    <t>60100581021</t>
  </si>
  <si>
    <t>NECROMUNDA: TERMINAL OVERKILL (PB)</t>
  </si>
  <si>
    <t>9781781939895</t>
  </si>
  <si>
    <t>BL2765</t>
  </si>
  <si>
    <t>60109981018</t>
  </si>
  <si>
    <t>INFERNO! VOLUME 4 (PB)</t>
  </si>
  <si>
    <t>9781781939604</t>
  </si>
  <si>
    <t>BL2778</t>
  </si>
  <si>
    <t>60100581023</t>
  </si>
  <si>
    <t>NECROMUNDA: LOW LIVES (PB)</t>
  </si>
  <si>
    <t>9781789990164</t>
  </si>
  <si>
    <t>BL2799</t>
  </si>
  <si>
    <t>60109981019</t>
  </si>
  <si>
    <t>INVOCATIONS (PB)</t>
  </si>
  <si>
    <t>9781789990188</t>
  </si>
  <si>
    <t>DE-1</t>
  </si>
  <si>
    <t>99440199081</t>
  </si>
  <si>
    <t>WARHAMMER 40000: PAINTING DEMO PACK</t>
  </si>
  <si>
    <t>5011921092550</t>
  </si>
  <si>
    <t>15440199120</t>
  </si>
  <si>
    <t>RETAIL/TRADE KILL TEAM OP PACK 5 (CHN)</t>
  </si>
  <si>
    <t>154401991204</t>
  </si>
  <si>
    <t>60440199108</t>
  </si>
  <si>
    <t>TRADE 40K INTRO ACTIVITY PACK (ENG)</t>
  </si>
  <si>
    <t>604401991082</t>
  </si>
  <si>
    <t>60440199119</t>
  </si>
  <si>
    <t>RETAIL/TRADE KILL TEAM OP PACK 4 ENG</t>
  </si>
  <si>
    <t>604401991198</t>
  </si>
  <si>
    <t>60440199120</t>
  </si>
  <si>
    <t>RETAIL/TRADE KILL TEAM OP PACK 5 (ENG)</t>
  </si>
  <si>
    <t>604401991204</t>
  </si>
  <si>
    <t>99440199072</t>
  </si>
  <si>
    <t>RETAIL/TRADE SPACE MARINE STANDEE 2017</t>
  </si>
  <si>
    <t>994401990728</t>
  </si>
  <si>
    <t>DE-2</t>
  </si>
  <si>
    <t>99440299041</t>
  </si>
  <si>
    <t>AGE OF SIGMAR PAINTING DEMO PACK (2018)</t>
  </si>
  <si>
    <t>5011921103560</t>
  </si>
  <si>
    <t>60440299098</t>
  </si>
  <si>
    <t>TRADE AOS INTRO GME/PNT PACK 2018 (ENG)</t>
  </si>
  <si>
    <t>604402990985</t>
  </si>
  <si>
    <t>99441499086</t>
  </si>
  <si>
    <t>RETAIL/TRADE LOTR FSDU</t>
  </si>
  <si>
    <t>994414990869</t>
  </si>
  <si>
    <t>15-15</t>
  </si>
  <si>
    <t>9954999914798</t>
  </si>
  <si>
    <t>GW MEDIUM CARRIER BAG (500 PACK)</t>
  </si>
  <si>
    <t>500</t>
  </si>
  <si>
    <t>99549999147982</t>
  </si>
  <si>
    <t>39232100</t>
  </si>
  <si>
    <t>15-16</t>
  </si>
  <si>
    <t>9954999914697</t>
  </si>
  <si>
    <t>GW LARGE CARRIER BAG (250 PACK)</t>
  </si>
  <si>
    <t>250</t>
  </si>
  <si>
    <t>99549999146978</t>
  </si>
  <si>
    <t>16-01</t>
  </si>
  <si>
    <t>99449999490</t>
  </si>
  <si>
    <t>RACK BS:A/P300 - FRAME + SIDE TUBE</t>
  </si>
  <si>
    <t>994499994905</t>
  </si>
  <si>
    <t>94032080</t>
  </si>
  <si>
    <t>16-02</t>
  </si>
  <si>
    <t>99449999491</t>
  </si>
  <si>
    <t>RACK BS:A/P300 - BASE/HEADER/TOP SHELF</t>
  </si>
  <si>
    <t>994499994912</t>
  </si>
  <si>
    <t>16-03</t>
  </si>
  <si>
    <t>99449999492</t>
  </si>
  <si>
    <t>RACK BS:A/P300 - TRAY SHELVES/HOOKS</t>
  </si>
  <si>
    <t>994499994929</t>
  </si>
  <si>
    <t>16-27</t>
  </si>
  <si>
    <t>99449999354</t>
  </si>
  <si>
    <t>2 PERSON LIFT: 1M GW PRODUCT RACK 5 SHLF</t>
  </si>
  <si>
    <t>994499993540</t>
  </si>
  <si>
    <t>60449999542</t>
  </si>
  <si>
    <t>TRADE BEST SELLER CARD &amp; SHLF STRP PK EN</t>
  </si>
  <si>
    <t>604499995429</t>
  </si>
  <si>
    <t>60449999637</t>
  </si>
  <si>
    <t>TRADE P150 POS PACK 2019 (ENG)</t>
  </si>
  <si>
    <t>604499996372</t>
  </si>
  <si>
    <t>60449999638</t>
  </si>
  <si>
    <t>TRADE P210 POS PACK 2019 (ENG)</t>
  </si>
  <si>
    <t>604499996389</t>
  </si>
  <si>
    <t>60449999994</t>
  </si>
  <si>
    <t>TRADE P360 POS PACK 2019 (ENG)</t>
  </si>
  <si>
    <t>604499999946</t>
  </si>
  <si>
    <t>60449999995</t>
  </si>
  <si>
    <t>TRADE OLD BSA PAINT RACK POS UPDATE 2019</t>
  </si>
  <si>
    <t>604499999953</t>
  </si>
  <si>
    <t>99440799009</t>
  </si>
  <si>
    <t>TRADE WARHAMMER UNDERWORLDS FSDU 2019</t>
  </si>
  <si>
    <t>994407990098</t>
  </si>
  <si>
    <t>99449999057</t>
  </si>
  <si>
    <t>RETAIL/TRADE GENERC AOS/40K HEADER CARDS</t>
  </si>
  <si>
    <t>994499990570</t>
  </si>
  <si>
    <t>99449999147</t>
  </si>
  <si>
    <t>TRADE WD ON SALE HERE WINDOW VINYL</t>
  </si>
  <si>
    <t>994499991478</t>
  </si>
  <si>
    <t>99449999347</t>
  </si>
  <si>
    <t>BESTSELLERS 1 HOBBY PRODUCTS RACK 2013</t>
  </si>
  <si>
    <t>994499993472</t>
  </si>
  <si>
    <t>39211200</t>
  </si>
  <si>
    <t>99449999482</t>
  </si>
  <si>
    <t>RETAIL PAINTBRUSH DISPLAY UNIT</t>
  </si>
  <si>
    <t>994499994820</t>
  </si>
  <si>
    <t>99449999593</t>
  </si>
  <si>
    <t>TRADE GENERIC WINDOW BANNER 2018</t>
  </si>
  <si>
    <t>994499995933</t>
  </si>
  <si>
    <t>99449999597</t>
  </si>
  <si>
    <t>RETAIL/TRADE A4 WINDOW VINYL 2018</t>
  </si>
  <si>
    <t>994499995971</t>
  </si>
  <si>
    <t>99449999598</t>
  </si>
  <si>
    <t>TRADE AOS/40K START HERE FSDU</t>
  </si>
  <si>
    <t>994499995988</t>
  </si>
  <si>
    <t>99449999599</t>
  </si>
  <si>
    <t>RET/TRD CITADEL PAINT DISPENSER 2018</t>
  </si>
  <si>
    <t>994499995995</t>
  </si>
  <si>
    <t>99449999600</t>
  </si>
  <si>
    <t>TRADE P:300 BRUSH DISPENSER</t>
  </si>
  <si>
    <t>994499996008</t>
  </si>
  <si>
    <t>99449999615</t>
  </si>
  <si>
    <t>TRADE HOBBY RACK EXTENSION 2019</t>
  </si>
  <si>
    <t>994499996152</t>
  </si>
  <si>
    <t>99449981043</t>
  </si>
  <si>
    <t>RETAIL/TRADE BLACK LIBRARY FSDU (2018)</t>
  </si>
  <si>
    <t>994499810434</t>
  </si>
  <si>
    <t>99449981044</t>
  </si>
  <si>
    <t>RET/TRD BLACK LIBRARY CDU (2018)</t>
  </si>
  <si>
    <t>994499810441</t>
  </si>
  <si>
    <t>Please note that these deletions are correct for the main GW business in UK. Some local warehouses may still carry stock of these items until they have sold through</t>
  </si>
  <si>
    <t>Also, some items will come back into the Trade Range if the sales warrant bringing them back due to their popularity</t>
  </si>
  <si>
    <t xml:space="preserve">Products that are repackaged or change from hard cover to soft cover - the new stock will be sent to you once the old stock has sold through </t>
  </si>
  <si>
    <t>Code</t>
  </si>
  <si>
    <t>Short Sales Code</t>
  </si>
  <si>
    <t>Date of Change</t>
  </si>
  <si>
    <t>Stockist Range at time of change</t>
  </si>
  <si>
    <t>Comment (correct at time of removal)</t>
  </si>
  <si>
    <t>99120699002</t>
  </si>
  <si>
    <t>BF-08</t>
  </si>
  <si>
    <t>B/Stone Fortress: Servants Of The Abyss</t>
  </si>
  <si>
    <t>-</t>
  </si>
  <si>
    <t>Available through GW Webstore</t>
  </si>
  <si>
    <t>99220713002</t>
  </si>
  <si>
    <t>109-02</t>
  </si>
  <si>
    <t>Whu: Hrothgorn's Mantrappers Dice Set</t>
  </si>
  <si>
    <t>Available through GW Webstore while stocks last</t>
  </si>
  <si>
    <t>99220713001</t>
  </si>
  <si>
    <t>110-80</t>
  </si>
  <si>
    <t>Whu: Hrothgorn's Mantrappers Sleeves</t>
  </si>
  <si>
    <t>99220701009</t>
  </si>
  <si>
    <t>109-01</t>
  </si>
  <si>
    <t xml:space="preserve">Whu: The Wurmspat Dice Set </t>
  </si>
  <si>
    <t>99220701008</t>
  </si>
  <si>
    <t>110-79</t>
  </si>
  <si>
    <t>Whu: The Wurmspat Premium Sleeves</t>
  </si>
  <si>
    <t>Sold out - no longer available</t>
  </si>
  <si>
    <t>99120205035</t>
  </si>
  <si>
    <t>84-28</t>
  </si>
  <si>
    <t>Fyreslayers Magmic Battleforge</t>
  </si>
  <si>
    <t>60040199096</t>
  </si>
  <si>
    <t>40-27-60</t>
  </si>
  <si>
    <t>Imperium Nihilus: Vigilus Defiant (Eng)</t>
  </si>
  <si>
    <t>99120101223</t>
  </si>
  <si>
    <t>41-12</t>
  </si>
  <si>
    <t>Blood Angels Tactical Squad</t>
  </si>
  <si>
    <t>99120104058</t>
  </si>
  <si>
    <t>64-11</t>
  </si>
  <si>
    <t>Aeldari Webway Gate</t>
  </si>
  <si>
    <t>99120299058</t>
  </si>
  <si>
    <t>64-88</t>
  </si>
  <si>
    <t>Dominion Of Sigmar: Penumbral Stormvault</t>
  </si>
  <si>
    <t>99120299026</t>
  </si>
  <si>
    <t>64-08</t>
  </si>
  <si>
    <t>Baleful Realmgates</t>
  </si>
  <si>
    <t>99120218015</t>
  </si>
  <si>
    <t>96-13</t>
  </si>
  <si>
    <t>Stormcast Eternals Prosecutors</t>
  </si>
  <si>
    <t>99120299037</t>
  </si>
  <si>
    <t>64-25</t>
  </si>
  <si>
    <t>Balewind Vortex</t>
  </si>
  <si>
    <t>99070101032</t>
  </si>
  <si>
    <t>48-84</t>
  </si>
  <si>
    <t>S/M Primaris Lieutenant With Power Sword</t>
  </si>
  <si>
    <t>99220709006</t>
  </si>
  <si>
    <t>110-67</t>
  </si>
  <si>
    <t>Wh Underworlds: Rippa's Snarlfangs Dice</t>
  </si>
  <si>
    <t>99220709007</t>
  </si>
  <si>
    <t>110-75</t>
  </si>
  <si>
    <t>Whu: Rippa's Snarlfangs Premium Sleeves</t>
  </si>
  <si>
    <t>99220718006</t>
  </si>
  <si>
    <t>110-86</t>
  </si>
  <si>
    <t>Whu: Ironsoul's Condemnors Prem. Sleeves</t>
  </si>
  <si>
    <t>60010199026</t>
  </si>
  <si>
    <t>PH-60</t>
  </si>
  <si>
    <t>Wh40k: Blood Of The Phoenix (English)</t>
  </si>
  <si>
    <t>60220108004</t>
  </si>
  <si>
    <t>54-03-60</t>
  </si>
  <si>
    <t>Datasheets: Imperial Knights (English)</t>
  </si>
  <si>
    <t>99221899001</t>
  </si>
  <si>
    <t>500-02</t>
  </si>
  <si>
    <t>Aero/Imper: Imperial &amp; Ork Ground Assets</t>
  </si>
  <si>
    <t xml:space="preserve">99120599016 </t>
  </si>
  <si>
    <t>300-50</t>
  </si>
  <si>
    <t>Zone Mortalis: Sector</t>
  </si>
  <si>
    <t>99120201094</t>
  </si>
  <si>
    <t>83-37</t>
  </si>
  <si>
    <t>Slaves To Darkness: Untamed Beasts</t>
  </si>
  <si>
    <t>99120201093</t>
  </si>
  <si>
    <t>83-36</t>
  </si>
  <si>
    <t>Slaves To Darkness: The Unmade</t>
  </si>
  <si>
    <t>99120201092</t>
  </si>
  <si>
    <t>83-35</t>
  </si>
  <si>
    <t>Slaves To Darkness: The Splintered Fang</t>
  </si>
  <si>
    <t>99120201091</t>
  </si>
  <si>
    <t>83-34</t>
  </si>
  <si>
    <t xml:space="preserve"> Slaves To Darkness: Iron Golem</t>
  </si>
  <si>
    <t>99120201090</t>
  </si>
  <si>
    <t>83-31</t>
  </si>
  <si>
    <t>Slaves To Darkness: Cypher Lords</t>
  </si>
  <si>
    <t>60220201010</t>
  </si>
  <si>
    <t>83-46</t>
  </si>
  <si>
    <t>Warscrolls: Disciples Of Tzeentch Eng</t>
  </si>
  <si>
    <t>60220205005</t>
  </si>
  <si>
    <t>84-03</t>
  </si>
  <si>
    <t>Warscrolls: Kharadron Overlords (Eng)</t>
  </si>
  <si>
    <t>99120101267</t>
  </si>
  <si>
    <t>44-16</t>
  </si>
  <si>
    <t>Dark Angels Master Lazarus</t>
  </si>
  <si>
    <t>99120599022</t>
  </si>
  <si>
    <t>300-61</t>
  </si>
  <si>
    <t>Necromunda Zone Mortalis Scenic Bases</t>
  </si>
  <si>
    <t>99229999167</t>
  </si>
  <si>
    <t>65-05</t>
  </si>
  <si>
    <t>Dark Millennium Playing Cards</t>
  </si>
  <si>
    <t>60010399001</t>
  </si>
  <si>
    <t>400-14-60</t>
  </si>
  <si>
    <t>Adeptus Titanicus Grand Master Ed. (Eng)</t>
  </si>
  <si>
    <t>99220299078</t>
  </si>
  <si>
    <t>111-30</t>
  </si>
  <si>
    <t>Warcry: Corpsewrack Mausoleum</t>
  </si>
  <si>
    <t>99220108004</t>
  </si>
  <si>
    <t>86-68</t>
  </si>
  <si>
    <t>Adepta Sororitas Dice</t>
  </si>
  <si>
    <t>99220201004</t>
  </si>
  <si>
    <t>65-39</t>
  </si>
  <si>
    <t>Disciples Of Tzeentch Dice Set</t>
  </si>
  <si>
    <t>60010399002</t>
  </si>
  <si>
    <t>400-15-60</t>
  </si>
  <si>
    <t>Adeptus Titanicus: Rules Set (English)</t>
  </si>
  <si>
    <t>60010599001</t>
  </si>
  <si>
    <t>300-01-60</t>
  </si>
  <si>
    <t>Necromunda: Underhive (English)</t>
  </si>
  <si>
    <t>60220909002</t>
  </si>
  <si>
    <t>200-61</t>
  </si>
  <si>
    <t>Blood Bowl Goblin Team Card Pack (Eng)</t>
  </si>
  <si>
    <t>60220201009</t>
  </si>
  <si>
    <t>83-03-60</t>
  </si>
  <si>
    <t>Warscroll Cards: Slaves To Darkness Eng</t>
  </si>
  <si>
    <t>60120616001</t>
  </si>
  <si>
    <t>102-46-60</t>
  </si>
  <si>
    <t>Kill Team: Theta-7 Aquisitus (English)</t>
  </si>
  <si>
    <t>60010108001</t>
  </si>
  <si>
    <t>52-04-60</t>
  </si>
  <si>
    <t>Adepta Sororitas: Sisters Of Battle Eng</t>
  </si>
  <si>
    <t>99230699003</t>
  </si>
  <si>
    <t>BF-10</t>
  </si>
  <si>
    <t>Blackstone Fortress Carry Case</t>
  </si>
  <si>
    <t>99220199074</t>
  </si>
  <si>
    <t>40-42</t>
  </si>
  <si>
    <t>Warhammer 40000: Apocalypse Dice</t>
  </si>
  <si>
    <t>99120106021</t>
  </si>
  <si>
    <t>Tyranid Termagant Brood</t>
  </si>
  <si>
    <t>Repackaged - replaced by 99120106046</t>
  </si>
  <si>
    <t>99120103070</t>
  </si>
  <si>
    <t>50-44</t>
  </si>
  <si>
    <t>Da Red Gobbo</t>
  </si>
  <si>
    <t>60220199016</t>
  </si>
  <si>
    <t>40-28-60</t>
  </si>
  <si>
    <t>Apocalypse Command Assets (English)</t>
  </si>
  <si>
    <t>60220115004</t>
  </si>
  <si>
    <t>97-49-60</t>
  </si>
  <si>
    <t>Apocalypse Datasheets: Chaos Daemons Eng</t>
  </si>
  <si>
    <t>60220113027</t>
  </si>
  <si>
    <t>56-28-60</t>
  </si>
  <si>
    <t>Apocalypse Datasheets: T'au Empire (Eng)</t>
  </si>
  <si>
    <t>60220110025</t>
  </si>
  <si>
    <t>49-24-60</t>
  </si>
  <si>
    <t>Apocalypse Datasheets: Necrons (Eng)</t>
  </si>
  <si>
    <t>60220106003</t>
  </si>
  <si>
    <t>51-25-60</t>
  </si>
  <si>
    <t>Apoc D/Shts: Tyranids + Gene Cults (Eng)</t>
  </si>
  <si>
    <t>60220105016</t>
  </si>
  <si>
    <t>47-28-60</t>
  </si>
  <si>
    <t>Apocalypse Datasheets: A/Militarum Eng</t>
  </si>
  <si>
    <t>60220104022</t>
  </si>
  <si>
    <t>46-66-60</t>
  </si>
  <si>
    <t>Apocalypse Datasheets: Aeldari (Eng)</t>
  </si>
  <si>
    <t>60220103026</t>
  </si>
  <si>
    <t>50-52-60</t>
  </si>
  <si>
    <t>Apocalypse Datasheets: Orks (Eng)</t>
  </si>
  <si>
    <t>60220102021</t>
  </si>
  <si>
    <t>43-71-60</t>
  </si>
  <si>
    <t>Apocalypse D/Sheets: Chaos S/Marines Eng</t>
  </si>
  <si>
    <t>60220101016</t>
  </si>
  <si>
    <t>53-44-60</t>
  </si>
  <si>
    <t>Apocalypse Datasheets: Space Marines Eng</t>
  </si>
  <si>
    <t>60010199022</t>
  </si>
  <si>
    <t>40-08-60</t>
  </si>
  <si>
    <t>Warhammer 40000: Urban Conquest (Eng)</t>
  </si>
  <si>
    <t>60220699011</t>
  </si>
  <si>
    <t>BF-12-60</t>
  </si>
  <si>
    <t>B/Stone Fortress: Endless Peril (Eng)</t>
  </si>
  <si>
    <t xml:space="preserve">60220699010 </t>
  </si>
  <si>
    <t>BF-11-60</t>
  </si>
  <si>
    <t>B/Stone Fortress: Advanced Arsenal (Eng)</t>
  </si>
  <si>
    <t>60040999011</t>
  </si>
  <si>
    <t>200-69-60</t>
  </si>
  <si>
    <t>Spike! Journal: Issue 6 (English)</t>
  </si>
  <si>
    <t>60040999010</t>
  </si>
  <si>
    <t>200-59-60</t>
  </si>
  <si>
    <t>Spike! Journal: Issue 5 (English)</t>
  </si>
  <si>
    <t>99219999027</t>
  </si>
  <si>
    <t>66-13</t>
  </si>
  <si>
    <t>Green Stuff</t>
  </si>
  <si>
    <t>60040999008</t>
  </si>
  <si>
    <t>200-51-60</t>
  </si>
  <si>
    <t>Blood Bowl: Spike! 2018 Almanac! (Eng)</t>
  </si>
  <si>
    <t>99120218001</t>
  </si>
  <si>
    <t>96-26</t>
  </si>
  <si>
    <t>Celestant-Prime Hammer Of Sigmar</t>
  </si>
  <si>
    <t>99120213021</t>
  </si>
  <si>
    <t>95-18</t>
  </si>
  <si>
    <t>Ogor Mawtribes Great Mawpot</t>
  </si>
  <si>
    <t>99220707007</t>
  </si>
  <si>
    <t>110-87</t>
  </si>
  <si>
    <t>Whu: Lady Harrow Mournflight Sleeves</t>
  </si>
  <si>
    <t>99120399015</t>
  </si>
  <si>
    <t>400-30</t>
  </si>
  <si>
    <t>Adeptus Titanicus Knight Battleforce</t>
  </si>
  <si>
    <t>99120209062</t>
  </si>
  <si>
    <t>71-87</t>
  </si>
  <si>
    <t>Gloomspite Gitz: Caveshroom Loonz</t>
  </si>
  <si>
    <t>99120113065</t>
  </si>
  <si>
    <t>71-47</t>
  </si>
  <si>
    <t>T'au Empire Starclaimer Hunter Cadre</t>
  </si>
  <si>
    <t>99120112039</t>
  </si>
  <si>
    <t>71-89</t>
  </si>
  <si>
    <t>Drukhari Poisonblade Raiding Party</t>
  </si>
  <si>
    <t>99120106047</t>
  </si>
  <si>
    <t>71-81</t>
  </si>
  <si>
    <t>Tyranids Bioswarm</t>
  </si>
  <si>
    <t>99120106043</t>
  </si>
  <si>
    <t>35-26</t>
  </si>
  <si>
    <t>Easy-To-Build Tyranid Termagants</t>
  </si>
  <si>
    <t>99120104055</t>
  </si>
  <si>
    <t>35-32</t>
  </si>
  <si>
    <t>Easy To Build: Craftworlds Guardians</t>
  </si>
  <si>
    <t>99120101066</t>
  </si>
  <si>
    <t>35-25</t>
  </si>
  <si>
    <t>60220699009</t>
  </si>
  <si>
    <t>BF-04-60</t>
  </si>
  <si>
    <t>B/S Fortress: Abominable Intellect (Eng)</t>
  </si>
  <si>
    <t>99120299028</t>
  </si>
  <si>
    <t>64-07</t>
  </si>
  <si>
    <t>Ophidian Archway</t>
  </si>
  <si>
    <t>60220207008</t>
  </si>
  <si>
    <t>94-02</t>
  </si>
  <si>
    <t>Warscrolls: Ossiarch Bonereapers (Eng)</t>
  </si>
  <si>
    <t>99120103051</t>
  </si>
  <si>
    <t>35-27</t>
  </si>
  <si>
    <t>Easy To Build: Ork Boyz</t>
  </si>
  <si>
    <t>60030205010</t>
  </si>
  <si>
    <t>84-02-60</t>
  </si>
  <si>
    <t>Battletome: Kharadron Overlords (Sb) Eng</t>
  </si>
  <si>
    <t>60030201018</t>
  </si>
  <si>
    <t>83-45-60</t>
  </si>
  <si>
    <t>Battletome: Disciples Of Tzeentch Sb Eng</t>
  </si>
  <si>
    <t>60040999014</t>
  </si>
  <si>
    <t>200-51</t>
  </si>
  <si>
    <t>Blood Bowl 2019 Almanac! (Eng)</t>
  </si>
  <si>
    <t>60220999010</t>
  </si>
  <si>
    <t>200-84</t>
  </si>
  <si>
    <t>Blood Bowl: Ogre Team Card Pack (Eng)</t>
  </si>
  <si>
    <t>60040999013</t>
  </si>
  <si>
    <t>200-85</t>
  </si>
  <si>
    <t>Spike! Journal: Issue 8 (English)</t>
  </si>
  <si>
    <t>99220913001</t>
  </si>
  <si>
    <t>200-73</t>
  </si>
  <si>
    <t>Blood Bowl: Ogre Team Dice Set</t>
  </si>
  <si>
    <t>99220913002</t>
  </si>
  <si>
    <t>200-82</t>
  </si>
  <si>
    <t>Blood Bowl: Ogre Team Pitch &amp; Dugouts</t>
  </si>
  <si>
    <t>99221499018</t>
  </si>
  <si>
    <t>05-37</t>
  </si>
  <si>
    <t>Middle-Earth Sbg: Isengard Dice Set</t>
  </si>
  <si>
    <t>60040199094</t>
  </si>
  <si>
    <t>40-07-60</t>
  </si>
  <si>
    <t>Warhammer 40000: Chapter Approved (Eng)</t>
  </si>
  <si>
    <t>Replaced by 2019 version - 60040199121</t>
  </si>
  <si>
    <t>60010299021</t>
  </si>
  <si>
    <t>FBN-60</t>
  </si>
  <si>
    <t>Age Of Sigmar: Feast Of Bones (English)</t>
  </si>
  <si>
    <t>99220707006</t>
  </si>
  <si>
    <t>110-74</t>
  </si>
  <si>
    <t>Whu: The Grymwatch Premium Sleeves</t>
  </si>
  <si>
    <t>99220707005</t>
  </si>
  <si>
    <t>110-68</t>
  </si>
  <si>
    <t>Wh Underworlds: The Grymwatch Dice Pack</t>
  </si>
  <si>
    <t>99120213015</t>
  </si>
  <si>
    <t>95-14</t>
  </si>
  <si>
    <t>Beastclaw Raiders Mournfang Pack</t>
  </si>
  <si>
    <t>99120201058</t>
  </si>
  <si>
    <t>Start Collecting! Slaves To Darkness</t>
  </si>
  <si>
    <t>60120102102</t>
  </si>
  <si>
    <t>102-52-60</t>
  </si>
  <si>
    <t>Kill Team: Fractal Blades (English)</t>
  </si>
  <si>
    <t>60120102103</t>
  </si>
  <si>
    <t>102-53-60</t>
  </si>
  <si>
    <t>Kill Team: Dolorous Strain (English)</t>
  </si>
  <si>
    <t>60120103068</t>
  </si>
  <si>
    <t>102-50-60</t>
  </si>
  <si>
    <t>Kill Team: Toofrippa's Krew (English)</t>
  </si>
  <si>
    <t>200-71-60</t>
  </si>
  <si>
    <t>Blood Bowl: Inducements Cards (Eng) </t>
  </si>
  <si>
    <t>99120106042</t>
  </si>
  <si>
    <t>Tyranid Hive Tyrant / The Swarmlord</t>
  </si>
  <si>
    <t xml:space="preserve">Repackaged - replaced by 99120106045  </t>
  </si>
  <si>
    <t>99120106044</t>
  </si>
  <si>
    <t>51-25</t>
  </si>
  <si>
    <t>Tyranids Spearhead Detachment</t>
  </si>
  <si>
    <t>71-49</t>
  </si>
  <si>
    <t>Slaves To Darkness Godsworn Warband</t>
  </si>
  <si>
    <t>86-83</t>
  </si>
  <si>
    <t>Space Marines: Ultramarines Dice</t>
  </si>
  <si>
    <t>86-84</t>
  </si>
  <si>
    <t>Space Marines: White Scars Dice</t>
  </si>
  <si>
    <t>65-33</t>
  </si>
  <si>
    <t>Ossiarch Bonereapers Dice Set</t>
  </si>
  <si>
    <t>99120399008</t>
  </si>
  <si>
    <t>400-20</t>
  </si>
  <si>
    <t>Adeptus Titanicus Titan Battlegroup</t>
  </si>
  <si>
    <t>99220599015</t>
  </si>
  <si>
    <t>300-44</t>
  </si>
  <si>
    <t>Necromunda Dice Set</t>
  </si>
  <si>
    <t>99220799003</t>
  </si>
  <si>
    <t>110-07</t>
  </si>
  <si>
    <t>Wh Underworlds: Shadespire Card Sleeves</t>
  </si>
  <si>
    <t>99220213001</t>
  </si>
  <si>
    <t>65-32</t>
  </si>
  <si>
    <t>Ogor Mawtribes Dice Pack</t>
  </si>
  <si>
    <t>60220213003</t>
  </si>
  <si>
    <t>95-04</t>
  </si>
  <si>
    <t>Warscroll Cards: Ogor Mawtribes (Eng)</t>
  </si>
  <si>
    <t>60040999012</t>
  </si>
  <si>
    <t>200-75</t>
  </si>
  <si>
    <t>Spike! Journal: Issue 7 (English)</t>
  </si>
  <si>
    <t>60220908001</t>
  </si>
  <si>
    <t>200-76</t>
  </si>
  <si>
    <t>Blood Bowl: Lizardmen Team Card Pack</t>
  </si>
  <si>
    <t>99220908002</t>
  </si>
  <si>
    <t>200-79</t>
  </si>
  <si>
    <t>Blood Bowl: Lizardmen Pitch &amp; Dugouts</t>
  </si>
  <si>
    <t>99221899002</t>
  </si>
  <si>
    <t>500-17</t>
  </si>
  <si>
    <t>Rynn's World Area Of Engagement Board</t>
  </si>
  <si>
    <t>99220799008</t>
  </si>
  <si>
    <t>110-47</t>
  </si>
  <si>
    <t>Warhammer Underworlds: Magic Dice Set</t>
  </si>
  <si>
    <t>60040299061</t>
  </si>
  <si>
    <t>80-13-60</t>
  </si>
  <si>
    <t>Grand Alliance: Chaos (English)</t>
  </si>
  <si>
    <t>60220209006</t>
  </si>
  <si>
    <t>89-04</t>
  </si>
  <si>
    <t>Warscroll Cards: Orruk Warclans (Eng)</t>
  </si>
  <si>
    <t>60220299014</t>
  </si>
  <si>
    <t>86-48</t>
  </si>
  <si>
    <t>Warscroll Cards: Cities Of Sigmar (Eng)</t>
  </si>
  <si>
    <t>99120207008</t>
  </si>
  <si>
    <t>35-30</t>
  </si>
  <si>
    <t xml:space="preserve">Skeleton Warriors </t>
  </si>
  <si>
    <t>99220299077</t>
  </si>
  <si>
    <t>111-18</t>
  </si>
  <si>
    <t>Warcry Ruler</t>
  </si>
  <si>
    <t>99120205036</t>
  </si>
  <si>
    <t>84-29</t>
  </si>
  <si>
    <t>Gotrek Gurnisson</t>
  </si>
  <si>
    <t>99221499017</t>
  </si>
  <si>
    <t>05-16</t>
  </si>
  <si>
    <t>Army Of The Dead Dice</t>
  </si>
  <si>
    <t>99220908001</t>
  </si>
  <si>
    <t>200-64</t>
  </si>
  <si>
    <t>Blood Bowl: Lizardmen Team Dice Set</t>
  </si>
  <si>
    <t>sold out - no longer available</t>
  </si>
  <si>
    <t>99220308001</t>
  </si>
  <si>
    <t>400-25</t>
  </si>
  <si>
    <t>Adeptus Titanicus Loyalist Legions Dice</t>
  </si>
  <si>
    <t>99220302001</t>
  </si>
  <si>
    <t>400-24</t>
  </si>
  <si>
    <t>Adeptus Titanicus Traitor Legions Dice</t>
  </si>
  <si>
    <t>99220904002</t>
  </si>
  <si>
    <t>200-68</t>
  </si>
  <si>
    <t>Blood Bowl: Wood Elves Pitch &amp; Dugouts</t>
  </si>
  <si>
    <t>99220904001</t>
  </si>
  <si>
    <t>200-63</t>
  </si>
  <si>
    <t xml:space="preserve">Blood Bowl: Wood Elf Team Dice Set </t>
  </si>
  <si>
    <t>99220999015</t>
  </si>
  <si>
    <t>200-81</t>
  </si>
  <si>
    <t>Blood Bowl Dice Set</t>
  </si>
  <si>
    <t>99120208021</t>
  </si>
  <si>
    <t>88-13</t>
  </si>
  <si>
    <t>Seraphon Terradon Riders</t>
  </si>
  <si>
    <t>99120208015</t>
  </si>
  <si>
    <t>88-08</t>
  </si>
  <si>
    <t>Seraphon Bastiladon</t>
  </si>
  <si>
    <t>99230799001</t>
  </si>
  <si>
    <t>110-50</t>
  </si>
  <si>
    <t>Wh Underworlds: Nightvault Carry Case</t>
  </si>
  <si>
    <t>Has returned to the Trade Range on 9-October 2019</t>
  </si>
  <si>
    <t>60220204003</t>
  </si>
  <si>
    <t>92-03-60</t>
  </si>
  <si>
    <t>Warscroll Cards: Sylvaneth (English)</t>
  </si>
  <si>
    <t>60040299059</t>
  </si>
  <si>
    <t>80-11-60</t>
  </si>
  <si>
    <t>Grand Alliance: Destruction (English)</t>
  </si>
  <si>
    <t>60010199028</t>
  </si>
  <si>
    <t>102-72-60</t>
  </si>
  <si>
    <t>Warhammer 40000: Combat Arena (Eng)</t>
  </si>
  <si>
    <t>99120399012</t>
  </si>
  <si>
    <t>400-27</t>
  </si>
  <si>
    <t>Ad/Titanicus Civitas Imperialis Spires</t>
  </si>
  <si>
    <t>99121464027</t>
  </si>
  <si>
    <t>30-39</t>
  </si>
  <si>
    <t>Theoden King Of Rohan</t>
  </si>
  <si>
    <t>60041499044</t>
  </si>
  <si>
    <t>30-10-60</t>
  </si>
  <si>
    <t>M-E Sbg: Scouring Of The Shire (English)</t>
  </si>
  <si>
    <t>60010299019</t>
  </si>
  <si>
    <t>111-01-60</t>
  </si>
  <si>
    <t>Age Of Sigmar: Warcry (English)</t>
  </si>
  <si>
    <t>60040999009</t>
  </si>
  <si>
    <t>200-52-60</t>
  </si>
  <si>
    <t>Spike! Journal: Issue 4 (English)</t>
  </si>
  <si>
    <t>60220999004</t>
  </si>
  <si>
    <t>200-60-60</t>
  </si>
  <si>
    <t>Blood Bowl Halfling Team Card Pack (Eng)</t>
  </si>
  <si>
    <t>99220999012</t>
  </si>
  <si>
    <t>200-58</t>
  </si>
  <si>
    <t>Blood Bowl Halfling Dice Set</t>
  </si>
  <si>
    <t>99220999013</t>
  </si>
  <si>
    <t>200-67</t>
  </si>
  <si>
    <t>Blood Bowl:Halfling Team Pitch &amp; Dugouts</t>
  </si>
  <si>
    <t xml:space="preserve">99121462014 </t>
  </si>
  <si>
    <t>30-30</t>
  </si>
  <si>
    <t>LoTR: Uruk-Hai Siege Troops</t>
  </si>
  <si>
    <t>30-41</t>
  </si>
  <si>
    <t> Legolas Greenleaf And Tauriel</t>
  </si>
  <si>
    <t>30-32</t>
  </si>
  <si>
    <t>LoTR: Easterling Kataphrakts</t>
  </si>
  <si>
    <t>30-35</t>
  </si>
  <si>
    <t>Riders Of Rohan</t>
  </si>
  <si>
    <t>30-36</t>
  </si>
  <si>
    <t>Warriors Of Rohan</t>
  </si>
  <si>
    <t>30-28</t>
  </si>
  <si>
    <t>LoTR: Warriors Of The Dead</t>
  </si>
  <si>
    <t>99220599009</t>
  </si>
  <si>
    <t>300-43</t>
  </si>
  <si>
    <t>Necromunda Card Sleeves</t>
  </si>
  <si>
    <t>6012061700</t>
  </si>
  <si>
    <t>102-47-60</t>
  </si>
  <si>
    <t>Kill Team: Starn's Disciples (English)</t>
  </si>
  <si>
    <t>6017029901</t>
  </si>
  <si>
    <t>80-28-60</t>
  </si>
  <si>
    <t>Aos: Tempest Of Souls + Paint (English)</t>
  </si>
  <si>
    <t>99120108020</t>
  </si>
  <si>
    <t>52-14</t>
  </si>
  <si>
    <t>Sister Superior Amalia Novena</t>
  </si>
  <si>
    <t>6012100100212</t>
  </si>
  <si>
    <t>Space Marine Heroes (Rest Of The World)</t>
  </si>
  <si>
    <t>60040599021</t>
  </si>
  <si>
    <t>300-33-60</t>
  </si>
  <si>
    <t>Necromunda: The Book Of Peril (English)</t>
  </si>
  <si>
    <t>99120399001</t>
  </si>
  <si>
    <t>400-05</t>
  </si>
  <si>
    <t>Ad/Titanicus: Imperial Questoris Knights</t>
  </si>
  <si>
    <t>Necromunda Enforcer Tactics Card Pack</t>
  </si>
  <si>
    <t>99220599010</t>
  </si>
  <si>
    <t>300-39</t>
  </si>
  <si>
    <t>Necromunda Enforcer Patrol Dice Set</t>
  </si>
  <si>
    <t>99220799010</t>
  </si>
  <si>
    <t>110-53</t>
  </si>
  <si>
    <t>Nightvault Forbidden Chambers Board Pack</t>
  </si>
  <si>
    <t>99220799007</t>
  </si>
  <si>
    <t>110-40</t>
  </si>
  <si>
    <t>Wh Underworlds: Nightvault Playmat</t>
  </si>
  <si>
    <t>99220799006</t>
  </si>
  <si>
    <t>110-39</t>
  </si>
  <si>
    <t>Wh Underworlds: Nightvault Deck Box</t>
  </si>
  <si>
    <t>99220718005</t>
  </si>
  <si>
    <t>110-45</t>
  </si>
  <si>
    <t>Whu: Stormsire's Cursebreakers Dice</t>
  </si>
  <si>
    <t>99220718004</t>
  </si>
  <si>
    <t>110-26</t>
  </si>
  <si>
    <t>Whu: Stormsire's Cursebreakers Sleeves</t>
  </si>
  <si>
    <t>99220707004</t>
  </si>
  <si>
    <t>110-46</t>
  </si>
  <si>
    <t>Whu: Thorns Of The Briar Queen Dice</t>
  </si>
  <si>
    <t>99220707003</t>
  </si>
  <si>
    <t>110-27</t>
  </si>
  <si>
    <t>Whu: Thorns Of The Briar Queen Sleeves</t>
  </si>
  <si>
    <t>99120799003</t>
  </si>
  <si>
    <t>110-38</t>
  </si>
  <si>
    <t>Wh Underworlds:Nightvault Arcane Hazards</t>
  </si>
  <si>
    <t>60220799003</t>
  </si>
  <si>
    <t>110-24-60</t>
  </si>
  <si>
    <t>Whu: Shadespire Leader Cards (English)</t>
  </si>
  <si>
    <t>60120718001</t>
  </si>
  <si>
    <t>110-08-60</t>
  </si>
  <si>
    <t>Wh Underworlds: The Farstriders (Eng)</t>
  </si>
  <si>
    <t xml:space="preserve">60120709001 </t>
  </si>
  <si>
    <t>110-03-60</t>
  </si>
  <si>
    <t>Wh Underworlds: Ironskull's Boyz (Eng)</t>
  </si>
  <si>
    <t>60120707001</t>
  </si>
  <si>
    <t>110-04-60</t>
  </si>
  <si>
    <t>Wh Underworlds: Sepulchral Guard (Eng)</t>
  </si>
  <si>
    <t>60120706001</t>
  </si>
  <si>
    <t>110-05-60</t>
  </si>
  <si>
    <t xml:space="preserve">Wh Underworlds: Spiteclaw's Swarm </t>
  </si>
  <si>
    <t>60120705001</t>
  </si>
  <si>
    <t>110-06-60</t>
  </si>
  <si>
    <t>Wh Underworlds: The Chosen Axes (Eng)</t>
  </si>
  <si>
    <t>60120701001</t>
  </si>
  <si>
    <t>110-21-60</t>
  </si>
  <si>
    <t>Wh Underworlds: Magore's Fiends (Eng)</t>
  </si>
  <si>
    <t>60010799006</t>
  </si>
  <si>
    <t>110-01-60</t>
  </si>
  <si>
    <t>Wh Underworlds: Nightvault (Eng)</t>
  </si>
  <si>
    <t>60040299060</t>
  </si>
  <si>
    <t>80-12-60</t>
  </si>
  <si>
    <t>Grand Alliance: Order (Sb) (English)</t>
  </si>
  <si>
    <t>89-01-60</t>
  </si>
  <si>
    <t>Battletome: Ironjawz (H/Back) (English)</t>
  </si>
  <si>
    <t>99120201073</t>
  </si>
  <si>
    <t>83-48</t>
  </si>
  <si>
    <t>Nurgle Rotbringers Pusgoyle Blightlords</t>
  </si>
  <si>
    <t>99120101251</t>
  </si>
  <si>
    <t>48-53</t>
  </si>
  <si>
    <t>Space Marines Battalion Detachment</t>
  </si>
  <si>
    <t>60040399009</t>
  </si>
  <si>
    <t>400-21-60</t>
  </si>
  <si>
    <t>Adeptus Titanicus: Doom Of Molech (Eng)</t>
  </si>
  <si>
    <t>99220209004</t>
  </si>
  <si>
    <t>111-15</t>
  </si>
  <si>
    <t>Warcry: Ironjawz Card Pack</t>
  </si>
  <si>
    <t>99220207005</t>
  </si>
  <si>
    <t>111-11</t>
  </si>
  <si>
    <t>Warcry: Flesh-Eater Courts Card Pack</t>
  </si>
  <si>
    <t>99220207004</t>
  </si>
  <si>
    <t>111-10</t>
  </si>
  <si>
    <t>Warcry: Legions Of Nagash Card Pack</t>
  </si>
  <si>
    <t>99220299076</t>
  </si>
  <si>
    <t>111-05</t>
  </si>
  <si>
    <t>Warcry Cards Dispenser</t>
  </si>
  <si>
    <t>99220212002</t>
  </si>
  <si>
    <t>111-08</t>
  </si>
  <si>
    <t xml:space="preserve">Warcry: Daughters Of Khaine Card Pack </t>
  </si>
  <si>
    <t>99220207003</t>
  </si>
  <si>
    <t>111-09</t>
  </si>
  <si>
    <t>Warcry: Nighthaunt Card Pack</t>
  </si>
  <si>
    <t>99220218003</t>
  </si>
  <si>
    <t>111-06</t>
  </si>
  <si>
    <t>Warcry: Stormcast Eternals Card Pack</t>
  </si>
  <si>
    <t>99220209005</t>
  </si>
  <si>
    <t>111-16</t>
  </si>
  <si>
    <t>Warcry: Bonesplitters Card Pack</t>
  </si>
  <si>
    <t>99220209003</t>
  </si>
  <si>
    <t>111-14</t>
  </si>
  <si>
    <t>Warcry: Gloomspite Gitz Cards</t>
  </si>
  <si>
    <t>60220599010</t>
  </si>
  <si>
    <t>300-34-60</t>
  </si>
  <si>
    <t>Badzones Environments &amp; Event Cards Eng</t>
  </si>
  <si>
    <t xml:space="preserve"> 60220101008</t>
  </si>
  <si>
    <t>Datacards: Space Marines (Eng)</t>
  </si>
  <si>
    <t>Repackaged - replaced by 60220101013</t>
  </si>
  <si>
    <t>99120105009</t>
  </si>
  <si>
    <t>Cadian Heavy Weapon Squad</t>
  </si>
  <si>
    <t>Repackaged - replaced by Astra Militarum Cadian heavy Weapon Squad</t>
  </si>
  <si>
    <t>99220204002</t>
  </si>
  <si>
    <t>92-20</t>
  </si>
  <si>
    <t>Sylvaneth Dice</t>
  </si>
  <si>
    <t>99120101227</t>
  </si>
  <si>
    <t>Space Marine Razorback</t>
  </si>
  <si>
    <t>Repackaged - replaced by 99120101245</t>
  </si>
  <si>
    <t>99120101226</t>
  </si>
  <si>
    <t>48-12</t>
  </si>
  <si>
    <t>Space Marine Rhino</t>
  </si>
  <si>
    <t>99120101225</t>
  </si>
  <si>
    <t>Space Marine Scouts With Sniper Rifles</t>
  </si>
  <si>
    <t>Repackaged - replaced by 99120101248</t>
  </si>
  <si>
    <t>99120101214</t>
  </si>
  <si>
    <t>Space Marine Predator</t>
  </si>
  <si>
    <t>Repackaged - replaced by 99120101247</t>
  </si>
  <si>
    <t>99120101224</t>
  </si>
  <si>
    <t>Space Marine Scouts</t>
  </si>
  <si>
    <t>Repackaged - replaced by 99120101249</t>
  </si>
  <si>
    <t>60030101036</t>
  </si>
  <si>
    <t>48-01-60</t>
  </si>
  <si>
    <t>Codex: Space Marines (Hb) (English)</t>
  </si>
  <si>
    <t>Replaced by 60030101041</t>
  </si>
  <si>
    <t>99239999071</t>
  </si>
  <si>
    <t>66-67</t>
  </si>
  <si>
    <t xml:space="preserve">Citadel Sculpting Tool Set </t>
  </si>
  <si>
    <t>99120105045</t>
  </si>
  <si>
    <t>Astra Militarum Leman Russ Demolisher</t>
  </si>
  <si>
    <t>Repackaged - replaced by 99120105082</t>
  </si>
  <si>
    <t>99120213020</t>
  </si>
  <si>
    <t>95-13</t>
  </si>
  <si>
    <t>Gutbusters Ironblaster</t>
  </si>
  <si>
    <t>60220699007</t>
  </si>
  <si>
    <t>102-45-60</t>
  </si>
  <si>
    <t>Killzone: Sector Fronteris (English)</t>
  </si>
  <si>
    <t>Astra Militarum Sentinel</t>
  </si>
  <si>
    <t>Repackaged - replaced by 99120105083</t>
  </si>
  <si>
    <t>60120608001</t>
  </si>
  <si>
    <t>102-42-60</t>
  </si>
  <si>
    <t>K/T Commander: Magos Dalathrust (Eng)</t>
  </si>
  <si>
    <t>99120105073</t>
  </si>
  <si>
    <t>Astra Militarum Cadian Infantry Squad</t>
  </si>
  <si>
    <t>Repackaged - replaced by Astra Militarum Cadian Command Squad 99120105078</t>
  </si>
  <si>
    <t>60220904001</t>
  </si>
  <si>
    <t>200-70-60</t>
  </si>
  <si>
    <t xml:space="preserve"> Blood Bowl: Wood Elves Card Pack</t>
  </si>
  <si>
    <t>60220201008</t>
  </si>
  <si>
    <t>83-81-60</t>
  </si>
  <si>
    <t>Warscrolls: Hedonites Of Slaanesh (Eng)</t>
  </si>
  <si>
    <t>Space Marine Land Raider Crusader/Redeemer</t>
  </si>
  <si>
    <t>60010199023</t>
  </si>
  <si>
    <t>SP-01-60</t>
  </si>
  <si>
    <t>Warhammer 40000: Shadowspear (English)</t>
  </si>
  <si>
    <t>60220205004</t>
  </si>
  <si>
    <t>84-04-60</t>
  </si>
  <si>
    <t>Warscroll Cards: Fyreslayers (English)</t>
  </si>
  <si>
    <t>99120105048</t>
  </si>
  <si>
    <t>Astra Militarum Leman Russ Battle Tank</t>
  </si>
  <si>
    <t>Repackaged - replaced by 99120105081</t>
  </si>
  <si>
    <t>99120105053</t>
  </si>
  <si>
    <t>Militarum Auxilla Bullgryns</t>
  </si>
  <si>
    <t>Repackaged - replaced by 99120105077</t>
  </si>
  <si>
    <t>99120105084</t>
  </si>
  <si>
    <t>47-26</t>
  </si>
  <si>
    <t>Astra Militarum Spearhead Detachment</t>
  </si>
  <si>
    <t>99120108021</t>
  </si>
  <si>
    <t>54-19</t>
  </si>
  <si>
    <t>Imperial Knights Super Heavy Detachment</t>
  </si>
  <si>
    <t>48-26</t>
  </si>
  <si>
    <t>Space Marine Dreadnought</t>
  </si>
  <si>
    <t>99120101196</t>
  </si>
  <si>
    <t>Start Collecting! Space Wolves</t>
  </si>
  <si>
    <t>Repackaged - replaced by Start Collecting! Primaris Space Wolves 99120101244</t>
  </si>
  <si>
    <t>99120399013</t>
  </si>
  <si>
    <t>400-28</t>
  </si>
  <si>
    <t>Adeptus Titanicus Civi/Imperialis Administratum Sector</t>
  </si>
  <si>
    <t>99220704002</t>
  </si>
  <si>
    <t>110-57</t>
  </si>
  <si>
    <t>Whu: Ylthari's Guardians Sleeves</t>
  </si>
  <si>
    <t>99220704001</t>
  </si>
  <si>
    <t>110-52</t>
  </si>
  <si>
    <t>Wh Underworlds: Ylthari's Guardians Dice</t>
  </si>
  <si>
    <t>99220705004</t>
  </si>
  <si>
    <t>110-56</t>
  </si>
  <si>
    <t>Whu: Thundrik's Profiteers Sleeves</t>
  </si>
  <si>
    <t>99220705003</t>
  </si>
  <si>
    <t>110-51</t>
  </si>
  <si>
    <t>Whu: Thundrik's Profiteers Dice Set</t>
  </si>
  <si>
    <t>60030204007</t>
  </si>
  <si>
    <t>Battletome: Sylvaneth (Sb) (English)</t>
  </si>
  <si>
    <t>99129999002</t>
  </si>
  <si>
    <t>64-09</t>
  </si>
  <si>
    <t>Citadel Wood</t>
  </si>
  <si>
    <t>99120101230</t>
  </si>
  <si>
    <t>44-09</t>
  </si>
  <si>
    <t>Dark Angels Company Veterans Squad</t>
  </si>
  <si>
    <t>9921999903303</t>
  </si>
  <si>
    <t>66-02</t>
  </si>
  <si>
    <t>Citadel Pva Glue (Global) (3-Pack)</t>
  </si>
  <si>
    <t>9918995501306</t>
  </si>
  <si>
    <t>26-11</t>
  </si>
  <si>
    <t>Texture: Astrogranite Debris 24Ml</t>
  </si>
  <si>
    <t>60040299072</t>
  </si>
  <si>
    <t>A.O.S: General's Handbook 2018 (English)</t>
  </si>
  <si>
    <r>
      <t xml:space="preserve">Replaced by </t>
    </r>
    <r>
      <rPr>
        <b/>
        <sz val="10"/>
        <color rgb="FF222222"/>
        <rFont val="Calibri"/>
        <family val="2"/>
        <scheme val="minor"/>
      </rPr>
      <t>60040299078</t>
    </r>
  </si>
  <si>
    <t>99220209002</t>
  </si>
  <si>
    <t>65-31</t>
  </si>
  <si>
    <t>Squig Dice</t>
  </si>
  <si>
    <t>9920999904706</t>
  </si>
  <si>
    <t>83-04-60</t>
  </si>
  <si>
    <t>Caliban Green Spray (6-Pack)</t>
  </si>
  <si>
    <t>E:P300</t>
  </si>
  <si>
    <t>60220201007</t>
  </si>
  <si>
    <t>Warscroll Cards: Blades Of Khorne (Eng)</t>
  </si>
  <si>
    <t>99120201077</t>
  </si>
  <si>
    <t>83-07</t>
  </si>
  <si>
    <t>Monsters Of Chaos: Chaos Warhounds</t>
  </si>
  <si>
    <t>99120218020</t>
  </si>
  <si>
    <t>96-32</t>
  </si>
  <si>
    <t>Stormcast Eternals Lord-Aquilor</t>
  </si>
  <si>
    <t>99120218022</t>
  </si>
  <si>
    <t>96-29</t>
  </si>
  <si>
    <t>Stormcast Eternals Vanguard-Palladors</t>
  </si>
  <si>
    <t>99129915033</t>
  </si>
  <si>
    <t>97-11</t>
  </si>
  <si>
    <t>Daemons Of Tzeentch Screamers</t>
  </si>
  <si>
    <t>99129915038</t>
  </si>
  <si>
    <t>97-21</t>
  </si>
  <si>
    <t>Daemons Of Nurgle Plague Drones</t>
  </si>
  <si>
    <t>60120605002</t>
  </si>
  <si>
    <t>102-39-60</t>
  </si>
  <si>
    <t>K/T Commander: Feodor Lasko (Eng)</t>
  </si>
  <si>
    <t>99121464017</t>
  </si>
  <si>
    <t>30-23</t>
  </si>
  <si>
    <t>Lord Of The Rings: Haradrim Raiders</t>
  </si>
  <si>
    <t>99120399005</t>
  </si>
  <si>
    <t>400-17</t>
  </si>
  <si>
    <t>Adeptus Titanicus Reaver Battle Titan</t>
  </si>
  <si>
    <t>99120201061</t>
  </si>
  <si>
    <t>70-82</t>
  </si>
  <si>
    <t>Start Collecting! Khorne Bloodbound</t>
  </si>
  <si>
    <t>9920999905606</t>
  </si>
  <si>
    <t>62-31</t>
  </si>
  <si>
    <t>The Fang Spray (6-Pack</t>
  </si>
  <si>
    <t>60120601001</t>
  </si>
  <si>
    <t>102-21-60</t>
  </si>
  <si>
    <t>Kill Team: Fangs Of Ulfrich (English)</t>
  </si>
  <si>
    <t>60120603001</t>
  </si>
  <si>
    <t>102-22-60</t>
  </si>
  <si>
    <t>Kill Team: Krogskull's Boyz (English)</t>
  </si>
  <si>
    <t>60120606001</t>
  </si>
  <si>
    <t>102-24-60</t>
  </si>
  <si>
    <t>Kill Team: The Writhing Shadow (English)</t>
  </si>
  <si>
    <t>60120609001</t>
  </si>
  <si>
    <t>102-26-60</t>
  </si>
  <si>
    <t>Kill Team: Kill Team Mordelai (English)</t>
  </si>
  <si>
    <t>60120610001</t>
  </si>
  <si>
    <t>102-28-60</t>
  </si>
  <si>
    <t>Kill Team: The Exalted Scythe (English)</t>
  </si>
  <si>
    <t>60120612001</t>
  </si>
  <si>
    <t>102-25-60</t>
  </si>
  <si>
    <t>Kill Team: The Slicing Noose (English)</t>
  </si>
  <si>
    <t>60120613001</t>
  </si>
  <si>
    <t>102-27-60</t>
  </si>
  <si>
    <t>Kill Team: Advance Team Starpulse (Eng)</t>
  </si>
  <si>
    <t>60220699005</t>
  </si>
  <si>
    <t>102-32-60</t>
  </si>
  <si>
    <t>Killzone: Death World Forest (English)</t>
  </si>
  <si>
    <t>9918995804306</t>
  </si>
  <si>
    <t>Air: Dawnstone (6-Pack)</t>
  </si>
  <si>
    <t>99120199070</t>
  </si>
  <si>
    <t>64-80</t>
  </si>
  <si>
    <t>Sector Imperialis: Imperial Sector</t>
  </si>
  <si>
    <t>99220117001</t>
  </si>
  <si>
    <t>65-17</t>
  </si>
  <si>
    <t>Genestealer Cults Dice</t>
  </si>
  <si>
    <t>60120617001</t>
  </si>
  <si>
    <t>102-37-60</t>
  </si>
  <si>
    <t>K/T Commander: Crasker Matterzhek (Eng)</t>
  </si>
  <si>
    <t>60120613002</t>
  </si>
  <si>
    <t>102-41-60</t>
  </si>
  <si>
    <t>K/T Commander: Fireblade Twinflame (Eng)</t>
  </si>
  <si>
    <t>60120612002</t>
  </si>
  <si>
    <t>102-35-60</t>
  </si>
  <si>
    <t>K/T Commander: Vysa Kharavyxis (Eng)</t>
  </si>
  <si>
    <t>60120610002</t>
  </si>
  <si>
    <t>102-36-60</t>
  </si>
  <si>
    <t>K/T Commander: Ankra The Colossus (Eng)</t>
  </si>
  <si>
    <t>102-40-60</t>
  </si>
  <si>
    <t>K/T Commander: Gaius Acastian (Eng)</t>
  </si>
  <si>
    <t>60120606002</t>
  </si>
  <si>
    <t>102-34-60</t>
  </si>
  <si>
    <t>K/T Commander: Nemesis 9 Tyrantis (Eng)</t>
  </si>
  <si>
    <t>60120603002</t>
  </si>
  <si>
    <t>102-33-60</t>
  </si>
  <si>
    <t>K/T Commander: Gitzog Wurldkilla</t>
  </si>
  <si>
    <t>60010603001</t>
  </si>
  <si>
    <t>SF-60</t>
  </si>
  <si>
    <t>Warhammer 40000: Speed Freeks (English)</t>
  </si>
  <si>
    <t>9918995802806</t>
  </si>
  <si>
    <t>Air: Moot Green (6-Pack) </t>
  </si>
  <si>
    <t>60010299017</t>
  </si>
  <si>
    <t>80-30-60</t>
  </si>
  <si>
    <t>Age Of Sigmar: Looncurse (English)</t>
  </si>
  <si>
    <t>99070109006</t>
  </si>
  <si>
    <t>39-23</t>
  </si>
  <si>
    <t>Deathwatch Watch Capt./Terminator Armour</t>
  </si>
  <si>
    <t>99070108005</t>
  </si>
  <si>
    <t>52-45</t>
  </si>
  <si>
    <t>Inquisitor Greyfax</t>
  </si>
  <si>
    <t>Kharadron Overlords Grundstok Thunderers</t>
  </si>
  <si>
    <t>60100181696</t>
  </si>
  <si>
    <t>BL2657</t>
  </si>
  <si>
    <t>The Imperial Infantryman's Handbook</t>
  </si>
  <si>
    <t>99220205001</t>
  </si>
  <si>
    <t>65-30</t>
  </si>
  <si>
    <t>Fyreslayers Dice Set</t>
  </si>
  <si>
    <t>60220799004</t>
  </si>
  <si>
    <t>110-29-60</t>
  </si>
  <si>
    <t>Whu: Echoes Of Glory Card Pack (Eng)</t>
  </si>
  <si>
    <t>99220102013</t>
  </si>
  <si>
    <t>86-82</t>
  </si>
  <si>
    <t>Chaos Space Marines Dice Set</t>
  </si>
  <si>
    <t>9918995800906</t>
  </si>
  <si>
    <t>Air: Deathworld Forest (12Ml) (6-Pack)</t>
  </si>
  <si>
    <t>99220799005</t>
  </si>
  <si>
    <t>110-32</t>
  </si>
  <si>
    <t>Wh Underworlds: Mollog's Mob Sleeves</t>
  </si>
  <si>
    <t>99220799002</t>
  </si>
  <si>
    <t>110-25</t>
  </si>
  <si>
    <t>Wh Underworlds: Shattered City Boards</t>
  </si>
  <si>
    <t>99220709005</t>
  </si>
  <si>
    <t>110-48</t>
  </si>
  <si>
    <t>Wh Underworlds: Mollog's Mob Dice Pack</t>
  </si>
  <si>
    <t>99220701007</t>
  </si>
  <si>
    <t>110-49</t>
  </si>
  <si>
    <t xml:space="preserve">Wh Underworlds: Godsworn Hunt Dice Pack </t>
  </si>
  <si>
    <t>99220701005</t>
  </si>
  <si>
    <t>110-33</t>
  </si>
  <si>
    <t>Wh Underworlds: Godsworn Hunt Sleeves</t>
  </si>
  <si>
    <t>99120399002</t>
  </si>
  <si>
    <t>400-06</t>
  </si>
  <si>
    <t>Adeptus Titanicus Warlord Battle Titan</t>
  </si>
  <si>
    <t>99120102079</t>
  </si>
  <si>
    <t>70-43</t>
  </si>
  <si>
    <t>Start Collecting! Chaos Space Marines</t>
  </si>
  <si>
    <t>Sold out - no longer available - will be replaced by an updated version at some point</t>
  </si>
  <si>
    <t>60220999002</t>
  </si>
  <si>
    <t>200-04-60</t>
  </si>
  <si>
    <t>Blood Bowl Cards: Team Titans Pack (Eng)</t>
  </si>
  <si>
    <t>60041499042</t>
  </si>
  <si>
    <t>30-07-60</t>
  </si>
  <si>
    <t>Middle-Earth Sbg: Gondor At War (Eng)</t>
  </si>
  <si>
    <t>99220999011</t>
  </si>
  <si>
    <t>200-10</t>
  </si>
  <si>
    <t>Blood Bowl:Blood On The Snow (W/Dugouts)</t>
  </si>
  <si>
    <t>99120199071</t>
  </si>
  <si>
    <t>64-81</t>
  </si>
  <si>
    <t>Sector Mechanicus: Derelict Factorum</t>
  </si>
  <si>
    <t>99220901005</t>
  </si>
  <si>
    <t>200-55</t>
  </si>
  <si>
    <t>Blood Bowl: Nurgle Pitch</t>
  </si>
  <si>
    <t>Age Of Sigmar: Azyrite Townscape</t>
  </si>
  <si>
    <t>99220907002</t>
  </si>
  <si>
    <t>200-56</t>
  </si>
  <si>
    <t>Blood Bowl: Shambling Undead Pitch</t>
  </si>
  <si>
    <t>99220907001</t>
  </si>
  <si>
    <t>200-38</t>
  </si>
  <si>
    <t>Blood Bowl: Shambling Undead Team Dice</t>
  </si>
  <si>
    <t>60220907001</t>
  </si>
  <si>
    <t>200-53-60</t>
  </si>
  <si>
    <t>Blood Bowl: Shambling Undead Card Pack (English)</t>
  </si>
  <si>
    <t>99220599008</t>
  </si>
  <si>
    <t>300-30</t>
  </si>
  <si>
    <t>Necromunda Delaque Gang Dice Set</t>
  </si>
  <si>
    <t>60220599008</t>
  </si>
  <si>
    <t>300-28-60</t>
  </si>
  <si>
    <t>Necromunda: Delaque Gang Cards (English)</t>
  </si>
  <si>
    <t>99120102055</t>
  </si>
  <si>
    <t>Chaos Space Marine Squad</t>
  </si>
  <si>
    <t>Replaced by Chaos Space Marines 99120102098</t>
  </si>
  <si>
    <t>99120102049</t>
  </si>
  <si>
    <t>Chaos Space Marine Forgefiend</t>
  </si>
  <si>
    <t>Repackaged - replaced by 99120102049</t>
  </si>
  <si>
    <t>99120102047</t>
  </si>
  <si>
    <t>Chaos Terminators</t>
  </si>
  <si>
    <t>Repackaged - replaced by 99120102047</t>
  </si>
  <si>
    <t>99120102046</t>
  </si>
  <si>
    <t>Chaos Terminator Lord</t>
  </si>
  <si>
    <t>Repackaged - replaced by 99120102046</t>
  </si>
  <si>
    <t>99120102044</t>
  </si>
  <si>
    <t>Chaos Rhino</t>
  </si>
  <si>
    <t>Repackaged - replaced by 99120102092</t>
  </si>
  <si>
    <t>99120102042</t>
  </si>
  <si>
    <t>Chaos Bikers</t>
  </si>
  <si>
    <t>Repackaged - replaced by 99120102091</t>
  </si>
  <si>
    <t xml:space="preserve">60220102004 </t>
  </si>
  <si>
    <t>Datacards: Chaos Space Marines (Eng)</t>
  </si>
  <si>
    <t>Replaced by new version 60220102007</t>
  </si>
  <si>
    <t>60030102015</t>
  </si>
  <si>
    <t>Codex: Chaos Space Marines (Hb) (Eng)</t>
  </si>
  <si>
    <t>Replaced by new version 60030102020</t>
  </si>
  <si>
    <t>99220299071</t>
  </si>
  <si>
    <t>65-10</t>
  </si>
  <si>
    <t>Age Of Sigmar: Combat Gauge</t>
  </si>
  <si>
    <t>99120102062</t>
  </si>
  <si>
    <t>Chaos Space Marines Heldrake</t>
  </si>
  <si>
    <t>99120102035</t>
  </si>
  <si>
    <t>Chaos Cultists</t>
  </si>
  <si>
    <t>Repackaged - replaced by ETB: Chaos Space Marines Chaos Cultists</t>
  </si>
  <si>
    <t>99120219013</t>
  </si>
  <si>
    <t>71-55</t>
  </si>
  <si>
    <t>Idoneth Deepkin Deepsurge Raiding Party</t>
  </si>
  <si>
    <t>99120110041</t>
  </si>
  <si>
    <t>71-58</t>
  </si>
  <si>
    <t>Necrons Dominion Spearhead</t>
  </si>
  <si>
    <t>99220206002</t>
  </si>
  <si>
    <t>66-88</t>
  </si>
  <si>
    <t>Skaven Dice</t>
  </si>
  <si>
    <t>60220206002</t>
  </si>
  <si>
    <t>90-05-60</t>
  </si>
  <si>
    <t>Warscroll Cards: Flesh-Eater Courts Eng</t>
  </si>
  <si>
    <t>60010299016</t>
  </si>
  <si>
    <t>80-29-60</t>
  </si>
  <si>
    <t>Carrion Empire (Eng)</t>
  </si>
  <si>
    <t>99120212021</t>
  </si>
  <si>
    <t>71-50</t>
  </si>
  <si>
    <t>Daughters Of Khaine Devoted Of Morathi</t>
  </si>
  <si>
    <t>60440199111</t>
  </si>
  <si>
    <t>Kill Team Campaign Pack (Eng) - KT Arena</t>
  </si>
  <si>
    <t>60440699009</t>
  </si>
  <si>
    <t>Kill Team Campaign Pack (Eng) - issue one</t>
  </si>
  <si>
    <t>60040199087</t>
  </si>
  <si>
    <t>43-95-60</t>
  </si>
  <si>
    <t>Index: Xenos 2 (English)</t>
  </si>
  <si>
    <t>99220613001</t>
  </si>
  <si>
    <t>102-19</t>
  </si>
  <si>
    <t>Kill Team: T'au Empire Dice</t>
  </si>
  <si>
    <t>86-79</t>
  </si>
  <si>
    <t>Warhammer 40000: Ork Dice</t>
  </si>
  <si>
    <t>99120199062</t>
  </si>
  <si>
    <t>64-68</t>
  </si>
  <si>
    <t>Warhammer 40000: Promethium Refinery</t>
  </si>
  <si>
    <t>60030201013</t>
  </si>
  <si>
    <t>Battletome: Blades Of Khorne (Hb) Eng</t>
  </si>
  <si>
    <t>99220299072</t>
  </si>
  <si>
    <t>65-15</t>
  </si>
  <si>
    <t>Age Of Sigmar: Wound Counters</t>
  </si>
  <si>
    <t>99220299054</t>
  </si>
  <si>
    <t>86-81</t>
  </si>
  <si>
    <t>Age Of Sigmar: Scenery Dice</t>
  </si>
  <si>
    <t>99220299053</t>
  </si>
  <si>
    <t>86-80</t>
  </si>
  <si>
    <t>Age Of Sigmar: Command &amp; Status Dice</t>
  </si>
  <si>
    <t>99120117007</t>
  </si>
  <si>
    <t>Genestealer Cults Neophtye Hybrid Squad</t>
  </si>
  <si>
    <t>Repackaged - replaced by Genestealer Cults Brood Brothers 99120117010</t>
  </si>
  <si>
    <t>60220699003</t>
  </si>
  <si>
    <t>102-30-60</t>
  </si>
  <si>
    <t>Killzone: Sector Munitorum (English)</t>
  </si>
  <si>
    <t>60120605001</t>
  </si>
  <si>
    <t>102-23-60</t>
  </si>
  <si>
    <t>Kill Team: Drop Force Imperator (Eng)</t>
  </si>
  <si>
    <t>9922999912003</t>
  </si>
  <si>
    <t>66-80</t>
  </si>
  <si>
    <t>Mordheim Turf (3-Pack)</t>
  </si>
  <si>
    <t>99120104061</t>
  </si>
  <si>
    <t>71-68</t>
  </si>
  <si>
    <t>Craftworlds Asuryani Bladehost</t>
  </si>
  <si>
    <t>99221499015</t>
  </si>
  <si>
    <t>05-13</t>
  </si>
  <si>
    <t>Gandalf The White Dice Set</t>
  </si>
  <si>
    <t>60220699004</t>
  </si>
  <si>
    <t>102-31-60</t>
  </si>
  <si>
    <t>Killzone: Sector Mechanicus (English)</t>
  </si>
  <si>
    <t>60220209005</t>
  </si>
  <si>
    <t>89-64-60</t>
  </si>
  <si>
    <t>Warscroll Cards: Gloomspite Gitz (Eng)</t>
  </si>
  <si>
    <t>99220701006</t>
  </si>
  <si>
    <t>110-44</t>
  </si>
  <si>
    <t>Warhammer Underworlds: Eyes Of The Nine Dice Pack</t>
  </si>
  <si>
    <t>99120209034</t>
  </si>
  <si>
    <t>70-91</t>
  </si>
  <si>
    <t>Start Collecting! Greenskinz</t>
  </si>
  <si>
    <t>99220701004</t>
  </si>
  <si>
    <t>110-31</t>
  </si>
  <si>
    <t>Warhammer Underworlds: Eyes Of The Nine Sleeves</t>
  </si>
  <si>
    <t>99220709003</t>
  </si>
  <si>
    <t>110-30</t>
  </si>
  <si>
    <t>Warhammer Underworlds: Zarbag's Gitz Sleeves</t>
  </si>
  <si>
    <t>99220709004</t>
  </si>
  <si>
    <t>110-43</t>
  </si>
  <si>
    <t>Warhammer Underworlds: Zarbag's Gitz Dice Set</t>
  </si>
  <si>
    <t>99220609001</t>
  </si>
  <si>
    <t>102-16</t>
  </si>
  <si>
    <t>Kill Team Deathwatch Dice</t>
  </si>
  <si>
    <t>99121499032</t>
  </si>
  <si>
    <t>30-07</t>
  </si>
  <si>
    <t>The Lord Of The Rings Range Measurers</t>
  </si>
  <si>
    <t>99229999139</t>
  </si>
  <si>
    <t>Crusade Tag</t>
  </si>
  <si>
    <t>99220612001</t>
  </si>
  <si>
    <t>102-17</t>
  </si>
  <si>
    <t>Kill Team Drukhari Dice</t>
  </si>
  <si>
    <t>99220610001</t>
  </si>
  <si>
    <t>102-18</t>
  </si>
  <si>
    <t>Kill Team Necrons Dice</t>
  </si>
  <si>
    <t>99170102001</t>
  </si>
  <si>
    <t>60-27</t>
  </si>
  <si>
    <t>Death Guard Paint Set</t>
  </si>
  <si>
    <t>Repackaged - replaced by 99170102002</t>
  </si>
  <si>
    <t>99120101142</t>
  </si>
  <si>
    <t>01-03</t>
  </si>
  <si>
    <t>Horus Heresy Contemptor Dreadnought</t>
  </si>
  <si>
    <t xml:space="preserve">60010199021 </t>
  </si>
  <si>
    <t>WTD-60</t>
  </si>
  <si>
    <t>Warhammer 40000: Wake The Dead (English)</t>
  </si>
  <si>
    <t>99120101235</t>
  </si>
  <si>
    <t>01-01</t>
  </si>
  <si>
    <t>Space Marines Mark Iv Tactical Squad</t>
  </si>
  <si>
    <t>99120102082</t>
  </si>
  <si>
    <t>Chaos Space Marine Raptors</t>
  </si>
  <si>
    <t>Repackaged - replaced by 99120102087</t>
  </si>
  <si>
    <t>99120116021</t>
  </si>
  <si>
    <t>71-59</t>
  </si>
  <si>
    <t>Adeptus Mechanicus Fist Of The Omnissiah</t>
  </si>
  <si>
    <t>99120102085</t>
  </si>
  <si>
    <t>71-54</t>
  </si>
  <si>
    <t>Death Guard Infection Cluster</t>
  </si>
  <si>
    <t>99120209011</t>
  </si>
  <si>
    <t>Night Goblin Fanatics</t>
  </si>
  <si>
    <t>9923999910206</t>
  </si>
  <si>
    <t>65-03</t>
  </si>
  <si>
    <t>Citadel Tape Measure (D/G Green) (3Pk)</t>
  </si>
  <si>
    <t>99120599002</t>
  </si>
  <si>
    <t>300-05</t>
  </si>
  <si>
    <t>Necromunda Bulkhead Doors</t>
  </si>
  <si>
    <t>99120599001</t>
  </si>
  <si>
    <t>300-04</t>
  </si>
  <si>
    <t>Necromunda Barricades And Objectives</t>
  </si>
  <si>
    <t>60040999004</t>
  </si>
  <si>
    <t>200-29-60</t>
  </si>
  <si>
    <t>The Inaugural Blood Bowl Almanac (Eng)</t>
  </si>
  <si>
    <t xml:space="preserve"> 60220902001</t>
  </si>
  <si>
    <t>200-33-60</t>
  </si>
  <si>
    <t>Blood Bowl: Human Team Card Pack (Eng)</t>
  </si>
  <si>
    <t>99120101241</t>
  </si>
  <si>
    <t>71-57</t>
  </si>
  <si>
    <t>Imperial Fists Supremacy Force</t>
  </si>
  <si>
    <t>71-52</t>
  </si>
  <si>
    <t>Space Marine Primaris Interdiction Force</t>
  </si>
  <si>
    <t>99221499013</t>
  </si>
  <si>
    <t>05-11</t>
  </si>
  <si>
    <t>Mordor Dice Set</t>
  </si>
  <si>
    <t>60220599006</t>
  </si>
  <si>
    <t>300-22-60</t>
  </si>
  <si>
    <t>Necromunda: Cawdor Gang Cards (English)</t>
  </si>
  <si>
    <t>99220599007</t>
  </si>
  <si>
    <t>300-24</t>
  </si>
  <si>
    <t>Necromunda Cawdor Gang Dice Set</t>
  </si>
  <si>
    <t>99120209043</t>
  </si>
  <si>
    <t>Moonclan Grots</t>
  </si>
  <si>
    <t>60040599012</t>
  </si>
  <si>
    <t>300-09-60</t>
  </si>
  <si>
    <t>NECROMUNDA: GANG WAR 1 (ENGLISH)</t>
  </si>
  <si>
    <t>60040599013</t>
  </si>
  <si>
    <t>300-14-60</t>
  </si>
  <si>
    <t>NECROMUNDA: GANG WAR 2 (ENGLISH)</t>
  </si>
  <si>
    <t>60040599014</t>
  </si>
  <si>
    <t>300-19-60</t>
  </si>
  <si>
    <t>NECROMUNDA: GANG WAR 3 (ENGLISH)</t>
  </si>
  <si>
    <t>60040599016</t>
  </si>
  <si>
    <t>300-23-60</t>
  </si>
  <si>
    <t>NECROMUNDA: GANG WAR 4 (ENGLISH)</t>
  </si>
  <si>
    <t>60040999005</t>
  </si>
  <si>
    <t>200-42-60</t>
  </si>
  <si>
    <t>SPIKE! JOURNAL: ISSUE 1 (ENGLISH)</t>
  </si>
  <si>
    <t>60040999006</t>
  </si>
  <si>
    <t>200-43-60</t>
  </si>
  <si>
    <t>SPIKE! JOURNAL: ISSUE 2 (ENGLISH)</t>
  </si>
  <si>
    <t>60040999007</t>
  </si>
  <si>
    <t>200-48-60</t>
  </si>
  <si>
    <t>SPIKE! JOURNAL: ISSUE 3 (ENGLISH)</t>
  </si>
  <si>
    <t>SPIKE! JOURNAL: ISSUE 4 (ENGLISH)</t>
  </si>
  <si>
    <t>99220901001</t>
  </si>
  <si>
    <t>200-22</t>
  </si>
  <si>
    <t>NURGLE'S ROTTERS BLOOD BOWL DICE</t>
  </si>
  <si>
    <t>60220901002</t>
  </si>
  <si>
    <t>200-49-60</t>
  </si>
  <si>
    <t>BLOOD BOWL: NURGLE TEAM CARDS (ENGLISH)</t>
  </si>
  <si>
    <t>99120399004</t>
  </si>
  <si>
    <t>400-11</t>
  </si>
  <si>
    <t>Adeptus Titanicus Civitas Imperialis Sector</t>
  </si>
  <si>
    <t>99120205026</t>
  </si>
  <si>
    <t>84-10</t>
  </si>
  <si>
    <t>Dispossessed Ironbreakers</t>
  </si>
  <si>
    <t>99120202013</t>
  </si>
  <si>
    <t>86-06</t>
  </si>
  <si>
    <t>Empire State Troops</t>
  </si>
  <si>
    <t>99220101013</t>
  </si>
  <si>
    <t>86-72</t>
  </si>
  <si>
    <t>Warhammer 40000: Space Wolves Dice</t>
  </si>
  <si>
    <t xml:space="preserve"> 60010699012</t>
  </si>
  <si>
    <t>Wh40k: Kill Team Starter Set (English)</t>
  </si>
  <si>
    <t>99220606001</t>
  </si>
  <si>
    <t>102-11</t>
  </si>
  <si>
    <t>Kill Team Tyranids Dice</t>
  </si>
  <si>
    <t>99220605001</t>
  </si>
  <si>
    <t>102-15</t>
  </si>
  <si>
    <t>Kill Team Astra Militarum Dice</t>
  </si>
  <si>
    <t>60010199020</t>
  </si>
  <si>
    <t>TC-60</t>
  </si>
  <si>
    <t>Warhammer 40000: Tooth &amp; Claw (English)</t>
  </si>
  <si>
    <t>60220699002</t>
  </si>
  <si>
    <t>102-29-60</t>
  </si>
  <si>
    <t>Killzone: Wall Of Martyrs (English)</t>
  </si>
  <si>
    <t>60170199006</t>
  </si>
  <si>
    <t>Warhammer 40000 Essentials Set (Eng)</t>
  </si>
  <si>
    <t>Repackaged - replaced by 60170199008</t>
  </si>
  <si>
    <t>99220999009</t>
  </si>
  <si>
    <t>200-25</t>
  </si>
  <si>
    <t>Blood Bowl: Goblin Pitch &amp; Dugouts</t>
  </si>
  <si>
    <t>99220910003</t>
  </si>
  <si>
    <t>200-19</t>
  </si>
  <si>
    <t>Blood Bowl: Elf Pitch &amp; Dugouts</t>
  </si>
  <si>
    <t>99220910001</t>
  </si>
  <si>
    <t>200-20</t>
  </si>
  <si>
    <t>Blood Bowl: Elven Union Dice Set</t>
  </si>
  <si>
    <t>99220216001</t>
  </si>
  <si>
    <t>81-04</t>
  </si>
  <si>
    <t>Beasts Of Chaos Dice</t>
  </si>
  <si>
    <t>99070101027</t>
  </si>
  <si>
    <t>41-26</t>
  </si>
  <si>
    <t>Blood Angel Primaris Lieutenant Tolmeron</t>
  </si>
  <si>
    <t>60120601002</t>
  </si>
  <si>
    <t>102-38-60</t>
  </si>
  <si>
    <t>K/T Commander: Torrvald Orksbane (Eng)</t>
  </si>
  <si>
    <t>99170101005</t>
  </si>
  <si>
    <t>60-17</t>
  </si>
  <si>
    <t>Ultramarine Paint Set</t>
  </si>
  <si>
    <t>99170101004</t>
  </si>
  <si>
    <t>60-11</t>
  </si>
  <si>
    <t>Intercessors + Paint Set</t>
  </si>
  <si>
    <t>Repackaged - replaced by 99170101008</t>
  </si>
  <si>
    <t>9918995106306</t>
  </si>
  <si>
    <t>Hashut Copper (6-Pack)</t>
  </si>
  <si>
    <t>Repackaged - replaced by 9918995111606</t>
  </si>
  <si>
    <t>9918995002906</t>
  </si>
  <si>
    <t>Base: Balthasar Gold (12Ml) (6-Pack)</t>
  </si>
  <si>
    <t>Repackaged - replaced by 9918995013006</t>
  </si>
  <si>
    <t>9918995106606</t>
  </si>
  <si>
    <t>Layer: Runelord Brass (12Ml) (6-Pack)</t>
  </si>
  <si>
    <t>Repackaged - replaced by 9918995111706</t>
  </si>
  <si>
    <t>99120103045</t>
  </si>
  <si>
    <t>Warboss Grukk's Boss-Mob</t>
  </si>
  <si>
    <t>Repackaged - replaced by 99120103058</t>
  </si>
  <si>
    <t>99120103020</t>
  </si>
  <si>
    <t>Ork Stormboyz</t>
  </si>
  <si>
    <t>Repackaged - replaced by 99120103056</t>
  </si>
  <si>
    <t>99120103019</t>
  </si>
  <si>
    <t>Ork Nobz</t>
  </si>
  <si>
    <t>E:B200</t>
  </si>
  <si>
    <t>Repackaged - replaced by 99120103055</t>
  </si>
  <si>
    <t>99120103018</t>
  </si>
  <si>
    <t>Ork Gretchin</t>
  </si>
  <si>
    <t>Repackaged - replaced by 99120103053</t>
  </si>
  <si>
    <t>99120103014</t>
  </si>
  <si>
    <t>Ork Lootas And Burnas</t>
  </si>
  <si>
    <t>E:B045</t>
  </si>
  <si>
    <t>Repackaged - replaced by Ork Lootas 99120103054</t>
  </si>
  <si>
    <t>99120103013</t>
  </si>
  <si>
    <t>Ork Boyz</t>
  </si>
  <si>
    <t xml:space="preserve"> Repackaged - replaced by 99120103052</t>
  </si>
  <si>
    <t xml:space="preserve"> 99120103011</t>
  </si>
  <si>
    <t>Ork Warbiker Mob</t>
  </si>
  <si>
    <t>Repackaged - replaced by 99120103057</t>
  </si>
  <si>
    <t>99070103002</t>
  </si>
  <si>
    <t>Ork Painboy</t>
  </si>
  <si>
    <t>Repackaged - replaced by 99070103003</t>
  </si>
  <si>
    <t>99229999165</t>
  </si>
  <si>
    <t>Citadel Water Pot</t>
  </si>
  <si>
    <t>99070102008</t>
  </si>
  <si>
    <t>43-42</t>
  </si>
  <si>
    <t>Cypher</t>
  </si>
  <si>
    <t>99170218001</t>
  </si>
  <si>
    <t>60-21</t>
  </si>
  <si>
    <t>Easy To Build:Stormcast Eternals Paint Set</t>
  </si>
  <si>
    <t>99810101020</t>
  </si>
  <si>
    <t>44-40</t>
  </si>
  <si>
    <t>Sammael (Corvex)</t>
  </si>
  <si>
    <t>99239999094</t>
  </si>
  <si>
    <t>66-10</t>
  </si>
  <si>
    <t>Citadel Tweezers</t>
  </si>
  <si>
    <t>99239999077</t>
  </si>
  <si>
    <t>66-69</t>
  </si>
  <si>
    <t>Citadel Cutting Mat</t>
  </si>
  <si>
    <t>9923069900103</t>
  </si>
  <si>
    <t>102-03</t>
  </si>
  <si>
    <t>Kill Team Tape Measure (3-Pack)</t>
  </si>
  <si>
    <t>99220912002</t>
  </si>
  <si>
    <t>200-50</t>
  </si>
  <si>
    <t>Blood Bowl Dark Elf Pitch &amp; Dugouts</t>
  </si>
  <si>
    <t>99220912001</t>
  </si>
  <si>
    <t>200-37</t>
  </si>
  <si>
    <t>Blood Bowl: Dark Elf Team Dice Set</t>
  </si>
  <si>
    <t>99220718002</t>
  </si>
  <si>
    <t>110-15</t>
  </si>
  <si>
    <t>Wh/Uw: Steelheart's Champions Sleeves</t>
  </si>
  <si>
    <t>99220718001</t>
  </si>
  <si>
    <t>110-09</t>
  </si>
  <si>
    <t>Wh Underworlds: Stormcast Eternals Dice</t>
  </si>
  <si>
    <t>99220706002</t>
  </si>
  <si>
    <t>110-19</t>
  </si>
  <si>
    <t>Wh Underworlds:Spiteclaw's Swarm Sleeves</t>
  </si>
  <si>
    <t>99220706001</t>
  </si>
  <si>
    <t>110-13</t>
  </si>
  <si>
    <t>Wh Underworlds: Skaven Dice Pack</t>
  </si>
  <si>
    <t>99220705002</t>
  </si>
  <si>
    <t>110-20</t>
  </si>
  <si>
    <t>Wh Underworlds: The Chosen Axes Sleeves</t>
  </si>
  <si>
    <t>99220705001</t>
  </si>
  <si>
    <t>110-14</t>
  </si>
  <si>
    <t>Wh Underworlds: Fyreslayers Dice</t>
  </si>
  <si>
    <t>99220701002</t>
  </si>
  <si>
    <t>110-16</t>
  </si>
  <si>
    <t>Wh Underworlds: Garrek's Reavers Sleeves</t>
  </si>
  <si>
    <t xml:space="preserve"> 99220701001</t>
  </si>
  <si>
    <t>110-10</t>
  </si>
  <si>
    <t>Wh Underworlds: Khorne Bloodbound Dice</t>
  </si>
  <si>
    <t>99220699003</t>
  </si>
  <si>
    <t>102-08</t>
  </si>
  <si>
    <t>Kill Team: Gellerpox Infected Dice</t>
  </si>
  <si>
    <t>99220699001</t>
  </si>
  <si>
    <t>101-01</t>
  </si>
  <si>
    <t>Citadel Combat Cards: Space Marines + Chaos</t>
  </si>
  <si>
    <t>99220617001</t>
  </si>
  <si>
    <t>102-12</t>
  </si>
  <si>
    <t>Kill Team: Genestealer Cults Dice Set</t>
  </si>
  <si>
    <t>99220616001</t>
  </si>
  <si>
    <t>102-09</t>
  </si>
  <si>
    <t>Kill Team Adeptus Mechanicus Dice</t>
  </si>
  <si>
    <t>99220603001</t>
  </si>
  <si>
    <t>102-14</t>
  </si>
  <si>
    <t>Kill Team Orks Dice</t>
  </si>
  <si>
    <t>99220601001</t>
  </si>
  <si>
    <t>102-13</t>
  </si>
  <si>
    <t>Kill Team Space Wolves Dice</t>
  </si>
  <si>
    <t>99220599005</t>
  </si>
  <si>
    <t>300-12</t>
  </si>
  <si>
    <t>Necromunda Orlock Gang Dice Set</t>
  </si>
  <si>
    <t>99220599004</t>
  </si>
  <si>
    <t>300-08</t>
  </si>
  <si>
    <t>Necromunda: Underhive Badzone Delta-7</t>
  </si>
  <si>
    <t>99220299070</t>
  </si>
  <si>
    <t>65-14</t>
  </si>
  <si>
    <t>Malign Portents Combat Gauge</t>
  </si>
  <si>
    <t>99220299069</t>
  </si>
  <si>
    <t>86-77</t>
  </si>
  <si>
    <t>Age Of Sigmar: Malign Portents Dice</t>
  </si>
  <si>
    <t>99220218002</t>
  </si>
  <si>
    <t>66-77</t>
  </si>
  <si>
    <t>Age Of Sigmar: Stormcast Eternals Dice</t>
  </si>
  <si>
    <t>99220207001</t>
  </si>
  <si>
    <t>66-76</t>
  </si>
  <si>
    <t>Age Of Sigmar: Nighthaunt Dice</t>
  </si>
  <si>
    <t>99220108003</t>
  </si>
  <si>
    <t>54-18</t>
  </si>
  <si>
    <t>Imperial Knight Battle Gauge</t>
  </si>
  <si>
    <t>99220108001</t>
  </si>
  <si>
    <t>86-69</t>
  </si>
  <si>
    <t>Warhammer 40000: Imperial Knight Dice</t>
  </si>
  <si>
    <t>99220101012</t>
  </si>
  <si>
    <t>86-71</t>
  </si>
  <si>
    <t>Warhammer 40000: Adeptus Astartes Dice</t>
  </si>
  <si>
    <t>99120219003</t>
  </si>
  <si>
    <t>92-05</t>
  </si>
  <si>
    <t>Wanderers Glade Guard</t>
  </si>
  <si>
    <t>99120218010</t>
  </si>
  <si>
    <t>70-96</t>
  </si>
  <si>
    <t>Start Collecting! Stormcast Eternals</t>
  </si>
  <si>
    <t>99120101210</t>
  </si>
  <si>
    <t>48-48</t>
  </si>
  <si>
    <t>30 Yrs Of 40K Primaris Veteran Sergeant</t>
  </si>
  <si>
    <t>99120101204</t>
  </si>
  <si>
    <t>44-72</t>
  </si>
  <si>
    <t>Dark Angels Primaris Intercessors</t>
  </si>
  <si>
    <t>99120101203</t>
  </si>
  <si>
    <t>44-73</t>
  </si>
  <si>
    <t>Dark Angels Primaris Hellblasters</t>
  </si>
  <si>
    <t>99120101202</t>
  </si>
  <si>
    <t>44-74</t>
  </si>
  <si>
    <t>Dark Angels Primaris Aggressors</t>
  </si>
  <si>
    <t>99120101201</t>
  </si>
  <si>
    <t>41-27</t>
  </si>
  <si>
    <t>Blood Angels Primaris Intercessors</t>
  </si>
  <si>
    <t>99120101200</t>
  </si>
  <si>
    <t>41-28</t>
  </si>
  <si>
    <t>Blood Angels Primaris Hellblasters</t>
  </si>
  <si>
    <t>99120101199</t>
  </si>
  <si>
    <t>41-29</t>
  </si>
  <si>
    <t>Blood Angels Primaris Aggressors</t>
  </si>
  <si>
    <t>99070205006</t>
  </si>
  <si>
    <t>84-22</t>
  </si>
  <si>
    <t>Fyreslayers Battlesmith</t>
  </si>
  <si>
    <t>99070205005</t>
  </si>
  <si>
    <t>84-21</t>
  </si>
  <si>
    <t>Fyreslayers Auric Runemaster</t>
  </si>
  <si>
    <t>60220912001</t>
  </si>
  <si>
    <t>200-44-60</t>
  </si>
  <si>
    <t>Blood Bowl: Dark Elf Team Cards (Eng)</t>
  </si>
  <si>
    <t>60220905001</t>
  </si>
  <si>
    <t>200-45-60</t>
  </si>
  <si>
    <t>Blood Bowl: Dwarf Team Cards (English)</t>
  </si>
  <si>
    <t>60220699001</t>
  </si>
  <si>
    <t>102-02-60</t>
  </si>
  <si>
    <t>Kill Team Data Cards (English)</t>
  </si>
  <si>
    <t>60220599002</t>
  </si>
  <si>
    <t>300-07-60</t>
  </si>
  <si>
    <t>Escher Gang Cards (Eng)</t>
  </si>
  <si>
    <t>60220599001</t>
  </si>
  <si>
    <t>300-06-60</t>
  </si>
  <si>
    <t>Goliath Gang Cards (Eng)</t>
  </si>
  <si>
    <t>60220207006</t>
  </si>
  <si>
    <t>91-15-60</t>
  </si>
  <si>
    <t>Warscroll Cards: Nighthaunt (Eng)</t>
  </si>
  <si>
    <t>60040299069</t>
  </si>
  <si>
    <t>80-25-60</t>
  </si>
  <si>
    <t>Age Of Sigmar: Malign Portents (Hb) Eng</t>
  </si>
  <si>
    <t>60040299066</t>
  </si>
  <si>
    <t>80-20-60</t>
  </si>
  <si>
    <t>Age Of Sigmar: Skirmish (English)</t>
  </si>
  <si>
    <t>60040199086</t>
  </si>
  <si>
    <t>43-94-60</t>
  </si>
  <si>
    <t>Index: Xenos 1 (English)</t>
  </si>
  <si>
    <t>60040108005</t>
  </si>
  <si>
    <t>43-91-60</t>
  </si>
  <si>
    <t>Index: Imperium 1 (English)</t>
  </si>
  <si>
    <t>60010799004</t>
  </si>
  <si>
    <t>WQ-03-60</t>
  </si>
  <si>
    <t>Wh Quest: Shadows Over Hammerhal (Eng)</t>
  </si>
  <si>
    <t>99120909003</t>
  </si>
  <si>
    <t>200-28</t>
  </si>
  <si>
    <t>Blood Bowl: Goblins</t>
  </si>
  <si>
    <t>99120212014</t>
  </si>
  <si>
    <t>85-17</t>
  </si>
  <si>
    <t>Daughters Of Khaine Blood Coven</t>
  </si>
  <si>
    <t>99220699002</t>
  </si>
  <si>
    <t>102-20</t>
  </si>
  <si>
    <t>Kill Team: Elucidian Starstriders Dice</t>
  </si>
  <si>
    <t>9918995500306</t>
  </si>
  <si>
    <t>26-03</t>
  </si>
  <si>
    <t>Texture: Lustrian Undergrowth (12Ml) 6Pk</t>
  </si>
  <si>
    <t>99120103015</t>
  </si>
  <si>
    <t>Ork Boyz (Push Fit)</t>
  </si>
  <si>
    <t>60220216002</t>
  </si>
  <si>
    <t>81-05-60</t>
  </si>
  <si>
    <t>Warscroll Cards: Beasts Of Chaos (Eng)</t>
  </si>
  <si>
    <t>60010799005</t>
  </si>
  <si>
    <t>Warhammer Underworlds: Shadespire (Eng)</t>
  </si>
  <si>
    <t>Replaced by 60010799006 Warhammer Underworlds: Nightvault (Eng)</t>
  </si>
  <si>
    <t>60220218002</t>
  </si>
  <si>
    <t>96-05-60</t>
  </si>
  <si>
    <t>Warscroll Cards: Stormcast Eternals Eng</t>
  </si>
  <si>
    <t>60010799002</t>
  </si>
  <si>
    <t>WQ-01-60</t>
  </si>
  <si>
    <t>Warhammer Quest: Silver Tower (English)</t>
  </si>
  <si>
    <t>60010101002</t>
  </si>
  <si>
    <t>HH2-60</t>
  </si>
  <si>
    <t>Horus Heresy: Burning Of Prospero (Eng)</t>
  </si>
  <si>
    <t>60030207008</t>
  </si>
  <si>
    <t>91-03-60</t>
  </si>
  <si>
    <t>Battletome: Flesh-Eater Courts (Hb) Eng</t>
  </si>
  <si>
    <t>99120201059</t>
  </si>
  <si>
    <t>71-03</t>
  </si>
  <si>
    <t>Easy To Build: Blood Warriors</t>
  </si>
  <si>
    <t>60010101001</t>
  </si>
  <si>
    <t>HH1-60</t>
  </si>
  <si>
    <t>Horus Heresy: Betrayal At Calth (Eng)</t>
  </si>
  <si>
    <t>99239999080</t>
  </si>
  <si>
    <t>60-55</t>
  </si>
  <si>
    <t>Citadel Project Box</t>
  </si>
  <si>
    <t>60010699011</t>
  </si>
  <si>
    <t>REN-60</t>
  </si>
  <si>
    <t>Imperial Knights: Renegade (English</t>
  </si>
  <si>
    <t>9918995500506</t>
  </si>
  <si>
    <t>26-05</t>
  </si>
  <si>
    <t>Texture: Blackfire Earth (12Ml) (6-Pack)</t>
  </si>
  <si>
    <t>99120207045</t>
  </si>
  <si>
    <t>Deathrattle Black Knights</t>
  </si>
  <si>
    <t>99230699002</t>
  </si>
  <si>
    <t>102-04</t>
  </si>
  <si>
    <t>Kill Team Carry Case</t>
  </si>
  <si>
    <t>99120117009</t>
  </si>
  <si>
    <t>71-65</t>
  </si>
  <si>
    <t>Battleforce: Genestealer Cults Insurrection</t>
  </si>
  <si>
    <t>99120103049</t>
  </si>
  <si>
    <t>71-63</t>
  </si>
  <si>
    <t>Battleforce: Orks Kult Of Speed</t>
  </si>
  <si>
    <t>60220999003</t>
  </si>
  <si>
    <t>200-39-60</t>
  </si>
  <si>
    <t>Blood Bowl: Star Players Card Deck (Eng)</t>
  </si>
  <si>
    <t>60220906001</t>
  </si>
  <si>
    <t>200-41-60</t>
  </si>
  <si>
    <t>Blood Bowl: Skaven Team Cards (English</t>
  </si>
  <si>
    <t>60220901001</t>
  </si>
  <si>
    <t>200-40-60</t>
  </si>
  <si>
    <t>Blood Bowl: Chaos Chosen Team Card Pack (Eng)</t>
  </si>
  <si>
    <t xml:space="preserve">60220799002 </t>
  </si>
  <si>
    <t>WQ-04-60</t>
  </si>
  <si>
    <t>Wh Quest: Chaos Adversary Cards (Eng)</t>
  </si>
  <si>
    <t>60220599004</t>
  </si>
  <si>
    <t>300-18-60</t>
  </si>
  <si>
    <t>Necromunda: Van Saar Gang Cards (Eng)</t>
  </si>
  <si>
    <t>60220299010</t>
  </si>
  <si>
    <t>80-26-60</t>
  </si>
  <si>
    <t>Age Of Sigmar: Malign Portents Cards Eng</t>
  </si>
  <si>
    <t>60220299009</t>
  </si>
  <si>
    <t>80-24-60</t>
  </si>
  <si>
    <t>Age Of Sigmar Open War Cards (Eng)</t>
  </si>
  <si>
    <t>60220299008</t>
  </si>
  <si>
    <t>80-18</t>
  </si>
  <si>
    <t>Warscroll Cards Dispenser</t>
  </si>
  <si>
    <t>60220219001</t>
  </si>
  <si>
    <t>87-02-60</t>
  </si>
  <si>
    <t>Warscroll Cards: Idoneth Deepkin (Eng)</t>
  </si>
  <si>
    <t>60220213002</t>
  </si>
  <si>
    <t>95-02-60</t>
  </si>
  <si>
    <t>Warscrolls: Beastclaw Raiders (Eng)</t>
  </si>
  <si>
    <t>60220212004</t>
  </si>
  <si>
    <t>85-06-60</t>
  </si>
  <si>
    <t>Warscrolls: Daughters Of Khaine (Eng)</t>
  </si>
  <si>
    <t>60220209004</t>
  </si>
  <si>
    <t>89-04-60</t>
  </si>
  <si>
    <t>Warscroll Cards: Ironjawz (English)</t>
  </si>
  <si>
    <t>60220209003</t>
  </si>
  <si>
    <t>89-05-60</t>
  </si>
  <si>
    <t>Warscroll Cards: Bonesplitterz (Eng)</t>
  </si>
  <si>
    <t>60220207005</t>
  </si>
  <si>
    <t>91-05-60</t>
  </si>
  <si>
    <t>Warscroll Cards: Legions Of Nagash (Eng)</t>
  </si>
  <si>
    <t>60220205002</t>
  </si>
  <si>
    <t>84-03-60</t>
  </si>
  <si>
    <t>Warscrolls: Kharadron Overlords (Eng</t>
  </si>
  <si>
    <t>60220204002</t>
  </si>
  <si>
    <t>Warscroll Cards: Sylvaneth (Eng)</t>
  </si>
  <si>
    <t>60220201006</t>
  </si>
  <si>
    <t>83-59-60</t>
  </si>
  <si>
    <t>Warscrolls: Maggotkin Of Nurgle (Eng)</t>
  </si>
  <si>
    <t>60220201005</t>
  </si>
  <si>
    <t>83-46-60</t>
  </si>
  <si>
    <t>60220201003</t>
  </si>
  <si>
    <t>60030213004</t>
  </si>
  <si>
    <t>95-01-60</t>
  </si>
  <si>
    <t>Battletome: Beastclaw Raiders (Sb) (Eng)</t>
  </si>
  <si>
    <t>60030209009</t>
  </si>
  <si>
    <t>89-02-60</t>
  </si>
  <si>
    <t>Battletome: Bonesplitterz (Sb) (Eng)</t>
  </si>
  <si>
    <t>60030208006</t>
  </si>
  <si>
    <t>88-01-60</t>
  </si>
  <si>
    <t>Battletome: Seraphon (English)</t>
  </si>
  <si>
    <t>60030206005</t>
  </si>
  <si>
    <t>90-01-60</t>
  </si>
  <si>
    <t xml:space="preserve"> Battletome: Skaven Pestilens (Hb) (Eng) </t>
  </si>
  <si>
    <t>60030205007</t>
  </si>
  <si>
    <t>Battletome: Fyreslayers (Hardback) (Eng)</t>
  </si>
  <si>
    <t>99120205031</t>
  </si>
  <si>
    <t>71-64</t>
  </si>
  <si>
    <t>Battleforce:Kharadron Overlords Skyfleet</t>
  </si>
  <si>
    <t>99070101028</t>
  </si>
  <si>
    <t>44-71</t>
  </si>
  <si>
    <t>Dark Angels Primaris Lieutenant Zakariah</t>
  </si>
  <si>
    <t>60040102011</t>
  </si>
  <si>
    <t>43-97-60</t>
  </si>
  <si>
    <t>Index: Chaos (English)</t>
  </si>
  <si>
    <t>99120202025</t>
  </si>
  <si>
    <t>86-12</t>
  </si>
  <si>
    <t>Empire Greatswords</t>
  </si>
  <si>
    <t>60010199019</t>
  </si>
  <si>
    <t>FB-60</t>
  </si>
  <si>
    <t>Warhammer 40000: Forgebane (English)</t>
  </si>
  <si>
    <t>99120201060</t>
  </si>
  <si>
    <t>71-04</t>
  </si>
  <si>
    <t>Easy To Build: Bloodreavers</t>
  </si>
  <si>
    <t>99220707002</t>
  </si>
  <si>
    <t>110-18</t>
  </si>
  <si>
    <t>Warhammer Underworlds: Sepulchral Guard Sleeves</t>
  </si>
  <si>
    <t>99220709002</t>
  </si>
  <si>
    <t>110-17</t>
  </si>
  <si>
    <t>Warhammer Underworlds: Ironskull's Boyz Sleeves</t>
  </si>
  <si>
    <t>9922999911103</t>
  </si>
  <si>
    <t>66-72</t>
  </si>
  <si>
    <t>Citadel Grass 15G (3-Pack)</t>
  </si>
  <si>
    <t>9922999911203</t>
  </si>
  <si>
    <t>66-73</t>
  </si>
  <si>
    <t>Citadel Sand 100g (3-Pack)</t>
  </si>
  <si>
    <t>99229999138</t>
  </si>
  <si>
    <t>Citadel 32mm Round Bases X10</t>
  </si>
  <si>
    <t>99810104008</t>
  </si>
  <si>
    <t>46-43</t>
  </si>
  <si>
    <t>Eldar Warp Spiders</t>
  </si>
  <si>
    <t>65-34</t>
  </si>
  <si>
    <t>Warhammer 40000: Combat Gauge</t>
  </si>
  <si>
    <t>99179999023</t>
  </si>
  <si>
    <t>60-29</t>
  </si>
  <si>
    <t>Blighted Tundra Paint Set</t>
  </si>
  <si>
    <t>99179999022</t>
  </si>
  <si>
    <t>60-28</t>
  </si>
  <si>
    <t>Cursed Wastes Paint Set</t>
  </si>
  <si>
    <t>99179958001</t>
  </si>
  <si>
    <t>60-45</t>
  </si>
  <si>
    <t>Citadel Air Paint Set (2017)</t>
  </si>
  <si>
    <t>99129915025</t>
  </si>
  <si>
    <t>97-22</t>
  </si>
  <si>
    <t>Daemons Of Khorne Bloodthrone</t>
  </si>
  <si>
    <t>99129915022</t>
  </si>
  <si>
    <t>97-15</t>
  </si>
  <si>
    <t>Daemons Of Khorne Bloodcrushers</t>
  </si>
  <si>
    <t>99120299046</t>
  </si>
  <si>
    <t>64-62</t>
  </si>
  <si>
    <t>Age Of Sigmar: Tempest's Eye</t>
  </si>
  <si>
    <t>99120299045</t>
  </si>
  <si>
    <t>64-61</t>
  </si>
  <si>
    <t>Age Of Sigmar: Hammerhal</t>
  </si>
  <si>
    <t>99120299044</t>
  </si>
  <si>
    <t>64-60</t>
  </si>
  <si>
    <t>Age Of Sigmar: Anvilgard</t>
  </si>
  <si>
    <t>99120218024</t>
  </si>
  <si>
    <t>96-33</t>
  </si>
  <si>
    <t>Stormcast Eternals Vandus Hammerhand</t>
  </si>
  <si>
    <t>99120209044</t>
  </si>
  <si>
    <t>89-22</t>
  </si>
  <si>
    <t>Spiderfang Arachnarok Spider</t>
  </si>
  <si>
    <t>99120201069</t>
  </si>
  <si>
    <t>83-42</t>
  </si>
  <si>
    <t>Korghos Khul &amp; Bloodsecrator</t>
  </si>
  <si>
    <t>99120102027</t>
  </si>
  <si>
    <t>35-31</t>
  </si>
  <si>
    <t>99120101164</t>
  </si>
  <si>
    <t>41-18</t>
  </si>
  <si>
    <t>Blood Angels Assault Squad</t>
  </si>
  <si>
    <t>99120101162</t>
  </si>
  <si>
    <t>41-20</t>
  </si>
  <si>
    <t xml:space="preserve">Blood Angels Sternguard Veteran Squad </t>
  </si>
  <si>
    <t>99070218008</t>
  </si>
  <si>
    <t>96-25</t>
  </si>
  <si>
    <t>Stormcast Eternals Lord-Veritant</t>
  </si>
  <si>
    <t>99070218001</t>
  </si>
  <si>
    <t>96-19</t>
  </si>
  <si>
    <t>Stormcast Eternals Knight-Heraldor</t>
  </si>
  <si>
    <t>99070205012</t>
  </si>
  <si>
    <t>84-31</t>
  </si>
  <si>
    <t>Kharadron Overlords Arkanaut Admira</t>
  </si>
  <si>
    <t>99070205011</t>
  </si>
  <si>
    <t>84-33</t>
  </si>
  <si>
    <t>Kharadron Overlords Aether-Khemist</t>
  </si>
  <si>
    <t>99070205010</t>
  </si>
  <si>
    <t>84-32</t>
  </si>
  <si>
    <t>Kharadron Overlords Aetheric-Navigator</t>
  </si>
  <si>
    <t>99070205007</t>
  </si>
  <si>
    <t>84-20</t>
  </si>
  <si>
    <t>Fyreslayers Grimwrath Berzerker</t>
  </si>
  <si>
    <t>99070201020</t>
  </si>
  <si>
    <t>83-78</t>
  </si>
  <si>
    <t>Tzeentch Arcanites Gaunt Summoner</t>
  </si>
  <si>
    <t>99070201018</t>
  </si>
  <si>
    <t>83-33</t>
  </si>
  <si>
    <t>Chaos Sorcerer Lord</t>
  </si>
  <si>
    <t>99070201017</t>
  </si>
  <si>
    <t>Exalted Deathbringer With Impaling Spear</t>
  </si>
  <si>
    <t>99070201016</t>
  </si>
  <si>
    <t>83-38</t>
  </si>
  <si>
    <t>Aspiring Deathbringer With Goreaxe</t>
  </si>
  <si>
    <t>99070201014</t>
  </si>
  <si>
    <t>83-52</t>
  </si>
  <si>
    <t>Gaunt Summoner On Disc Of Tzeentch</t>
  </si>
  <si>
    <t>99070201013</t>
  </si>
  <si>
    <t>83-22</t>
  </si>
  <si>
    <t>Khorne Bloodbound Skarr Bloodwrath</t>
  </si>
  <si>
    <t>99070201012</t>
  </si>
  <si>
    <t>Khorne Bloodbound Slaughterpriest</t>
  </si>
  <si>
    <t>99070201011</t>
  </si>
  <si>
    <t>Khorne Bloodbound Skullgrinder</t>
  </si>
  <si>
    <t>99070201010</t>
  </si>
  <si>
    <t>83-30</t>
  </si>
  <si>
    <t>Khorne Bloodbound Exalted Deathbringer</t>
  </si>
  <si>
    <t>99070201004</t>
  </si>
  <si>
    <t>83-21</t>
  </si>
  <si>
    <t xml:space="preserve">Chaos Lord  </t>
  </si>
  <si>
    <t>99070108003</t>
  </si>
  <si>
    <t>52-12</t>
  </si>
  <si>
    <t>Officio Assassinorum Callidus Assassin</t>
  </si>
  <si>
    <t>99070102001</t>
  </si>
  <si>
    <t>43-18</t>
  </si>
  <si>
    <t>Chaos Space Marine Aspiring Champion</t>
  </si>
  <si>
    <t>99070101035</t>
  </si>
  <si>
    <t>44-70</t>
  </si>
  <si>
    <t>Dark Angels Interrogator-Chaplain</t>
  </si>
  <si>
    <t>99070101033</t>
  </si>
  <si>
    <t>48-72</t>
  </si>
  <si>
    <t>Space Marine Librarian In Terminator Armour</t>
  </si>
  <si>
    <t>99070101020</t>
  </si>
  <si>
    <t>53-18</t>
  </si>
  <si>
    <t>Space Wolves Wolf Lord Krom</t>
  </si>
  <si>
    <t>99070101016</t>
  </si>
  <si>
    <t>41-16</t>
  </si>
  <si>
    <t>Blood Angels Captain: Terminator Armour</t>
  </si>
  <si>
    <t>99120207044</t>
  </si>
  <si>
    <t>91-18</t>
  </si>
  <si>
    <t>Nighthaunt Tormented Spirit</t>
  </si>
  <si>
    <t>99120212005</t>
  </si>
  <si>
    <t>85-09</t>
  </si>
  <si>
    <t>Dark Elf Dreadlord On Black Dragon</t>
  </si>
  <si>
    <t>99070117002</t>
  </si>
  <si>
    <t>51-54</t>
  </si>
  <si>
    <t>Genestealer Cults Acolyte Iconward</t>
  </si>
  <si>
    <t>99070117001</t>
  </si>
  <si>
    <t>51-55</t>
  </si>
  <si>
    <t>Genestealer Cults Upgrades</t>
  </si>
  <si>
    <t>99070112006</t>
  </si>
  <si>
    <t>45-23</t>
  </si>
  <si>
    <t>Drukhari Succubus</t>
  </si>
  <si>
    <t>60010299010</t>
  </si>
  <si>
    <t>80-19-60</t>
  </si>
  <si>
    <t>Age Of Sigmar: Thunder &amp; Blood</t>
  </si>
  <si>
    <t>Will be replaced with an updated version for AoS v2.0</t>
  </si>
  <si>
    <t>60010299007</t>
  </si>
  <si>
    <t>Storm Of Sigmar (English)</t>
  </si>
  <si>
    <t>60040299064</t>
  </si>
  <si>
    <t>80-16-60</t>
  </si>
  <si>
    <t>Getting Started With Age Of Sigmar (Eng)</t>
  </si>
  <si>
    <t>99170299014</t>
  </si>
  <si>
    <t>60-10</t>
  </si>
  <si>
    <t>Stormcast Eternals + Paint Set</t>
  </si>
  <si>
    <t>99170201001</t>
  </si>
  <si>
    <t>60-20</t>
  </si>
  <si>
    <t>Easy To Build: Khorne Bloodbound Pnt Set</t>
  </si>
  <si>
    <t>99120218011</t>
  </si>
  <si>
    <t>71-01</t>
  </si>
  <si>
    <t>Easy To Build: Liberators</t>
  </si>
  <si>
    <t>60220218001</t>
  </si>
  <si>
    <t>Warscroll Cards: Stormcast Eternals</t>
  </si>
  <si>
    <t>Replaced by updated version 60030218006</t>
  </si>
  <si>
    <t>99170299013</t>
  </si>
  <si>
    <t>80-17-99</t>
  </si>
  <si>
    <t>Age Of Sigmar Citadel Essentials Set Eng</t>
  </si>
  <si>
    <t>99179999024</t>
  </si>
  <si>
    <t>60-30</t>
  </si>
  <si>
    <t>Shattered Dominion Paint Set</t>
  </si>
  <si>
    <t>99220999010</t>
  </si>
  <si>
    <t>200-31</t>
  </si>
  <si>
    <t>Blood Bowl Special Play Card Sleeves</t>
  </si>
  <si>
    <t>99220999002</t>
  </si>
  <si>
    <t>200-06</t>
  </si>
  <si>
    <t>Blood Bowl: Skaven And Dwarf Pitch</t>
  </si>
  <si>
    <t>99220909002</t>
  </si>
  <si>
    <t>200-26</t>
  </si>
  <si>
    <t>Blood Bowl Goblin Team Dice Set</t>
  </si>
  <si>
    <t>99220909001</t>
  </si>
  <si>
    <t>200-16</t>
  </si>
  <si>
    <t>Blood Bowl The Gouged Eye Dice Set</t>
  </si>
  <si>
    <t>99220906002</t>
  </si>
  <si>
    <t>200-12</t>
  </si>
  <si>
    <t>Blood Bowl Skaven Team Dice Set</t>
  </si>
  <si>
    <t>99220905001</t>
  </si>
  <si>
    <t>200-18</t>
  </si>
  <si>
    <t>Blood Bowl: The Dwarf Giants Dice Set</t>
  </si>
  <si>
    <t>99220902001</t>
  </si>
  <si>
    <t>200-14</t>
  </si>
  <si>
    <t>Blood Bowl Reikland Reavers Dice Set</t>
  </si>
  <si>
    <t>99220599003</t>
  </si>
  <si>
    <t>300-03</t>
  </si>
  <si>
    <t>Necromunda Goliath Gang Dice Se</t>
  </si>
  <si>
    <t>99220599002</t>
  </si>
  <si>
    <t>300-02</t>
  </si>
  <si>
    <t>Necromunda Escher Gang Dice Set</t>
  </si>
  <si>
    <t xml:space="preserve">Have been re-inserted into the Trade Range 14-June </t>
  </si>
  <si>
    <t>99120218026</t>
  </si>
  <si>
    <t>100-11</t>
  </si>
  <si>
    <t>Stormcast Eternals Hammerstrike Brethren</t>
  </si>
  <si>
    <t>99120213016</t>
  </si>
  <si>
    <t>95-12</t>
  </si>
  <si>
    <t>Beastclaw Raiders Stonehorn</t>
  </si>
  <si>
    <t>99120209031</t>
  </si>
  <si>
    <t>89-30</t>
  </si>
  <si>
    <t>Ironjawz Orruk Gore-Gruntas</t>
  </si>
  <si>
    <t>99120206020</t>
  </si>
  <si>
    <t>90-23</t>
  </si>
  <si>
    <t>Skaven Pestilens Plagueclaw</t>
  </si>
  <si>
    <t>99120205019</t>
  </si>
  <si>
    <t>84-38</t>
  </si>
  <si>
    <t>Kharadron Overlords Grundstok Gunhauler</t>
  </si>
  <si>
    <t>99070599001</t>
  </si>
  <si>
    <t>300-15</t>
  </si>
  <si>
    <t>Necromunda 25mm Bases (x10)</t>
  </si>
  <si>
    <t>99070218004</t>
  </si>
  <si>
    <t>96-15</t>
  </si>
  <si>
    <t>Stormcast Eternals Lord-Celestant</t>
  </si>
  <si>
    <t>99070209004</t>
  </si>
  <si>
    <t>89-28</t>
  </si>
  <si>
    <t>Ironjawz Orruk Warchanter</t>
  </si>
  <si>
    <t>99070205013</t>
  </si>
  <si>
    <t>84-34</t>
  </si>
  <si>
    <t>Kharadron Overlords Endrinmaster</t>
  </si>
  <si>
    <t>99070204002</t>
  </si>
  <si>
    <t>92-16</t>
  </si>
  <si>
    <t>Sylvaneth Branchwych</t>
  </si>
  <si>
    <t>99070201015</t>
  </si>
  <si>
    <t>Slaughterpriest With Hackblade</t>
  </si>
  <si>
    <t>60220999001</t>
  </si>
  <si>
    <t>200-03-60</t>
  </si>
  <si>
    <t>Blood Bowl Cards: Hall Of Fame Pack Eng</t>
  </si>
  <si>
    <t>60220910001</t>
  </si>
  <si>
    <t>200-21-60</t>
  </si>
  <si>
    <t>Blood Bowl: Elven Union Cards (Eng)</t>
  </si>
  <si>
    <t>60220909001</t>
  </si>
  <si>
    <t>200-34-60</t>
  </si>
  <si>
    <t>Blood Bowl: Orc Team Card Pack (English)</t>
  </si>
  <si>
    <t>60220902001</t>
  </si>
  <si>
    <t>60220599003</t>
  </si>
  <si>
    <t>300-13-60</t>
  </si>
  <si>
    <t>Orlock Gang Cards (English)</t>
  </si>
  <si>
    <t>99120209042</t>
  </si>
  <si>
    <t>89-17</t>
  </si>
  <si>
    <t>Fellwater Troggoths</t>
  </si>
  <si>
    <t>99819999001</t>
  </si>
  <si>
    <t>WD-17</t>
  </si>
  <si>
    <t>Grombrindal: 40 Years Of White Dwarf</t>
  </si>
  <si>
    <t>99070201019</t>
  </si>
  <si>
    <t>Tzeentch Arcanites Tzeentch Magister</t>
  </si>
  <si>
    <t>60040299065</t>
  </si>
  <si>
    <t>Age Of Sigmar: General's Handbook (Eng)</t>
  </si>
  <si>
    <t>60040299047</t>
  </si>
  <si>
    <t>Warhammer: Age Of Sigmar Book (English)</t>
  </si>
  <si>
    <t>60030218004</t>
  </si>
  <si>
    <t>Battletome: Stormcast Eternals (Hb) Eng</t>
  </si>
  <si>
    <t>84-13</t>
  </si>
  <si>
    <t>Ironweld Arsenal Gyrobomber</t>
  </si>
  <si>
    <t>99220709001</t>
  </si>
  <si>
    <t>110-11</t>
  </si>
  <si>
    <t>Wh Underworlds: Ironjawz Dice Pack</t>
  </si>
  <si>
    <t>99220707001</t>
  </si>
  <si>
    <t>110-12</t>
  </si>
  <si>
    <t>Wh Underworlds: Deathrattle Dice Pack</t>
  </si>
  <si>
    <t>99220199062</t>
  </si>
  <si>
    <t>40-44</t>
  </si>
  <si>
    <t>Warhammer 40000: Adeptus Custodes Dice</t>
  </si>
  <si>
    <t>99220104008</t>
  </si>
  <si>
    <t>Warhammer 40000: Howling Banshee Dice</t>
  </si>
  <si>
    <t>99220104007</t>
  </si>
  <si>
    <t>Warhammer 40000: Dark Reapers Dice</t>
  </si>
  <si>
    <t>99220104006</t>
  </si>
  <si>
    <t>Warhammer 40000: Striking Scorpion Dice</t>
  </si>
  <si>
    <t>99220104005</t>
  </si>
  <si>
    <t>Warhammer 40000: Fire Dragon Dice</t>
  </si>
  <si>
    <t>99220104004</t>
  </si>
  <si>
    <t>Warhammer 40000: Swooping Hawk Dice</t>
  </si>
  <si>
    <t>99220104003</t>
  </si>
  <si>
    <t>Warhammer 40000: Dire Avengers Dic</t>
  </si>
  <si>
    <t>99220101015</t>
  </si>
  <si>
    <t>86-74</t>
  </si>
  <si>
    <t>Warhammer 40000: Blood Angels Dice</t>
  </si>
  <si>
    <t>99220101014</t>
  </si>
  <si>
    <t>86-73</t>
  </si>
  <si>
    <t>Warhammer 40000: Dark Angels Dice</t>
  </si>
  <si>
    <t>99120207042</t>
  </si>
  <si>
    <t>100-09</t>
  </si>
  <si>
    <t>Flesh-Eater Courts Nightfeast Hunters</t>
  </si>
  <si>
    <t>60049999108</t>
  </si>
  <si>
    <t>60-01-60</t>
  </si>
  <si>
    <t>How To Paint Citadel Miniatures English</t>
  </si>
  <si>
    <t>60040999003</t>
  </si>
  <si>
    <t>200-09-60</t>
  </si>
  <si>
    <t>Death Zone: Season Two! (Eng)</t>
  </si>
  <si>
    <t>60040999002</t>
  </si>
  <si>
    <t>200-02-60</t>
  </si>
  <si>
    <t>Death Zone: Season One! (English)</t>
  </si>
  <si>
    <t>99070112001</t>
  </si>
  <si>
    <t>Drukhari Archon</t>
  </si>
  <si>
    <t>Repackaged - replaced by Drukhari Archon 99070112004</t>
  </si>
  <si>
    <t>99070112005</t>
  </si>
  <si>
    <t>45-21</t>
  </si>
  <si>
    <t>Drukhari Haemonculus</t>
  </si>
  <si>
    <t>99220102012</t>
  </si>
  <si>
    <t>86-70</t>
  </si>
  <si>
    <t>Warhammer 40000: Death Guard Dice</t>
  </si>
  <si>
    <t>99120112012</t>
  </si>
  <si>
    <t>Dark Eldar Raider</t>
  </si>
  <si>
    <t>Repackaged - replaced by Drukhari Raider 99120112027</t>
  </si>
  <si>
    <t>99120202032</t>
  </si>
  <si>
    <t>86-21</t>
  </si>
  <si>
    <t>Empire Demigryph Knights</t>
  </si>
  <si>
    <t>60-42</t>
  </si>
  <si>
    <t>Citadel 'Ard Case</t>
  </si>
  <si>
    <t>P:300</t>
  </si>
  <si>
    <t>65-09</t>
  </si>
  <si>
    <t>Age Of Sigmar: Battle Journal</t>
  </si>
  <si>
    <t>65-08</t>
  </si>
  <si>
    <t>Warhammer 40000: Battle Journal</t>
  </si>
  <si>
    <t>64-03</t>
  </si>
  <si>
    <t>Deathworld: Barbed Venomgorse</t>
  </si>
  <si>
    <t>64-04</t>
  </si>
  <si>
    <t>Deathworld: Shardwrack Spines</t>
  </si>
  <si>
    <t>64-73</t>
  </si>
  <si>
    <t>Warscryer Citadel</t>
  </si>
  <si>
    <t>89-34</t>
  </si>
  <si>
    <t>Aleguzzler Gargants Colossal Crushers</t>
  </si>
  <si>
    <t>64-10</t>
  </si>
  <si>
    <t>Numinous Occulum</t>
  </si>
  <si>
    <t>89-32</t>
  </si>
  <si>
    <t>Spiderfang Grotz Venom Clan</t>
  </si>
  <si>
    <t>100-10</t>
  </si>
  <si>
    <t>Ironjawz Weirdnob Warban</t>
  </si>
  <si>
    <t>83-79</t>
  </si>
  <si>
    <t>Slaves To Darkness Harbingers Of Ruin</t>
  </si>
  <si>
    <t>100-08</t>
  </si>
  <si>
    <t>Khorne Bloodbound Frenzied Goretribe</t>
  </si>
  <si>
    <t>64-45</t>
  </si>
  <si>
    <t>Sector Mechanicus: Galvanic Magnavent</t>
  </si>
  <si>
    <t>64-41</t>
  </si>
  <si>
    <t>Sector Mechanicus:Ferratonic Incinerator</t>
  </si>
  <si>
    <t>64-35</t>
  </si>
  <si>
    <t>Imperial Bastion</t>
  </si>
  <si>
    <t>64-24</t>
  </si>
  <si>
    <t>Warhammer 40000: Haemotrope Reactor</t>
  </si>
  <si>
    <t>64-99</t>
  </si>
  <si>
    <t>Voidshield Generator</t>
  </si>
  <si>
    <t>64-36</t>
  </si>
  <si>
    <t>Aegis Defence Line</t>
  </si>
  <si>
    <t>64-33</t>
  </si>
  <si>
    <t>40K Buildings Manufactorum</t>
  </si>
  <si>
    <t>64-05</t>
  </si>
  <si>
    <t>Deathworld: Eldritch Ruins</t>
  </si>
  <si>
    <t>48-14</t>
  </si>
  <si>
    <t>Space Marine Landraider</t>
  </si>
  <si>
    <t>TWD-01</t>
  </si>
  <si>
    <t>Grombrindal: The White Dwarf</t>
  </si>
  <si>
    <t>80-23-60</t>
  </si>
  <si>
    <t>Age Of Sigmar: Blightwar (English)</t>
  </si>
  <si>
    <t>80-22-60</t>
  </si>
  <si>
    <t>A.O.S: Season Of War: Firestorm (Eng)</t>
  </si>
  <si>
    <t>99120199006</t>
  </si>
  <si>
    <t>64-34</t>
  </si>
  <si>
    <t>Imperial Sector</t>
  </si>
  <si>
    <t>99120199005</t>
  </si>
  <si>
    <t>64-31</t>
  </si>
  <si>
    <t>Basilica Administratum</t>
  </si>
  <si>
    <t>99120101069</t>
  </si>
  <si>
    <t>Space Marine Drop Pod</t>
  </si>
  <si>
    <t>Repackaged - replaced by 99120101228</t>
  </si>
  <si>
    <t>99120108008</t>
  </si>
  <si>
    <t>GS-01</t>
  </si>
  <si>
    <t>Triumvirate Of The Imperium</t>
  </si>
  <si>
    <t>99810201041</t>
  </si>
  <si>
    <t>Slaves To Darkness Slambo: Exalted Hero</t>
  </si>
  <si>
    <t>99120101140</t>
  </si>
  <si>
    <t>Space Wolves Wulfen</t>
  </si>
  <si>
    <t>Repackaged - replaced by 99120101219</t>
  </si>
  <si>
    <t>99120112035</t>
  </si>
  <si>
    <t>Start Collecting! Drukhari</t>
  </si>
  <si>
    <t>Repackaged - replaced by 99120112036</t>
  </si>
  <si>
    <t>99120199034</t>
  </si>
  <si>
    <t>65-48</t>
  </si>
  <si>
    <t>Promethium Relay Pipes</t>
  </si>
  <si>
    <t>99120199061</t>
  </si>
  <si>
    <t>64-65</t>
  </si>
  <si>
    <t>Warhammer 40000: Outpost Pythos Iv</t>
  </si>
  <si>
    <t>99120110033</t>
  </si>
  <si>
    <t>Start Collecting! Necrons</t>
  </si>
  <si>
    <t>Repackaged - replaced by 99120110040</t>
  </si>
  <si>
    <t>99120110020</t>
  </si>
  <si>
    <t>Necron Canoptek Wraiths</t>
  </si>
  <si>
    <t>Repackaged - replaced by 99120110037</t>
  </si>
  <si>
    <t>99120110019</t>
  </si>
  <si>
    <t>Necron Tomb Blades</t>
  </si>
  <si>
    <t>Repackaged - replaced by 99120110039</t>
  </si>
  <si>
    <t>99120105070</t>
  </si>
  <si>
    <t>71-66</t>
  </si>
  <si>
    <t>Battleforce:Astra Militarum Battle Group</t>
  </si>
  <si>
    <t>99120101047</t>
  </si>
  <si>
    <t>Repackaged - replaced by 99120101230</t>
  </si>
  <si>
    <t>99120101185</t>
  </si>
  <si>
    <t>48-70</t>
  </si>
  <si>
    <t>Space Marine Primaris Reivers Combat Squad</t>
  </si>
  <si>
    <t>99120110023</t>
  </si>
  <si>
    <t>Necron Doom Scythe/Night Scythe</t>
  </si>
  <si>
    <t>Repackaged - replaced by 99120110038</t>
  </si>
  <si>
    <t>99810181001</t>
  </si>
  <si>
    <t>BL-01</t>
  </si>
  <si>
    <t>Eisenhorn</t>
  </si>
  <si>
    <t>99120104038</t>
  </si>
  <si>
    <t>Eldar Windriders</t>
  </si>
  <si>
    <t>E:200</t>
  </si>
  <si>
    <t>Repackaged - replaced by Craftworlds Windriders 99120104052</t>
  </si>
  <si>
    <t>99120101097</t>
  </si>
  <si>
    <t>Ravenwing Command Squad</t>
  </si>
  <si>
    <t>Repackaged - replaced by Dark Angels Ravenwing Command Squad 99120101238</t>
  </si>
  <si>
    <t>99120113056</t>
  </si>
  <si>
    <t>71-61</t>
  </si>
  <si>
    <t>Battleforce: T'au Empire Rapid Insertion Cadre</t>
  </si>
  <si>
    <t>99120101175</t>
  </si>
  <si>
    <t>53-20</t>
  </si>
  <si>
    <t>Space Wolves Skyhammer Wolf Pack</t>
  </si>
  <si>
    <t>99120101187</t>
  </si>
  <si>
    <t>48-73</t>
  </si>
  <si>
    <t>Space Marine Primaris Hellblasters Combat Squad</t>
  </si>
  <si>
    <t>99120212007</t>
  </si>
  <si>
    <t>Dark Elves Witch Elves</t>
  </si>
  <si>
    <t>99120110012</t>
  </si>
  <si>
    <t>Necron Lychguard/Triarch Praetorians</t>
  </si>
  <si>
    <t>Repackaged - replaced by Necron Triarch Praetorians 99120110036</t>
  </si>
  <si>
    <t>99120207001</t>
  </si>
  <si>
    <t>Vampire Counts Zombies</t>
  </si>
  <si>
    <t>Repackaged - replaced by Deadwalkers Zombies 99120207051</t>
  </si>
  <si>
    <t>99129915032</t>
  </si>
  <si>
    <t>Daemons Of Tzeentch Pink Horrors</t>
  </si>
  <si>
    <t>Repackaged - replaced by 99129915048</t>
  </si>
  <si>
    <t>99120101188</t>
  </si>
  <si>
    <t>48-74</t>
  </si>
  <si>
    <t>Space Marine Primaris Intercessors Combat Squad</t>
  </si>
  <si>
    <t>99120101127</t>
  </si>
  <si>
    <t>Space Marine Devastator Squad</t>
  </si>
  <si>
    <t>Repackaged - replaced by 99120101231</t>
  </si>
  <si>
    <t>99120101036</t>
  </si>
  <si>
    <t>Repackaged - replaced by 99120101224</t>
  </si>
  <si>
    <t>99120207028</t>
  </si>
  <si>
    <t>Deathlords Morghasts</t>
  </si>
  <si>
    <t>Repackaged - replaced by 99120207048</t>
  </si>
  <si>
    <t>99120101163</t>
  </si>
  <si>
    <t>41-23</t>
  </si>
  <si>
    <t>BA Archangels Orbital Intervention Force</t>
  </si>
  <si>
    <t>99120216007</t>
  </si>
  <si>
    <t>81-16</t>
  </si>
  <si>
    <t>Warherds Bloodfeast Gorgers</t>
  </si>
  <si>
    <t>99179958002</t>
  </si>
  <si>
    <t>65-47</t>
  </si>
  <si>
    <t>99120101091</t>
  </si>
  <si>
    <t>Space Wolves Thunderwolf Cavalry</t>
  </si>
  <si>
    <t>Repackaged - replaced by 99120101220</t>
  </si>
  <si>
    <t>99120112016</t>
  </si>
  <si>
    <t>Dark Eldar Talos Pain Engine</t>
  </si>
  <si>
    <t>Repackaged - replaced by Drukhari Talos 99120112030</t>
  </si>
  <si>
    <t>99120101126</t>
  </si>
  <si>
    <t>Space Marine Assault Squad</t>
  </si>
  <si>
    <t>Repackaged - replaced by 99120101212</t>
  </si>
  <si>
    <t>99120101133</t>
  </si>
  <si>
    <t>Space Marine Sternguard Veteran Squad</t>
  </si>
  <si>
    <t>Repackaged - replaced by 99120101232</t>
  </si>
  <si>
    <t>9920999905506</t>
  </si>
  <si>
    <t>62-30</t>
  </si>
  <si>
    <t>Stormvermin Fur Spray (6-Pack</t>
  </si>
  <si>
    <t xml:space="preserve">99229999167 </t>
  </si>
  <si>
    <t>99120101177</t>
  </si>
  <si>
    <t>GS-03</t>
  </si>
  <si>
    <t>Triumvirate Of The Primarch</t>
  </si>
  <si>
    <t>60040299058</t>
  </si>
  <si>
    <t>80-07-60</t>
  </si>
  <si>
    <t>Grand Alliance: Death (English)</t>
  </si>
  <si>
    <t>60011499006</t>
  </si>
  <si>
    <t>30-03-60</t>
  </si>
  <si>
    <t>Escape From Goblin Town Ltd Edition Eng</t>
  </si>
  <si>
    <t>99239999088</t>
  </si>
  <si>
    <t>Munitorum Battlepack Case Harness</t>
  </si>
  <si>
    <t>99179999032</t>
  </si>
  <si>
    <t>65-45</t>
  </si>
  <si>
    <t>Citadel Project Paint Set (2017)</t>
  </si>
  <si>
    <t>99179951003</t>
  </si>
  <si>
    <t>65-49</t>
  </si>
  <si>
    <t>Citadel Layer Paint Set (2017)</t>
  </si>
  <si>
    <t>99129915027</t>
  </si>
  <si>
    <t>Start Collecting! Daemons Of Khorne</t>
  </si>
  <si>
    <t>Repackaged - replaced by 99129915041</t>
  </si>
  <si>
    <t>99120106012</t>
  </si>
  <si>
    <t>Tyranid Termagant</t>
  </si>
  <si>
    <t>Repackaged - replaced by Easy-To-Build Tyranid Termagants 99120106043</t>
  </si>
  <si>
    <t>99120101044</t>
  </si>
  <si>
    <t>Repackaged - replaced by 99120101225</t>
  </si>
  <si>
    <t>99120105055</t>
  </si>
  <si>
    <t>Militarum Tempestus Squad</t>
  </si>
  <si>
    <t>Repackaged - replaced by 99120105075</t>
  </si>
  <si>
    <t>99120101141</t>
  </si>
  <si>
    <t>01-02</t>
  </si>
  <si>
    <t>Horus Heresy: Cataphractii Terminators</t>
  </si>
  <si>
    <t>99120101122</t>
  </si>
  <si>
    <t>Repackaged - replaced by 99120101223</t>
  </si>
  <si>
    <t>99120116003</t>
  </si>
  <si>
    <t>Adeptus Mechanicus Sicarians</t>
  </si>
  <si>
    <t>Repackaged - replaced by 99120116018</t>
  </si>
  <si>
    <t>99120101157</t>
  </si>
  <si>
    <t>Start Collecting! Blood Angels</t>
  </si>
  <si>
    <t>Repackaged - replaced by 99120101194</t>
  </si>
  <si>
    <t>99120101092</t>
  </si>
  <si>
    <t>Space Wolves Fenrisian Wolf Pack</t>
  </si>
  <si>
    <t>Repackaged - replaced by 99120101221</t>
  </si>
  <si>
    <t>99170101001</t>
  </si>
  <si>
    <t>60-60</t>
  </si>
  <si>
    <t>Blood Angels Paint Set</t>
  </si>
  <si>
    <t>99170101002</t>
  </si>
  <si>
    <t>60-61</t>
  </si>
  <si>
    <t>Space Wolves Paint Set</t>
  </si>
  <si>
    <t>99170101003</t>
  </si>
  <si>
    <t>60-62</t>
  </si>
  <si>
    <t>Citadel Paints: Ultramarines</t>
  </si>
  <si>
    <t>99170103001</t>
  </si>
  <si>
    <t>60-57</t>
  </si>
  <si>
    <t>Orks Paint Set</t>
  </si>
  <si>
    <t>99170104001</t>
  </si>
  <si>
    <t>60-63</t>
  </si>
  <si>
    <t>Eldar Paint Set</t>
  </si>
  <si>
    <t>99170105001</t>
  </si>
  <si>
    <t>60-56</t>
  </si>
  <si>
    <t>Astra Militarum Paint Set</t>
  </si>
  <si>
    <t>99170113001</t>
  </si>
  <si>
    <t>60-58</t>
  </si>
  <si>
    <t>Tau Empire Paint Set</t>
  </si>
  <si>
    <t>99170116001</t>
  </si>
  <si>
    <t>60-59</t>
  </si>
  <si>
    <t>Skitarii Paint Set</t>
  </si>
  <si>
    <t>9917019901318</t>
  </si>
  <si>
    <t>60-65</t>
  </si>
  <si>
    <t>Wh40k Small Paint Sets Filled Dispenser</t>
  </si>
  <si>
    <t>99170110001</t>
  </si>
  <si>
    <t>60-64</t>
  </si>
  <si>
    <t>Necrons Paint Set</t>
  </si>
  <si>
    <t>99220101003</t>
  </si>
  <si>
    <t>65-42</t>
  </si>
  <si>
    <t>Ultramarines Tag</t>
  </si>
  <si>
    <t>99070101017</t>
  </si>
  <si>
    <t>Blood Angels Chaplain With Jump Pack</t>
  </si>
  <si>
    <t>Repackaged - replaced by 99070101034</t>
  </si>
  <si>
    <t>99120105036</t>
  </si>
  <si>
    <t>Cadian Command Squad</t>
  </si>
  <si>
    <t>Repackaged - replaced by 99120105073</t>
  </si>
  <si>
    <t xml:space="preserve">Dark Eldar Talos Pain Engine </t>
  </si>
  <si>
    <t>Dark Eldar Wyches</t>
  </si>
  <si>
    <t>Returns to main Trade Range from webstore due to sales volume</t>
  </si>
  <si>
    <t>99120105030</t>
  </si>
  <si>
    <t>Astra Militarum Cadians</t>
  </si>
  <si>
    <t>Repackaged - replaced by Easy to Build Astra Militarum Cadians 99120105071</t>
  </si>
  <si>
    <t>99120101063</t>
  </si>
  <si>
    <t>Repackaged - replaced by 99120101226</t>
  </si>
  <si>
    <t>99070101009</t>
  </si>
  <si>
    <t>Repackaged - replaced by 99070101033</t>
  </si>
  <si>
    <t>99120117005</t>
  </si>
  <si>
    <t>51-58</t>
  </si>
  <si>
    <t>Genestealer Cults Leman Russ</t>
  </si>
  <si>
    <t>99120101106</t>
  </si>
  <si>
    <t>Space Marine Centurion Devastator Squad</t>
  </si>
  <si>
    <t>60040299067</t>
  </si>
  <si>
    <t>80-21-60</t>
  </si>
  <si>
    <t>Age Of Sigmar: Path To Glory (English)</t>
  </si>
  <si>
    <t>60040299053</t>
  </si>
  <si>
    <t>80-10-60</t>
  </si>
  <si>
    <t>RW4: All-Gates (Hb) (Eng)</t>
  </si>
  <si>
    <t>60040299051</t>
  </si>
  <si>
    <t>80-0960</t>
  </si>
  <si>
    <t>RW3: Godbeasts (Hb) (Eng)</t>
  </si>
  <si>
    <t>60040299049</t>
  </si>
  <si>
    <t>80-08-60</t>
  </si>
  <si>
    <t>RW2: Balance Of Power (Hb) Eng</t>
  </si>
  <si>
    <t>60040299044</t>
  </si>
  <si>
    <t>80-05-60</t>
  </si>
  <si>
    <t>RW1: The Quest For Ghal Maraz (English)</t>
  </si>
  <si>
    <t>60040299043</t>
  </si>
  <si>
    <t>80-04-60</t>
  </si>
  <si>
    <t>Age Of Sigmar: Painting Guide (English)</t>
  </si>
  <si>
    <t>60030201011</t>
  </si>
  <si>
    <t>83-39-60</t>
  </si>
  <si>
    <t>Battletome: Everchosen (English)</t>
  </si>
  <si>
    <t>99810104010</t>
  </si>
  <si>
    <t>46-47</t>
  </si>
  <si>
    <t>Eldar Swooping Hawks</t>
  </si>
  <si>
    <t>99120299047</t>
  </si>
  <si>
    <t>64-64</t>
  </si>
  <si>
    <t>Age Of Sigmar: Ruins Of Elixia</t>
  </si>
  <si>
    <t>60010199016</t>
  </si>
  <si>
    <t>TE-60</t>
  </si>
  <si>
    <t>Talons Of The Emperor (English)</t>
  </si>
  <si>
    <t>60010699004</t>
  </si>
  <si>
    <t>DW1-60</t>
  </si>
  <si>
    <t>Deathwatch Overkill (English)</t>
  </si>
  <si>
    <t>60010699009</t>
  </si>
  <si>
    <t>GC-01-60</t>
  </si>
  <si>
    <t xml:space="preserve">Gangs Of Commorragh (Eng) </t>
  </si>
  <si>
    <t>83-05-60</t>
  </si>
  <si>
    <t>Battletome: Dominion Of Chaos (Hb) Eng</t>
  </si>
  <si>
    <t>Everchosen Painting Guide</t>
  </si>
  <si>
    <t xml:space="preserve">89-03-60 </t>
  </si>
  <si>
    <t xml:space="preserve"> How To Paint: Ironjawz (English)</t>
  </si>
  <si>
    <t xml:space="preserve">96-03-60 </t>
  </si>
  <si>
    <t>How To Paint: Stormcast Eternals (Eng)</t>
  </si>
  <si>
    <t>80-06-60</t>
  </si>
  <si>
    <t>Battletome: Chaos Dreadhold (English)</t>
  </si>
  <si>
    <t>AR2-60</t>
  </si>
  <si>
    <t>Shadow War: Armageddon Rulebook Eng</t>
  </si>
  <si>
    <t xml:space="preserve">30-02-60 </t>
  </si>
  <si>
    <t>The Hobbit: An Unexpected Journey (Eng)</t>
  </si>
  <si>
    <t xml:space="preserve">39-25 </t>
  </si>
  <si>
    <t>Deathwatch Chaplain</t>
  </si>
  <si>
    <t>84-26</t>
  </si>
  <si>
    <t>Fyreslayers Doomseeker</t>
  </si>
  <si>
    <t>96-20</t>
  </si>
  <si>
    <t>Celestial Warbringers Upgrades</t>
  </si>
  <si>
    <t xml:space="preserve">96-21 </t>
  </si>
  <si>
    <t>Knights Excelsior Upgrades</t>
  </si>
  <si>
    <t>Stormcast Eternals Knight-Heraldor 2</t>
  </si>
  <si>
    <t>96-22</t>
  </si>
  <si>
    <t>S/Cast Eternals Tempest Lords Upgrades</t>
  </si>
  <si>
    <t xml:space="preserve">92-17 </t>
  </si>
  <si>
    <t>Aelves Mistweaver Saih</t>
  </si>
  <si>
    <t>92-18</t>
  </si>
  <si>
    <t>Aelves Tenebrael Shard</t>
  </si>
  <si>
    <t xml:space="preserve">55-12 </t>
  </si>
  <si>
    <t>Black Templars Chapter Upgrade</t>
  </si>
  <si>
    <t>Horus Heresy: Space Marine Heroes</t>
  </si>
  <si>
    <t xml:space="preserve">48-49 </t>
  </si>
  <si>
    <t>Space Marine Heroes</t>
  </si>
  <si>
    <t xml:space="preserve">41-20 </t>
  </si>
  <si>
    <t>Blood Angels Sternguard Veteran Squad</t>
  </si>
  <si>
    <t xml:space="preserve">41-18 </t>
  </si>
  <si>
    <t>Tartaros Terminators</t>
  </si>
  <si>
    <t xml:space="preserve">46-12 </t>
  </si>
  <si>
    <t>Eldar Support Weapon</t>
  </si>
  <si>
    <t>39-11</t>
  </si>
  <si>
    <t>Deathwatch Kill Team Cassius</t>
  </si>
  <si>
    <t xml:space="preserve">39-21 </t>
  </si>
  <si>
    <t>Deathwatch Venerable Dreadnought</t>
  </si>
  <si>
    <t xml:space="preserve">45-19 </t>
  </si>
  <si>
    <t>Dark Eldar Voidraven Bomber</t>
  </si>
  <si>
    <t>56-52</t>
  </si>
  <si>
    <t>Tau Empire Tidewall Droneport</t>
  </si>
  <si>
    <t>56-25</t>
  </si>
  <si>
    <t>Tau Empire Coalition Command</t>
  </si>
  <si>
    <t>64-58</t>
  </si>
  <si>
    <t>Wall Of Martyrs: Firestorm Redoubt</t>
  </si>
  <si>
    <t>35-28</t>
  </si>
  <si>
    <t>Warriors Of Chaos</t>
  </si>
  <si>
    <t>86-13</t>
  </si>
  <si>
    <t>Empire Flagellants</t>
  </si>
  <si>
    <t>90-16</t>
  </si>
  <si>
    <t>Thanquol And Boneripper</t>
  </si>
  <si>
    <t>91-08</t>
  </si>
  <si>
    <t>Flesh-Eater Courts Terrorgheist</t>
  </si>
  <si>
    <t xml:space="preserve">88-10 </t>
  </si>
  <si>
    <t>Seraphon Carnosaur</t>
  </si>
  <si>
    <t>88-11</t>
  </si>
  <si>
    <t>Seraphon Saurus Knights</t>
  </si>
  <si>
    <t>35-29</t>
  </si>
  <si>
    <t>Orcs</t>
  </si>
  <si>
    <t xml:space="preserve">64-20 </t>
  </si>
  <si>
    <t>Chaos Dreadhold Crucible</t>
  </si>
  <si>
    <t>WQ-10</t>
  </si>
  <si>
    <t xml:space="preserve">Whq: Silver Tower: Mighty Heroes </t>
  </si>
  <si>
    <t xml:space="preserve">WQ-11 </t>
  </si>
  <si>
    <t>Warhammer Quest: Arcane Heroes</t>
  </si>
  <si>
    <t>32-06</t>
  </si>
  <si>
    <t>Goblin Warriors</t>
  </si>
  <si>
    <t>32-05</t>
  </si>
  <si>
    <t>The Trolls</t>
  </si>
  <si>
    <t>66-86</t>
  </si>
  <si>
    <t>Ultramarines Dice</t>
  </si>
  <si>
    <t>64-21</t>
  </si>
  <si>
    <t>Warhammer 40000 Battle Mat: City Ruin</t>
  </si>
  <si>
    <t>9922019906050</t>
  </si>
  <si>
    <t>40-46</t>
  </si>
  <si>
    <t>Gw Scatter Dice (50-Pack)</t>
  </si>
  <si>
    <t>66-81</t>
  </si>
  <si>
    <t>Age Of Sigmar Combat Gauge</t>
  </si>
  <si>
    <t>65-07</t>
  </si>
  <si>
    <t>Age Of Sigmar Rangefinder</t>
  </si>
  <si>
    <t xml:space="preserve">64-22 </t>
  </si>
  <si>
    <t>A.O.S Battle Mat: Khorne Dominion</t>
  </si>
  <si>
    <t>H3-12</t>
  </si>
  <si>
    <t>Lake-Town Militia Captain</t>
  </si>
  <si>
    <t>H3-10</t>
  </si>
  <si>
    <t>Bard The Bowman (Ft &amp; Mtd)</t>
  </si>
  <si>
    <t>99129915017</t>
  </si>
  <si>
    <t>Chaos Daemons Plague Drones Of Nurgle</t>
  </si>
  <si>
    <t>Repackaged - replaced by Daemons Of Nurgle Plague Drones 99129915038</t>
  </si>
  <si>
    <t>99120113045</t>
  </si>
  <si>
    <t>Tau Xv88 Broadside Battlesuit</t>
  </si>
  <si>
    <t>Repackaged - replaced by 99120113063</t>
  </si>
  <si>
    <t>99120104033</t>
  </si>
  <si>
    <t xml:space="preserve">Eldar Dire Avengers  </t>
  </si>
  <si>
    <t>Repackaged - replaced by Craftworlds Dire Avengers 99120104044</t>
  </si>
  <si>
    <t>99120113039</t>
  </si>
  <si>
    <t>Tau Empire Fire Warriors</t>
  </si>
  <si>
    <t>Repackaged - replaced by 99120113057</t>
  </si>
  <si>
    <t>99120101123</t>
  </si>
  <si>
    <t>41-13</t>
  </si>
  <si>
    <t>Blood Angels Terminator Assault Squad</t>
  </si>
  <si>
    <t>99120101098</t>
  </si>
  <si>
    <t>44-08</t>
  </si>
  <si>
    <t>Land Speeder Vengeance</t>
  </si>
  <si>
    <t>99070207002</t>
  </si>
  <si>
    <t>Vampire Counts: Cairn Wraith</t>
  </si>
  <si>
    <t>Repackaged - replaced by Nighthaunt Cairn Wraith 99070207007</t>
  </si>
  <si>
    <t>99120104012</t>
  </si>
  <si>
    <t>Eldar War Walker</t>
  </si>
  <si>
    <t>Repackaged - replaced by Craftworlds War Walker 99120104049</t>
  </si>
  <si>
    <t>99070207004</t>
  </si>
  <si>
    <t>Vampire Counts Wight King</t>
  </si>
  <si>
    <t>Repackaged - replaced by Deathrattle Wight King 99070207006</t>
  </si>
  <si>
    <t>99120101102</t>
  </si>
  <si>
    <t>Space Marine Bike Squad</t>
  </si>
  <si>
    <t>Repackaged - replaced by 99120101215</t>
  </si>
  <si>
    <t>99120101128</t>
  </si>
  <si>
    <t>Space Marine Tactical Squad</t>
  </si>
  <si>
    <t>Repackaged - replaced by 99120101216</t>
  </si>
  <si>
    <t>99120116002</t>
  </si>
  <si>
    <t>Adeptus Mechanicus Skitarii</t>
  </si>
  <si>
    <t>Repackaged - replaced by 99120116016</t>
  </si>
  <si>
    <t>99120116006</t>
  </si>
  <si>
    <t>Adeptus Mech. Kataphron Battle Servitors</t>
  </si>
  <si>
    <t>Repackaged - replaced by 99120116020</t>
  </si>
  <si>
    <t>99120112010</t>
  </si>
  <si>
    <t>45-12</t>
  </si>
  <si>
    <t>Dark Eldar Reavers</t>
  </si>
  <si>
    <t>9920999904306</t>
  </si>
  <si>
    <t>Purity Seal Spray (Global) (6-Pack)</t>
  </si>
  <si>
    <t>99120210016</t>
  </si>
  <si>
    <t>87-13</t>
  </si>
  <si>
    <t>High Elf White Lions Of Chrace</t>
  </si>
  <si>
    <t>99120106039</t>
  </si>
  <si>
    <t>Start Collecting! Tyranids</t>
  </si>
  <si>
    <t>Repackaged - replaced by 99120106041</t>
  </si>
  <si>
    <t>99120104043</t>
  </si>
  <si>
    <t>GS-02</t>
  </si>
  <si>
    <t>Triumvirate Of Ynnead</t>
  </si>
  <si>
    <t>Repackaged - replaced by Ynnari: Triumvirate of Ynnead 99120104056</t>
  </si>
  <si>
    <t>99120104015</t>
  </si>
  <si>
    <t>46-07</t>
  </si>
  <si>
    <t>Eldar Vyper Jet Bike</t>
  </si>
  <si>
    <t>99120101165</t>
  </si>
  <si>
    <t>41-19</t>
  </si>
  <si>
    <t>Blood Angels Vanguard Veteran Squad</t>
  </si>
  <si>
    <t>99120101135</t>
  </si>
  <si>
    <t>53-15</t>
  </si>
  <si>
    <t>Space Wolves Long Fangs</t>
  </si>
  <si>
    <t>99120213011</t>
  </si>
  <si>
    <t>99120201038</t>
  </si>
  <si>
    <t>83-26</t>
  </si>
  <si>
    <t>Nurgle Rotbringers Maggoth Lord</t>
  </si>
  <si>
    <t>Returns to the Trade Range due to sales demand on website</t>
  </si>
  <si>
    <t>99121462008</t>
  </si>
  <si>
    <t>32-08</t>
  </si>
  <si>
    <t xml:space="preserve">Hunter Orcs  </t>
  </si>
  <si>
    <t>99120116001</t>
  </si>
  <si>
    <t>Adeptus Mechanicus Ironstrider</t>
  </si>
  <si>
    <t>Repackaged - replaced by 99120116017</t>
  </si>
  <si>
    <t>99070104002</t>
  </si>
  <si>
    <t>Eldar Farseer Skyrunner</t>
  </si>
  <si>
    <t>Repackaged - replaced by Craftworlds Skyrunner 99070104005</t>
  </si>
  <si>
    <t>99120108003</t>
  </si>
  <si>
    <t>54-10</t>
  </si>
  <si>
    <t>Imperial Knight</t>
  </si>
  <si>
    <t>99810104007</t>
  </si>
  <si>
    <t>46-44</t>
  </si>
  <si>
    <t>Eldar Striking Scorpions</t>
  </si>
  <si>
    <t>60220799001</t>
  </si>
  <si>
    <t>WQ-02-60</t>
  </si>
  <si>
    <t>Wh Quest: Silver Tower Hero Cards (Eng)</t>
  </si>
  <si>
    <t>99120299011</t>
  </si>
  <si>
    <t>Giant</t>
  </si>
  <si>
    <t>Repackaged - replaced by Aleguzzler Gargant 99120299043</t>
  </si>
  <si>
    <t>99810101014</t>
  </si>
  <si>
    <t>48-41</t>
  </si>
  <si>
    <t>Space Marine Techmarine With Servitors</t>
  </si>
  <si>
    <t>99810112005</t>
  </si>
  <si>
    <t>Dark Eldar Incubi</t>
  </si>
  <si>
    <t>99810101013</t>
  </si>
  <si>
    <t>Marneus Calgar And Honour Guard</t>
  </si>
  <si>
    <t>99810104011</t>
  </si>
  <si>
    <t>46-46</t>
  </si>
  <si>
    <t xml:space="preserve">Eldar Fire Dragons </t>
  </si>
  <si>
    <t xml:space="preserve">99120101139 </t>
  </si>
  <si>
    <t>48-05</t>
  </si>
  <si>
    <t>Space Marine Commander</t>
  </si>
  <si>
    <t xml:space="preserve">99120212011 </t>
  </si>
  <si>
    <t>85-12</t>
  </si>
  <si>
    <t>Dark Elf Har Ganeth Executioners</t>
  </si>
  <si>
    <t xml:space="preserve">9920999904906 </t>
  </si>
  <si>
    <t>62-19</t>
  </si>
  <si>
    <t>Mournfang Brown Spray (6-Pack)</t>
  </si>
  <si>
    <t>99120107009</t>
  </si>
  <si>
    <t>Grey Knights Paladin Squad</t>
  </si>
  <si>
    <t>Repackaged - replaced by 99120107014</t>
  </si>
  <si>
    <t>99120105054</t>
  </si>
  <si>
    <t>47-16</t>
  </si>
  <si>
    <t>Militarum Tempestus Taurox Prime</t>
  </si>
  <si>
    <t>99120105067</t>
  </si>
  <si>
    <t>47-23</t>
  </si>
  <si>
    <t>Astra Militarum Cadian Armoured Fist</t>
  </si>
  <si>
    <t>99120105039</t>
  </si>
  <si>
    <t>Repackaged - replaced by 99120105074</t>
  </si>
  <si>
    <t xml:space="preserve">Repackaged - replaced by Craftworlds Windriders 99120104052 </t>
  </si>
  <si>
    <t>99129915023</t>
  </si>
  <si>
    <t xml:space="preserve">Daemons Of Khorne Bloodletters </t>
  </si>
  <si>
    <t>Repackaged - replaced by 99129915049</t>
  </si>
  <si>
    <t>Repackaged - replaced by 99120101211</t>
  </si>
  <si>
    <t xml:space="preserve">Space Marine Devastator Squad </t>
  </si>
  <si>
    <t xml:space="preserve">Repackaged - replaced by 99120101231 </t>
  </si>
  <si>
    <t>99220199009</t>
  </si>
  <si>
    <t>65-04</t>
  </si>
  <si>
    <t>Universal Templates</t>
  </si>
  <si>
    <t>99120102059</t>
  </si>
  <si>
    <t>Repackaged - replaced by 99120102079</t>
  </si>
  <si>
    <t>99120104032</t>
  </si>
  <si>
    <t>Eldar Hemlock Wraithfighter</t>
  </si>
  <si>
    <t xml:space="preserve">Repackaged - replaced by Craftworld Hemlock Wraithfighter 99120104048 </t>
  </si>
  <si>
    <t>99120210015</t>
  </si>
  <si>
    <t>87-14</t>
  </si>
  <si>
    <t>High Elf Phoenix Guard</t>
  </si>
  <si>
    <t>99120101155</t>
  </si>
  <si>
    <t>48-52</t>
  </si>
  <si>
    <t>Space Marine Terminator Command</t>
  </si>
  <si>
    <t xml:space="preserve">99120113044 </t>
  </si>
  <si>
    <t>Tau Empire Xv25 Stealth Battlesuits</t>
  </si>
  <si>
    <t>Repackaged - replaced by 99120113062</t>
  </si>
  <si>
    <t>99120113037</t>
  </si>
  <si>
    <t>Tau Empire Commander</t>
  </si>
  <si>
    <t>Repackaged - replaced by 99120113060</t>
  </si>
  <si>
    <t xml:space="preserve">99120201031 </t>
  </si>
  <si>
    <t>Chaos Dreadhold: Overlord Bastion</t>
  </si>
  <si>
    <t>99120110011</t>
  </si>
  <si>
    <t>Necron Immortals/Deathmarks</t>
  </si>
  <si>
    <t xml:space="preserve">Repackaged - replaced by 99120110035 </t>
  </si>
  <si>
    <t>99120201034</t>
  </si>
  <si>
    <t>64-13</t>
  </si>
  <si>
    <t>Chaos Dreadhold: Skull Keep</t>
  </si>
  <si>
    <t>99120201032</t>
  </si>
  <si>
    <t>Chaos Dreadhold: Malefic Gate</t>
  </si>
  <si>
    <t>99120199052</t>
  </si>
  <si>
    <t>64-42</t>
  </si>
  <si>
    <t xml:space="preserve">Sector Mechanicus: Promethium Forge </t>
  </si>
  <si>
    <t>64-40</t>
  </si>
  <si>
    <t>Sector Mechanicus: Alchomite Stack</t>
  </si>
  <si>
    <t>99120199049</t>
  </si>
  <si>
    <t>64-38</t>
  </si>
  <si>
    <t>Sector Mechanicus: Ferratonic Furnace</t>
  </si>
  <si>
    <t>99120113030</t>
  </si>
  <si>
    <t>Xv104 Riptide Battlesuit</t>
  </si>
  <si>
    <t>Repackaged - replaced by Tau Xv104 Riptide Battlesuit 99120113058</t>
  </si>
  <si>
    <t>99120112007</t>
  </si>
  <si>
    <t>35-07</t>
  </si>
  <si>
    <t>Dark Eldar Kabalite Warriors</t>
  </si>
  <si>
    <t>Repackaged - replaced by Drukhari Kabalite Warriors 99120112026</t>
  </si>
  <si>
    <t>99120113047</t>
  </si>
  <si>
    <t>56-50</t>
  </si>
  <si>
    <t>Tau Empire Tidewall Gunrig</t>
  </si>
  <si>
    <t>99120102058</t>
  </si>
  <si>
    <t>43-33</t>
  </si>
  <si>
    <t>Chaos Space Marines Terminator Lord's Cadre</t>
  </si>
  <si>
    <t>99120101166</t>
  </si>
  <si>
    <t>41-22</t>
  </si>
  <si>
    <t>Blood Angels Death Company Strike Force</t>
  </si>
  <si>
    <t>99120101152</t>
  </si>
  <si>
    <t>Space Marine Stormhawk Interceptor</t>
  </si>
  <si>
    <t>Repackaged - replaced by 99120101213</t>
  </si>
  <si>
    <t>99129915026</t>
  </si>
  <si>
    <t>Start Collecting! Daemons Of Nurgle</t>
  </si>
  <si>
    <t>Repackaged - replaced by 99129915042</t>
  </si>
  <si>
    <t>99120109012</t>
  </si>
  <si>
    <t>Start Collecting! Deathwatch</t>
  </si>
  <si>
    <t>Repackaged - replaced by 99120109013</t>
  </si>
  <si>
    <t>99120110017</t>
  </si>
  <si>
    <t>Necron Warriors</t>
  </si>
  <si>
    <t>Repackaged - replaced by 99120110034</t>
  </si>
  <si>
    <t>99120116005</t>
  </si>
  <si>
    <t>Adeptus Mechanicus Kastelan Robots</t>
  </si>
  <si>
    <t>Repackaged - replaced by 99120116019</t>
  </si>
  <si>
    <t>99120101050</t>
  </si>
  <si>
    <t>44-14</t>
  </si>
  <si>
    <t>Dark Angels Bike Squad</t>
  </si>
  <si>
    <t>99120102043</t>
  </si>
  <si>
    <t>43-07</t>
  </si>
  <si>
    <t>Chaos Space Marine Helbrute</t>
  </si>
  <si>
    <t>99120210011</t>
  </si>
  <si>
    <t>87-11</t>
  </si>
  <si>
    <t>High Elf Lord On Dragon</t>
  </si>
  <si>
    <t>99120104018</t>
  </si>
  <si>
    <t>Eldar Guardians</t>
  </si>
  <si>
    <t>Repackaged - replaced by Craftworlds Guardians 99120104045</t>
  </si>
  <si>
    <t xml:space="preserve">99070202003 </t>
  </si>
  <si>
    <t>86-25</t>
  </si>
  <si>
    <t>Devoted Of Sigmar Excelsior Warpriest</t>
  </si>
  <si>
    <t xml:space="preserve">99120208022 </t>
  </si>
  <si>
    <t>88-99</t>
  </si>
  <si>
    <t xml:space="preserve">Seraphon Thunderbeast Host </t>
  </si>
  <si>
    <t xml:space="preserve">99120212006 </t>
  </si>
  <si>
    <t>85-07</t>
  </si>
  <si>
    <t>Dark Elves Dreadspears</t>
  </si>
  <si>
    <t>99120101062</t>
  </si>
  <si>
    <t xml:space="preserve">Space Marine Predator </t>
  </si>
  <si>
    <t>Repackaged - replaced by 99120101214</t>
  </si>
  <si>
    <t>99120102050</t>
  </si>
  <si>
    <t xml:space="preserve">Chaos Space Marine Raptors </t>
  </si>
  <si>
    <t>Repackaged - replaced by 99120102082</t>
  </si>
  <si>
    <t xml:space="preserve">99120113040 </t>
  </si>
  <si>
    <t>Tau Empire Pathfinder Team</t>
  </si>
  <si>
    <t>Repackaged - replaced by 99120113061</t>
  </si>
  <si>
    <t xml:space="preserve">Chaos Space Marine Squad </t>
  </si>
  <si>
    <t xml:space="preserve">99120113053 </t>
  </si>
  <si>
    <t>56-26</t>
  </si>
  <si>
    <t>Tau Empire Optimised Pathfinder Team</t>
  </si>
  <si>
    <t>99120210017</t>
  </si>
  <si>
    <t>87-12</t>
  </si>
  <si>
    <t xml:space="preserve">High Elf Dragon Princes Of Caledor </t>
  </si>
  <si>
    <t>99120101064</t>
  </si>
  <si>
    <t>Repackaged - replaced by 99120101227</t>
  </si>
  <si>
    <t>99120112024</t>
  </si>
  <si>
    <t xml:space="preserve">Start Collecting! Dark Eldar </t>
  </si>
  <si>
    <t>Repackaged - replaced by Start Collecting! Drukhari 99120112035</t>
  </si>
  <si>
    <t>99120108005</t>
  </si>
  <si>
    <t>54-12</t>
  </si>
  <si>
    <t>Imperial Knight Warden</t>
  </si>
  <si>
    <t>Repackaged - replaced by 99120108010</t>
  </si>
  <si>
    <t>99120113035</t>
  </si>
  <si>
    <t>Tau Empire Xv95 Ghostkeel Battlesuit</t>
  </si>
  <si>
    <t>Repackaged - replaced by 99120113059</t>
  </si>
  <si>
    <t>99120199031</t>
  </si>
  <si>
    <t>64-59</t>
  </si>
  <si>
    <t>Wall Of Martyrs: Aquila Strongpoint</t>
  </si>
  <si>
    <t>99120199029</t>
  </si>
  <si>
    <t>64-57</t>
  </si>
  <si>
    <t>Wall Of Martyrs: Vengeance Weapon Battery</t>
  </si>
  <si>
    <t>99120113051</t>
  </si>
  <si>
    <t>Start Collecting! Tau Empire</t>
  </si>
  <si>
    <t>Repackaged - replaced by 99120113055</t>
  </si>
  <si>
    <t>99120101161</t>
  </si>
  <si>
    <t>41-24</t>
  </si>
  <si>
    <t>Blood Angels Chapter Ancients</t>
  </si>
  <si>
    <t>99120104025</t>
  </si>
  <si>
    <t>Eldar Guardians (Push Fit)</t>
  </si>
  <si>
    <t>Repackaged - replaced by Easy To Build: Craftworlds Guardians 99120104055</t>
  </si>
  <si>
    <t>99120216001</t>
  </si>
  <si>
    <t>Beastmen Gor Herd</t>
  </si>
  <si>
    <t>99120209023</t>
  </si>
  <si>
    <t>Orcs &amp; Goblins Arachnarok Spider</t>
  </si>
  <si>
    <t>Repackaged - replaced by Spiderfang Arachnarok Spider 99120209044</t>
  </si>
  <si>
    <t>60040299063</t>
  </si>
  <si>
    <t>Age Of Sigmar: General's Handbook</t>
  </si>
  <si>
    <t>Updated and replaced by 60040299065</t>
  </si>
  <si>
    <t>99120208020</t>
  </si>
  <si>
    <t>88-09</t>
  </si>
  <si>
    <t>Seraphon Stegadon</t>
  </si>
  <si>
    <t>99120201051</t>
  </si>
  <si>
    <t>83-11</t>
  </si>
  <si>
    <t>Chaos Chariot</t>
  </si>
  <si>
    <t>99120101101</t>
  </si>
  <si>
    <t>48-28</t>
  </si>
  <si>
    <t>Space Marine Scout Bike Squad</t>
  </si>
  <si>
    <t>99120204008</t>
  </si>
  <si>
    <t>Wood Elves Eternal Guard</t>
  </si>
  <si>
    <t>Repackaged - replaced by Wanderers Eternal Guard 99120219001</t>
  </si>
  <si>
    <t>60220199009</t>
  </si>
  <si>
    <t>Empyric Storm Cards (English)</t>
  </si>
  <si>
    <t>99120104029</t>
  </si>
  <si>
    <t>46-11</t>
  </si>
  <si>
    <t>Eldar Fire Prism / Night Spinner</t>
  </si>
  <si>
    <t>99120103047</t>
  </si>
  <si>
    <t>50-30</t>
  </si>
  <si>
    <t>Ork Trukk Boyz</t>
  </si>
  <si>
    <t>99070218011</t>
  </si>
  <si>
    <t>96-27</t>
  </si>
  <si>
    <t>Stormcast Eternals Knight-Questor</t>
  </si>
  <si>
    <t>99120205005</t>
  </si>
  <si>
    <t>84-11</t>
  </si>
  <si>
    <t>Dwarf Cannon</t>
  </si>
  <si>
    <t>99120205003</t>
  </si>
  <si>
    <t>84-08</t>
  </si>
  <si>
    <t>Dwarf Thunderers</t>
  </si>
  <si>
    <t>99120202027</t>
  </si>
  <si>
    <t>86-15</t>
  </si>
  <si>
    <t>Empire Steam Tank</t>
  </si>
  <si>
    <t>99120208019</t>
  </si>
  <si>
    <t>88-06</t>
  </si>
  <si>
    <t>Seraphon Saurus Warriors</t>
  </si>
  <si>
    <t>99120101167</t>
  </si>
  <si>
    <t>41-21</t>
  </si>
  <si>
    <t>Blood Angels Company Command</t>
  </si>
  <si>
    <t>60030205009</t>
  </si>
  <si>
    <t>Battletome: Kharadron Overlords (Hb) Eng</t>
  </si>
  <si>
    <t>Order softback version 60030205010</t>
  </si>
  <si>
    <t>99070112002</t>
  </si>
  <si>
    <t>Dark Eldar Haemonculus</t>
  </si>
  <si>
    <t>Repackaged - replaced by Drukhari Haemonculus 99070112005</t>
  </si>
  <si>
    <t>99120101061</t>
  </si>
  <si>
    <t>99120101086</t>
  </si>
  <si>
    <t>41-09</t>
  </si>
  <si>
    <t>Blood Angels Baal Predator</t>
  </si>
  <si>
    <t>99120105066</t>
  </si>
  <si>
    <t xml:space="preserve">Start Collecting! Militarum Tempestus </t>
  </si>
  <si>
    <t>Repackaged - replaced by 99120105069</t>
  </si>
  <si>
    <t>99120110014</t>
  </si>
  <si>
    <t>49-11</t>
  </si>
  <si>
    <t>Necron Ghost Ark/Doomsday Ark</t>
  </si>
  <si>
    <t>99120110025</t>
  </si>
  <si>
    <t>49-08</t>
  </si>
  <si>
    <t>Necron Destroyers</t>
  </si>
  <si>
    <t>99120111001</t>
  </si>
  <si>
    <t>Harlequin Troupe</t>
  </si>
  <si>
    <t>Repackaged - replaced by 99120111004</t>
  </si>
  <si>
    <t>99120113029</t>
  </si>
  <si>
    <t>56-12</t>
  </si>
  <si>
    <t>Sunshark Bomber</t>
  </si>
  <si>
    <t>99120212008</t>
  </si>
  <si>
    <t>85-15</t>
  </si>
  <si>
    <t>Dark Elves Kharibdyss</t>
  </si>
  <si>
    <t>99120107006</t>
  </si>
  <si>
    <t>Grey Knights Strike Squad</t>
  </si>
  <si>
    <t>Repackaged - replaced by 99120107013</t>
  </si>
  <si>
    <t xml:space="preserve"> 60010799003 </t>
  </si>
  <si>
    <t>GRC-60</t>
  </si>
  <si>
    <t>Gorechosen (Eng)</t>
  </si>
  <si>
    <t>99120104041</t>
  </si>
  <si>
    <t>Start Collecting! Eldar</t>
  </si>
  <si>
    <t>99120102068</t>
  </si>
  <si>
    <t>43-40</t>
  </si>
  <si>
    <t>Thousand Sons Tzaangors</t>
  </si>
  <si>
    <t>99120106016</t>
  </si>
  <si>
    <t>51-11</t>
  </si>
  <si>
    <t>Tyranid Ravenor Brood</t>
  </si>
  <si>
    <t>99120106022</t>
  </si>
  <si>
    <t>99120101153</t>
  </si>
  <si>
    <t>Start Collecting! Space Marines</t>
  </si>
  <si>
    <t>Repackaged - replaced by 99120101195</t>
  </si>
  <si>
    <t>99120101107</t>
  </si>
  <si>
    <t>48-31</t>
  </si>
  <si>
    <t>Space Marine Stalker</t>
  </si>
  <si>
    <t>99120104031</t>
  </si>
  <si>
    <t>Eldar Wraithguard</t>
  </si>
  <si>
    <t>Repackaged - replaced by Craftworlds Wraithguard 99120104053</t>
  </si>
  <si>
    <t>99120106027</t>
  </si>
  <si>
    <t>Tyranid Warriors</t>
  </si>
  <si>
    <t>Repackaged - replaced by 99120106036</t>
  </si>
  <si>
    <t>99120109004</t>
  </si>
  <si>
    <t>39-22</t>
  </si>
  <si>
    <t>Deathwatch Transport</t>
  </si>
  <si>
    <t>99120207019</t>
  </si>
  <si>
    <t>91-09</t>
  </si>
  <si>
    <t>Vampire Count Coven Throne/Mortis Engine</t>
  </si>
  <si>
    <t>99120105065</t>
  </si>
  <si>
    <t>Start Collecting! Astra Militarum</t>
  </si>
  <si>
    <t>Repackaged - replaced by 99120105068</t>
  </si>
  <si>
    <t>99120105035</t>
  </si>
  <si>
    <t>Repackaged - replaced by 99120105072</t>
  </si>
  <si>
    <t>99120103023</t>
  </si>
  <si>
    <t>50-14</t>
  </si>
  <si>
    <t>Ork Deff Dread</t>
  </si>
  <si>
    <t>99120107005</t>
  </si>
  <si>
    <t>57-07</t>
  </si>
  <si>
    <t>Grey Knights Purifier Squad</t>
  </si>
  <si>
    <t>99120102057</t>
  </si>
  <si>
    <t>43-32</t>
  </si>
  <si>
    <t>Chaos Space Marines Cultist Assault</t>
  </si>
  <si>
    <t>99070201023</t>
  </si>
  <si>
    <t>83-40</t>
  </si>
  <si>
    <t>Slaves To Darkness Darkoath Chieftain</t>
  </si>
  <si>
    <t>99120213017</t>
  </si>
  <si>
    <t>95-99</t>
  </si>
  <si>
    <t>Beastclaw Raiders Icewind Assault</t>
  </si>
  <si>
    <t>99120112014</t>
  </si>
  <si>
    <t>Dark Eldar Scourges</t>
  </si>
  <si>
    <t>Repackaged - replaced by Drukhari Scourges 99120112029</t>
  </si>
  <si>
    <t>99120106033</t>
  </si>
  <si>
    <t>51-20</t>
  </si>
  <si>
    <t>Tyranid Toxicrene</t>
  </si>
  <si>
    <t>99129915035</t>
  </si>
  <si>
    <t>Start Collecting! Daemons Of Tzeentch</t>
  </si>
  <si>
    <t>Repackaged - replaced by 99129915043</t>
  </si>
  <si>
    <t>99120109009</t>
  </si>
  <si>
    <t>39-19</t>
  </si>
  <si>
    <t>Deathwatch Bikers</t>
  </si>
  <si>
    <t>99070113001</t>
  </si>
  <si>
    <t>Cadre Fireblade</t>
  </si>
  <si>
    <t>Repackaged - replaced by T'au Empire Cadre Fireblade 99070113004</t>
  </si>
  <si>
    <t>99070101011</t>
  </si>
  <si>
    <t>Repackaged - replaced by 99070101035</t>
  </si>
  <si>
    <t>99070104001</t>
  </si>
  <si>
    <t>Eldar Farseer</t>
  </si>
  <si>
    <t>Repackaged - replaced by Craftworlds Farseer 99070104004</t>
  </si>
  <si>
    <t>99120106028</t>
  </si>
  <si>
    <t>51-05</t>
  </si>
  <si>
    <t>Tyranid Swarm</t>
  </si>
  <si>
    <t>Dark Eldar Succubus</t>
  </si>
  <si>
    <t>Repackaged - replaced ON 14/07/2017 by Drukhari Succubus 99070112006</t>
  </si>
  <si>
    <t>99220101005</t>
  </si>
  <si>
    <t>65-40</t>
  </si>
  <si>
    <t>Blood Angels Tag</t>
  </si>
  <si>
    <t>99120112013</t>
  </si>
  <si>
    <t>Dark Eldar Venom</t>
  </si>
  <si>
    <t xml:space="preserve">Repackaged - replaced by Drukhari Venom 99120112031 </t>
  </si>
  <si>
    <t>99120101070</t>
  </si>
  <si>
    <t>Spacemarine Land Raider Crusader/Redeemer</t>
  </si>
  <si>
    <t>99120101174</t>
  </si>
  <si>
    <t>44-15</t>
  </si>
  <si>
    <t>Dark Angels Gauntlet Tactical Squad</t>
  </si>
  <si>
    <t>99120104030</t>
  </si>
  <si>
    <t>46-25</t>
  </si>
  <si>
    <t>Eldar Wraithknight</t>
  </si>
  <si>
    <t>Repackaged - replaced by Craftworlds Wraithknight 99120104046</t>
  </si>
  <si>
    <t>99120105051</t>
  </si>
  <si>
    <t>Astra Militarum Baneblade</t>
  </si>
  <si>
    <t>99120110015</t>
  </si>
  <si>
    <t>49-09</t>
  </si>
  <si>
    <t>Necron Monolith</t>
  </si>
  <si>
    <t>99120112021</t>
  </si>
  <si>
    <t>45-20</t>
  </si>
  <si>
    <t>Dark Eldar Wracks</t>
  </si>
  <si>
    <t>99120112025</t>
  </si>
  <si>
    <t>45-24</t>
  </si>
  <si>
    <t>Dark Eldar Kabalite Skysplinter</t>
  </si>
  <si>
    <t>99120113050</t>
  </si>
  <si>
    <t>56-53</t>
  </si>
  <si>
    <t>Tau Empire Tidewall Rampart</t>
  </si>
  <si>
    <t>99120106025</t>
  </si>
  <si>
    <t>51-07</t>
  </si>
  <si>
    <t>Tyranid Hive Guard</t>
  </si>
  <si>
    <t>99120206008</t>
  </si>
  <si>
    <t>90-07</t>
  </si>
  <si>
    <t>Skaven Stormvermin</t>
  </si>
  <si>
    <t>99120101151</t>
  </si>
  <si>
    <t>Repackaged - replaced by 99120101196</t>
  </si>
  <si>
    <t>99120110027</t>
  </si>
  <si>
    <t>Repackaged - replaced by 99120110033</t>
  </si>
  <si>
    <t>99179999025</t>
  </si>
  <si>
    <t>Chaos Cultist Activity Paint Set</t>
  </si>
  <si>
    <t xml:space="preserve">Repackaged - replaced by Death Guard Paint Set 99170102001 </t>
  </si>
  <si>
    <t>99120204009</t>
  </si>
  <si>
    <t>Wood Elves Sisters Of The Thorn</t>
  </si>
  <si>
    <t>Repackaged - replaced by Wanderers Sisters Of The Thorn 99120219002</t>
  </si>
  <si>
    <t>99120103021</t>
  </si>
  <si>
    <t>50-15</t>
  </si>
  <si>
    <t>Ork Stompa</t>
  </si>
  <si>
    <t>99179999029</t>
  </si>
  <si>
    <t>60-41-60</t>
  </si>
  <si>
    <t>Citadel Essentials Set (English)</t>
  </si>
  <si>
    <t>Repackaged and renamed under 60170199006</t>
  </si>
  <si>
    <t>99120103044</t>
  </si>
  <si>
    <t>Start Collecting! Orks</t>
  </si>
  <si>
    <t>Repackaged - replaced by 99120103048</t>
  </si>
  <si>
    <t>99120101115</t>
  </si>
  <si>
    <t>53-13</t>
  </si>
  <si>
    <t>Logan Grimnar On Stormrider</t>
  </si>
  <si>
    <t>99120101172</t>
  </si>
  <si>
    <t>48-43</t>
  </si>
  <si>
    <t>Space Marines Skyhammer Tactical Squad</t>
  </si>
  <si>
    <t>99170299012</t>
  </si>
  <si>
    <t>Repackaged - replaced by 99170299014</t>
  </si>
  <si>
    <t>99120116012</t>
  </si>
  <si>
    <t>Start Collecting! Skitarii</t>
  </si>
  <si>
    <t>Repackaged - replaced by 99120116014</t>
  </si>
  <si>
    <t>99170199012</t>
  </si>
  <si>
    <t>Space Marines + Paint Set</t>
  </si>
  <si>
    <t>Replaced by 99170101004 - Intercessors + Paint Set</t>
  </si>
  <si>
    <t>99120104023</t>
  </si>
  <si>
    <t>Eldar Wave Serpent</t>
  </si>
  <si>
    <t>Repackaged - replaced by Craftworlds Wave Serpent 99120104051</t>
  </si>
  <si>
    <t>9918995600106</t>
  </si>
  <si>
    <t>27-01</t>
  </si>
  <si>
    <t>Imperial Primer (6-Pack)</t>
  </si>
  <si>
    <t>99129915012</t>
  </si>
  <si>
    <t>97-14</t>
  </si>
  <si>
    <t>Seeker Chariot Of Slaanesh</t>
  </si>
  <si>
    <t>99129915005</t>
  </si>
  <si>
    <t>97-16</t>
  </si>
  <si>
    <t>Seekers Of Slaanesh</t>
  </si>
  <si>
    <t>99121462009</t>
  </si>
  <si>
    <t>32-09</t>
  </si>
  <si>
    <t>Hunter Orcs On Fell Wargs</t>
  </si>
  <si>
    <t>99120213008</t>
  </si>
  <si>
    <t>Ogre Kingdoms Ironblaster/Scraplauncher</t>
  </si>
  <si>
    <t>99120212010</t>
  </si>
  <si>
    <t>Dark Elf Doomfire Warlocks</t>
  </si>
  <si>
    <t>99120212002</t>
  </si>
  <si>
    <t>85-11</t>
  </si>
  <si>
    <t>Dark Elf Cold One Knight</t>
  </si>
  <si>
    <t>99120210008</t>
  </si>
  <si>
    <t>87-10</t>
  </si>
  <si>
    <t>High Elf Prince And Noble</t>
  </si>
  <si>
    <t>99120207031</t>
  </si>
  <si>
    <t>93-06</t>
  </si>
  <si>
    <t>Deathlords Mortarch</t>
  </si>
  <si>
    <t>99120206022</t>
  </si>
  <si>
    <t>90-22</t>
  </si>
  <si>
    <t>Skaven Pestilens Plague Furnace</t>
  </si>
  <si>
    <t>99120206009</t>
  </si>
  <si>
    <t>90-11</t>
  </si>
  <si>
    <t>Skaven Doomwheel</t>
  </si>
  <si>
    <t>99120201048</t>
  </si>
  <si>
    <t>83-08</t>
  </si>
  <si>
    <t>Chaos Marauder Horsemen</t>
  </si>
  <si>
    <t>99120110026</t>
  </si>
  <si>
    <t>49-19</t>
  </si>
  <si>
    <t>Necron Tesseract Vault</t>
  </si>
  <si>
    <t>99120102041</t>
  </si>
  <si>
    <t>43-20</t>
  </si>
  <si>
    <t>Khorne Lord Of Skulls</t>
  </si>
  <si>
    <t>99120101095</t>
  </si>
  <si>
    <t>44-07</t>
  </si>
  <si>
    <t>Ravenwing Dark Talon</t>
  </si>
  <si>
    <t>99120104013</t>
  </si>
  <si>
    <t>Eldar Wraithlord</t>
  </si>
  <si>
    <t>Repackaged - replaced by Craftworlds Wraithlord 99120104054</t>
  </si>
  <si>
    <t>99120102061</t>
  </si>
  <si>
    <t>43-26</t>
  </si>
  <si>
    <t>Favoured of Chaos</t>
  </si>
  <si>
    <t>99120109008</t>
  </si>
  <si>
    <t>39-18</t>
  </si>
  <si>
    <t>Deathwatch Terminators</t>
  </si>
  <si>
    <t>99120205002</t>
  </si>
  <si>
    <t>84-06</t>
  </si>
  <si>
    <t>Dwarf Warriors Regiment</t>
  </si>
  <si>
    <t>Repackaged - replaced by Dispossessed Warriors 99120205027</t>
  </si>
  <si>
    <t>99120207011</t>
  </si>
  <si>
    <t>Vampire Counts Grave Guard</t>
  </si>
  <si>
    <t>Repackaged - replaced by Deathrattle Grave Guard 99120207046</t>
  </si>
  <si>
    <t>99129915014</t>
  </si>
  <si>
    <t>Nurglings</t>
  </si>
  <si>
    <t>Repackaged - replaced by Daemons Of Nurgle Nurgling 99129915037</t>
  </si>
  <si>
    <t>99120209010</t>
  </si>
  <si>
    <t>Night Goblins</t>
  </si>
  <si>
    <t>Repackaged - replaced by Moonclan Grots 99120209043</t>
  </si>
  <si>
    <t>99120204002</t>
  </si>
  <si>
    <t>Wood Elf Glade Guard</t>
  </si>
  <si>
    <t>Repackaged - replaced by 99120219003</t>
  </si>
  <si>
    <t>99120207018</t>
  </si>
  <si>
    <t>Vampire Counts Black Knights/Hexwraiths</t>
  </si>
  <si>
    <t>Repackaged - replaced by 99120207045</t>
  </si>
  <si>
    <t>99129915008</t>
  </si>
  <si>
    <t>Plaguebearers Of Nurgle</t>
  </si>
  <si>
    <t>Repackaged - replaced by 99129915039</t>
  </si>
  <si>
    <t>99220101002</t>
  </si>
  <si>
    <t>65-43</t>
  </si>
  <si>
    <t>Dark Angels Tag</t>
  </si>
  <si>
    <t>99120205012</t>
  </si>
  <si>
    <t>84-07</t>
  </si>
  <si>
    <t>Dwarf Hammerers</t>
  </si>
  <si>
    <t>Repackaged - replaced by 99120205025</t>
  </si>
  <si>
    <t>99120101082</t>
  </si>
  <si>
    <t>64-43</t>
  </si>
  <si>
    <t>Fortress Of Redemption</t>
  </si>
  <si>
    <t>60040109002</t>
  </si>
  <si>
    <t>39-03-60</t>
  </si>
  <si>
    <t>How to Paint: Deathwatch</t>
  </si>
  <si>
    <t>No longer available</t>
  </si>
  <si>
    <t>60040117002</t>
  </si>
  <si>
    <t>51-41-60</t>
  </si>
  <si>
    <t>How to Paint: Genestelaer Cults</t>
  </si>
  <si>
    <t>60040199069</t>
  </si>
  <si>
    <t>HH-02-60</t>
  </si>
  <si>
    <t>How to Paint: Burning of Prospero</t>
  </si>
  <si>
    <t>99120106026</t>
  </si>
  <si>
    <t>51-19</t>
  </si>
  <si>
    <t>Tyranid Haruspex</t>
  </si>
  <si>
    <t>99120109007</t>
  </si>
  <si>
    <t>39-16</t>
  </si>
  <si>
    <t>Deathwatch Watch Captain</t>
  </si>
  <si>
    <t>99120110021</t>
  </si>
  <si>
    <t>49-18</t>
  </si>
  <si>
    <t>Necron Triarch Stalker</t>
  </si>
  <si>
    <t>99121465006</t>
  </si>
  <si>
    <t>31-10</t>
  </si>
  <si>
    <t>Warriors Of Erebor</t>
  </si>
  <si>
    <t>9922999915506</t>
  </si>
  <si>
    <t>65-37</t>
  </si>
  <si>
    <t>Maelstrom Dice (6-Pack)</t>
  </si>
  <si>
    <t>99120199043</t>
  </si>
  <si>
    <t>64-97</t>
  </si>
  <si>
    <t>Deathworld Forest (Scenery)</t>
  </si>
  <si>
    <t>99129915002</t>
  </si>
  <si>
    <t>Daemonettes of Slaanesh</t>
  </si>
  <si>
    <t>Repackaged - replaced by 99129915036</t>
  </si>
  <si>
    <t>99120117006</t>
  </si>
  <si>
    <t>51-56</t>
  </si>
  <si>
    <t>Genestealer Cults Neophyte Hybrid Armoured Claw</t>
  </si>
  <si>
    <t>99120209022</t>
  </si>
  <si>
    <t>River Trolls</t>
  </si>
  <si>
    <t>Repackaged - replaced by 99120209042</t>
  </si>
  <si>
    <t>9922999915606</t>
  </si>
  <si>
    <t>65-01</t>
  </si>
  <si>
    <t>Wound Trackers (6-Pack)</t>
  </si>
  <si>
    <t>99070206002</t>
  </si>
  <si>
    <t>90-19</t>
  </si>
  <si>
    <t>Skaven Warlord</t>
  </si>
  <si>
    <t>99120205017</t>
  </si>
  <si>
    <t>84-23</t>
  </si>
  <si>
    <t>Fyreslayers Magmadroth</t>
  </si>
  <si>
    <t>99120205011</t>
  </si>
  <si>
    <t>Dwarf Gyrobomber</t>
  </si>
  <si>
    <t>Repackaged - replaced by 99120205024</t>
  </si>
  <si>
    <t>99120205013</t>
  </si>
  <si>
    <t>Dwarf Ironbreakers</t>
  </si>
  <si>
    <t>Repackaged - replaced by 99120205026</t>
  </si>
  <si>
    <t>99120101173</t>
  </si>
  <si>
    <t>41-25</t>
  </si>
  <si>
    <t>Blood Angels Gauntlet Tactical Squad</t>
  </si>
  <si>
    <t>99999999003</t>
  </si>
  <si>
    <t>60-32</t>
  </si>
  <si>
    <t>Water Pot - Leadbelcher</t>
  </si>
  <si>
    <t>99120109006</t>
  </si>
  <si>
    <t>39-17</t>
  </si>
  <si>
    <t>Deathwatch Vanguard Veterans</t>
  </si>
  <si>
    <t>All 40K Codex and Codex supplements</t>
  </si>
  <si>
    <t xml:space="preserve">Obsolete </t>
  </si>
  <si>
    <t>99220201002</t>
  </si>
  <si>
    <t>65-13</t>
  </si>
  <si>
    <t>Khorne Dice</t>
  </si>
  <si>
    <t>99120207010</t>
  </si>
  <si>
    <t>Vampire Counts Skeletons</t>
  </si>
  <si>
    <t xml:space="preserve">Repackaged - replaced by 99120207040 </t>
  </si>
  <si>
    <t>60010699010</t>
  </si>
  <si>
    <t>AR-60</t>
  </si>
  <si>
    <t xml:space="preserve">Shadow War: Armageddon </t>
  </si>
  <si>
    <t>60220115001</t>
  </si>
  <si>
    <t>Psychic Powers: Chaos Daemons (English)</t>
  </si>
  <si>
    <t>99120201056</t>
  </si>
  <si>
    <t>64-18</t>
  </si>
  <si>
    <t>Chaos Dreadhold Helfort</t>
  </si>
  <si>
    <t>60030201008</t>
  </si>
  <si>
    <t>83-02-60</t>
  </si>
  <si>
    <t>Battletome: Khorne Bloodbound (English)</t>
  </si>
  <si>
    <t>Updated and replaced by 60030201013</t>
  </si>
  <si>
    <t>99999999002</t>
  </si>
  <si>
    <t>60-33</t>
  </si>
  <si>
    <t>Water Pot - Waaagh! Flesh</t>
  </si>
  <si>
    <t>60040199046</t>
  </si>
  <si>
    <t>40-17-60</t>
  </si>
  <si>
    <t>Altar of War</t>
  </si>
  <si>
    <t>60030115003</t>
  </si>
  <si>
    <t>Codex: Chaos Daemons (Hb) (English)</t>
  </si>
  <si>
    <t>Order softback version 60030115005</t>
  </si>
  <si>
    <t>60030108008</t>
  </si>
  <si>
    <t>Codex: Imperial Knights (English)</t>
  </si>
  <si>
    <t>Order softback version 60030108009</t>
  </si>
  <si>
    <t>99120102069</t>
  </si>
  <si>
    <t>43-28</t>
  </si>
  <si>
    <t>Chaos Space Marine Chaos Desolator Squad</t>
  </si>
  <si>
    <t>99120110032</t>
  </si>
  <si>
    <t>49-21</t>
  </si>
  <si>
    <t>Necrons Necron Warrior Ark Phalanx</t>
  </si>
  <si>
    <t>99120104042</t>
  </si>
  <si>
    <t>46-28</t>
  </si>
  <si>
    <t>Eldar Dire Avengers Skyblade</t>
  </si>
  <si>
    <t xml:space="preserve">60010199012 </t>
  </si>
  <si>
    <t>SA-03-60</t>
  </si>
  <si>
    <t xml:space="preserve">Stormcloud Attack: The Ancient &amp; Greater Good </t>
  </si>
  <si>
    <t xml:space="preserve">60010199013 </t>
  </si>
  <si>
    <t>SA-02-60</t>
  </si>
  <si>
    <t>Stormcloud Attack: The Eldritch &amp; The Beast</t>
  </si>
  <si>
    <t xml:space="preserve">60010199014 </t>
  </si>
  <si>
    <t>SA-01-60</t>
  </si>
  <si>
    <t xml:space="preserve"> Stormcloud Attack: Faith &amp; Heresy</t>
  </si>
  <si>
    <t xml:space="preserve">60010699005 </t>
  </si>
  <si>
    <t>LP-60</t>
  </si>
  <si>
    <t>Lost Patrol</t>
  </si>
  <si>
    <t>99239999067</t>
  </si>
  <si>
    <t>Citadel Knife</t>
  </si>
  <si>
    <t>Replaced by 99239999092</t>
  </si>
  <si>
    <t>99120109010</t>
  </si>
  <si>
    <t>39-20</t>
  </si>
  <si>
    <t>Deathwatch Land Raider</t>
  </si>
  <si>
    <t>60030112004</t>
  </si>
  <si>
    <t>Codex: Dark Eldar (English)</t>
  </si>
  <si>
    <t>Order softback version 60030112006</t>
  </si>
  <si>
    <t>99120299023</t>
  </si>
  <si>
    <t>64-50</t>
  </si>
  <si>
    <t>Garden Of Morr</t>
  </si>
  <si>
    <t>99079915001</t>
  </si>
  <si>
    <t>97-25</t>
  </si>
  <si>
    <t>Chaos Daemons Herald Of Nurgle</t>
  </si>
  <si>
    <t>99120201067</t>
  </si>
  <si>
    <t>71-82</t>
  </si>
  <si>
    <t>Battleforce: Khorne Bloodbound Slaughterstorm</t>
  </si>
  <si>
    <t>99220218001</t>
  </si>
  <si>
    <t>65-12</t>
  </si>
  <si>
    <t>Stormcast Eternals Dice</t>
  </si>
  <si>
    <t xml:space="preserve">99070109005 </t>
  </si>
  <si>
    <t>39-24</t>
  </si>
  <si>
    <t>Deathwatch Librarian /Terminator Armour</t>
  </si>
  <si>
    <t>99999999004</t>
  </si>
  <si>
    <t>60-31</t>
  </si>
  <si>
    <t>Water Pot: Retributor Armour</t>
  </si>
  <si>
    <t>60010699008</t>
  </si>
  <si>
    <t>KT-60</t>
  </si>
  <si>
    <t>Warhammer 40000: Kill Team (English)</t>
  </si>
  <si>
    <t>99120218006</t>
  </si>
  <si>
    <t>Repackaged - replaced by 99120218015</t>
  </si>
  <si>
    <t>99120218002</t>
  </si>
  <si>
    <t>Stormcast Eternals Judicators</t>
  </si>
  <si>
    <t>Repackaged - replaced by 99120218013</t>
  </si>
  <si>
    <t>99120218004</t>
  </si>
  <si>
    <t>Stormcast Eternals Liberators</t>
  </si>
  <si>
    <t>Repackaged - replaced by 99120218014</t>
  </si>
  <si>
    <t>99120106040</t>
  </si>
  <si>
    <t>51-24</t>
  </si>
  <si>
    <t>Tyranid Tervigon Brood Progenitor</t>
  </si>
  <si>
    <t>60030218001</t>
  </si>
  <si>
    <t>Battletome: Stormcast Eternals Externals</t>
  </si>
  <si>
    <t>Replaced by 60030218004</t>
  </si>
  <si>
    <t>60030218002</t>
  </si>
  <si>
    <t>96-02-60</t>
  </si>
  <si>
    <t>Battletome: Stormcast Eternals Extremis</t>
  </si>
  <si>
    <t>60040108003</t>
  </si>
  <si>
    <t>52-02-60</t>
  </si>
  <si>
    <t>Index Imperialis: Apocrypha (English)</t>
  </si>
  <si>
    <t>99120199018</t>
  </si>
  <si>
    <t>Repackaged - replaced by 99120199047</t>
  </si>
  <si>
    <t>99229915012</t>
  </si>
  <si>
    <t>66-87</t>
  </si>
  <si>
    <t>Tzeentch Dice</t>
  </si>
  <si>
    <t>60040101041</t>
  </si>
  <si>
    <t>53-06-60</t>
  </si>
  <si>
    <t>Warzone Fenris:Curse Of The Wulfen (Sb) (Eng</t>
  </si>
  <si>
    <t>60030201017</t>
  </si>
  <si>
    <t>Battletome: Disciples Of Tzeentch Hb Eng</t>
  </si>
  <si>
    <t>Order softback version 60030201018</t>
  </si>
  <si>
    <t>99129915010</t>
  </si>
  <si>
    <t>Flamers Of Tzeentch</t>
  </si>
  <si>
    <t>Repackaged - replaced by 99129915031</t>
  </si>
  <si>
    <t>99129915009</t>
  </si>
  <si>
    <t>Screamers Of Tzeentch</t>
  </si>
  <si>
    <t>Repackaged - replaced by 99129915033</t>
  </si>
  <si>
    <t>99129915006</t>
  </si>
  <si>
    <t>Pink Horrors Of Tzeentch</t>
  </si>
  <si>
    <t>Repackaged - replaced by 99129915032</t>
  </si>
  <si>
    <t>99129915016</t>
  </si>
  <si>
    <t>Chaos Daemon Burning Chariot Of Tzeentch</t>
  </si>
  <si>
    <t>Repackaged - replaced by 99129915030</t>
  </si>
  <si>
    <t>60010699003</t>
  </si>
  <si>
    <t>60-EF-00</t>
  </si>
  <si>
    <t>Assassinorum: Execution Force</t>
  </si>
  <si>
    <t>99810101018</t>
  </si>
  <si>
    <t>48-44</t>
  </si>
  <si>
    <t>Space Marine Thunderfire Cannon</t>
  </si>
  <si>
    <t>60040102009</t>
  </si>
  <si>
    <t>43-93-60</t>
  </si>
  <si>
    <t>Index Chaotica: Apocrypha (Sb) (Eng)</t>
  </si>
  <si>
    <t>60030117001</t>
  </si>
  <si>
    <t>Codex: Genestealer Cults (Hb) English</t>
  </si>
  <si>
    <t xml:space="preserve">Order softback version 60030117002 </t>
  </si>
  <si>
    <t>60040204002</t>
  </si>
  <si>
    <t>92-02-60</t>
  </si>
  <si>
    <t>How To Paint: Sylvaneth (English)</t>
  </si>
  <si>
    <t>99239999091</t>
  </si>
  <si>
    <t>66-04</t>
  </si>
  <si>
    <t>Citadel Repair Tool</t>
  </si>
  <si>
    <t>99179999031</t>
  </si>
  <si>
    <t>60-16</t>
  </si>
  <si>
    <t>Citadel Ultimate Paint Set (2016)</t>
  </si>
  <si>
    <t>60010299009</t>
  </si>
  <si>
    <t>80-03-60</t>
  </si>
  <si>
    <t>Age Of Sigmar: Spire Of Dawn (English)</t>
  </si>
  <si>
    <t>60030108010</t>
  </si>
  <si>
    <t>52-03-60</t>
  </si>
  <si>
    <t>Codex: Imperial Agents (Hb) (Eng)</t>
  </si>
  <si>
    <t>Order softback version 60030108011</t>
  </si>
  <si>
    <t>60040199072</t>
  </si>
  <si>
    <t>40-12-60</t>
  </si>
  <si>
    <t>War Zone Fenris: Wrath Of Magnus (HB) En</t>
  </si>
  <si>
    <t>Order softback version 60040199073</t>
  </si>
  <si>
    <t>99179959001</t>
  </si>
  <si>
    <t>60-26</t>
  </si>
  <si>
    <t>Citadel Artificer Tint Set</t>
  </si>
  <si>
    <t>99120101176</t>
  </si>
  <si>
    <t>Battleforce: Space Wolves ironclaw Strike Force</t>
  </si>
  <si>
    <t>99120109011</t>
  </si>
  <si>
    <t>71-39</t>
  </si>
  <si>
    <t>Battleforce: Deayhwatch Watchblade Taskforce</t>
  </si>
  <si>
    <t>99120113054</t>
  </si>
  <si>
    <t>71-56</t>
  </si>
  <si>
    <t>Battleforce: Tau Empire Targeted Recon Cadre</t>
  </si>
  <si>
    <t>99120116013</t>
  </si>
  <si>
    <t>Battleforce: Adeptus Mechanicus Eradication Cohort</t>
  </si>
  <si>
    <t>99120209038</t>
  </si>
  <si>
    <t>Battleforce: Ironjawz Thunderfist</t>
  </si>
  <si>
    <t>99120218018</t>
  </si>
  <si>
    <t xml:space="preserve">71-96 </t>
  </si>
  <si>
    <t>Battleforce: Stormcast Eternals Sigmar's Vengeance</t>
  </si>
  <si>
    <t xml:space="preserve">60010699002 </t>
  </si>
  <si>
    <t>60-SH-00</t>
  </si>
  <si>
    <t>Space Hulk</t>
  </si>
  <si>
    <t>60040199058</t>
  </si>
  <si>
    <t>Death From The Skies (Hb) (English)</t>
  </si>
  <si>
    <t>Order softback version 60040199059</t>
  </si>
  <si>
    <t>60040102010</t>
  </si>
  <si>
    <t>43-96-60</t>
  </si>
  <si>
    <t>Index Chaotica: Apocrypha (English)</t>
  </si>
  <si>
    <t>Order softback version 60040102009</t>
  </si>
  <si>
    <t>Codex: Genestealer Cults (Hb) (English)</t>
  </si>
  <si>
    <t>99120204020</t>
  </si>
  <si>
    <t>71-92</t>
  </si>
  <si>
    <t>Battleforce: Sylvaneth Darkroot Wargrove</t>
  </si>
  <si>
    <t>99120103032</t>
  </si>
  <si>
    <t>50-27</t>
  </si>
  <si>
    <t>Ork Deff Dread Mob</t>
  </si>
  <si>
    <t>60030113008</t>
  </si>
  <si>
    <t>Codex: Tau Empire (English)</t>
  </si>
  <si>
    <t>Order softback version 60030113009</t>
  </si>
  <si>
    <t>66-90</t>
  </si>
  <si>
    <t>Thousand Sons Dice</t>
  </si>
  <si>
    <t>99220906001</t>
  </si>
  <si>
    <t>99179999030</t>
  </si>
  <si>
    <t>Citadel Project Paint Set</t>
  </si>
  <si>
    <t>99121465005</t>
  </si>
  <si>
    <t>31-09</t>
  </si>
  <si>
    <t xml:space="preserve">Grim Hammers </t>
  </si>
  <si>
    <t>99120101160</t>
  </si>
  <si>
    <t>Space Marine Strike Force Ultima</t>
  </si>
  <si>
    <t>60040199063</t>
  </si>
  <si>
    <t>40-10-60</t>
  </si>
  <si>
    <t>Wh40k: Traitor's Hate (Hb) (English)</t>
  </si>
  <si>
    <t>Order softback version 60040199064</t>
  </si>
  <si>
    <t>60030199037</t>
  </si>
  <si>
    <t>40-14-60</t>
  </si>
  <si>
    <t>Wh40k: Stronghold Assault (English)</t>
  </si>
  <si>
    <t>60220101003</t>
  </si>
  <si>
    <t>Datacards: Space Marines (English)</t>
  </si>
  <si>
    <t>Datacards: Dark Angels (English)</t>
  </si>
  <si>
    <t>48-04-60</t>
  </si>
  <si>
    <t>Datacards: White Scars (English)</t>
  </si>
  <si>
    <t>48-06-60</t>
  </si>
  <si>
    <t>Datacards: Raven Guard (English)</t>
  </si>
  <si>
    <t>60220102002</t>
  </si>
  <si>
    <t>Datacards: Khorne Daemonkin (English)</t>
  </si>
  <si>
    <t>60220105002</t>
  </si>
  <si>
    <t>Datacards: Cadia (English)</t>
  </si>
  <si>
    <t>60220108001</t>
  </si>
  <si>
    <t>Datacards: Imperial Knights (English)</t>
  </si>
  <si>
    <t>Datacards: Tau Empire (English)</t>
  </si>
  <si>
    <t>56-03-60</t>
  </si>
  <si>
    <t>Datacards: Farsight Enclaves (English)</t>
  </si>
  <si>
    <t>Datacards: Chaos Daemons (English)</t>
  </si>
  <si>
    <t>Datacards: Skitarii (English)</t>
  </si>
  <si>
    <t>59-04-60</t>
  </si>
  <si>
    <t>Datacards: Cult Mechanicus (English)</t>
  </si>
  <si>
    <t>60030204006</t>
  </si>
  <si>
    <t>Battletome: Sylvaneth (Hardback) (English)</t>
  </si>
  <si>
    <t>Order softback version 60030204007</t>
  </si>
  <si>
    <t>99120216004</t>
  </si>
  <si>
    <t>81-11</t>
  </si>
  <si>
    <t>Beastmen Minotaurs</t>
  </si>
  <si>
    <t>99811499017</t>
  </si>
  <si>
    <t>31-41</t>
  </si>
  <si>
    <t>Gwaihir</t>
  </si>
  <si>
    <t>99121499028</t>
  </si>
  <si>
    <t>02-40</t>
  </si>
  <si>
    <t>The Fellowship Of The Ring</t>
  </si>
  <si>
    <t>60220102003</t>
  </si>
  <si>
    <t>Heretic Astartes Psychic Power Cards Eng</t>
  </si>
  <si>
    <t>99120299027</t>
  </si>
  <si>
    <t>64-12</t>
  </si>
  <si>
    <t>Dragonfate Dais</t>
  </si>
  <si>
    <t xml:space="preserve">60220102001 </t>
  </si>
  <si>
    <t>Psychic Cards:Chaos Space Marine:English</t>
  </si>
  <si>
    <t>60220117001</t>
  </si>
  <si>
    <t>Datacards: Genestealer Cults (English)</t>
  </si>
  <si>
    <t>99220209001</t>
  </si>
  <si>
    <t>66-78</t>
  </si>
  <si>
    <t>Gork and Mork Dice</t>
  </si>
  <si>
    <t>99220106003</t>
  </si>
  <si>
    <t>66-89</t>
  </si>
  <si>
    <t>Warhammer 40000: Genestealer Cults Dice</t>
  </si>
  <si>
    <t>9922999911303</t>
  </si>
  <si>
    <t>66-74</t>
  </si>
  <si>
    <t>Citadel Snow 15g Tub (3-Pack)</t>
  </si>
  <si>
    <t>99179999027</t>
  </si>
  <si>
    <t>Citadel Build + Paint Set (English)</t>
  </si>
  <si>
    <t>Repackaged and renamed under 99179999029</t>
  </si>
  <si>
    <t>9907020500</t>
  </si>
  <si>
    <t>84-18</t>
  </si>
  <si>
    <t>Dwarf Runelord</t>
  </si>
  <si>
    <t>9918995500106</t>
  </si>
  <si>
    <t>26-01</t>
  </si>
  <si>
    <t>Astrogranite (6-Pack)</t>
  </si>
  <si>
    <t>Replaced by 26-12 - reformulation and 24ml pot size</t>
  </si>
  <si>
    <t>9918995500206</t>
  </si>
  <si>
    <t>26-02</t>
  </si>
  <si>
    <t>Armageddon Dust (6-Pack)</t>
  </si>
  <si>
    <t>Replaced by 26-10 - reformulation and 24ml pot size</t>
  </si>
  <si>
    <t>9918995500606</t>
  </si>
  <si>
    <t>26-06</t>
  </si>
  <si>
    <t xml:space="preserve">Stirland Mud (6-Pack) </t>
  </si>
  <si>
    <t>Replaced by 26-08 - reformulation and 24ml pot size</t>
  </si>
  <si>
    <t>9918995600706</t>
  </si>
  <si>
    <t>27-08</t>
  </si>
  <si>
    <t>Agrellan Earth (6-Pack)</t>
  </si>
  <si>
    <t>Replaced by 26-16 - reformulation and 24ml pot size</t>
  </si>
  <si>
    <t>99239999056</t>
  </si>
  <si>
    <t>66-29</t>
  </si>
  <si>
    <t>Citadel Paint Station</t>
  </si>
  <si>
    <t>9918995601206</t>
  </si>
  <si>
    <t>27-11</t>
  </si>
  <si>
    <t>Martian Ironearth (6-Pack)</t>
  </si>
  <si>
    <t>Replaced by 26-15 - reformulation and 24ml pot size</t>
  </si>
  <si>
    <t>99120207034</t>
  </si>
  <si>
    <t>91-99</t>
  </si>
  <si>
    <t>King Vlagorescu's Ghoulish Host</t>
  </si>
  <si>
    <t>60030109001</t>
  </si>
  <si>
    <t>Codex: Deathwatch (Hardback) (English)</t>
  </si>
  <si>
    <t>Order softback version 60030109002</t>
  </si>
  <si>
    <t>60030199040</t>
  </si>
  <si>
    <t>51-05-60</t>
  </si>
  <si>
    <t>Shield Of Baal: Leviathan (Softback) English</t>
  </si>
  <si>
    <t>60030101021</t>
  </si>
  <si>
    <t>Codex: Space Wolves (English)</t>
  </si>
  <si>
    <t>Order softback version 60030101035</t>
  </si>
  <si>
    <t>60030213005</t>
  </si>
  <si>
    <t>Battletome: Beastclaw Raiders (HB) (English)</t>
  </si>
  <si>
    <t>Order softback version 60030213004</t>
  </si>
  <si>
    <t>60249999550</t>
  </si>
  <si>
    <t>WD09-60</t>
  </si>
  <si>
    <t>White Dwarf September 2016 (English)</t>
  </si>
  <si>
    <t>60010699007</t>
  </si>
  <si>
    <t>DM-60</t>
  </si>
  <si>
    <t>Warhammer 40000: Death Masque (English)</t>
  </si>
  <si>
    <t>60220109001</t>
  </si>
  <si>
    <t>Datacards: Deathwatch English</t>
  </si>
  <si>
    <t xml:space="preserve">99220101006 </t>
  </si>
  <si>
    <t>66-84</t>
  </si>
  <si>
    <t>Warhammer 40000: Deathwatch Dice</t>
  </si>
  <si>
    <t>99120112015</t>
  </si>
  <si>
    <t>45-17</t>
  </si>
  <si>
    <t>Dark Eldar Razorwing Jetfighter</t>
  </si>
  <si>
    <t>60030110004</t>
  </si>
  <si>
    <t>49-01-60</t>
  </si>
  <si>
    <t>Codex: Necrons (English)</t>
  </si>
  <si>
    <t>Order softback version 60030110005</t>
  </si>
  <si>
    <t xml:space="preserve">99810101021 </t>
  </si>
  <si>
    <t>53-41</t>
  </si>
  <si>
    <t>Wolf Lord On Thunderwolf</t>
  </si>
  <si>
    <t>99120201044</t>
  </si>
  <si>
    <t>83-97</t>
  </si>
  <si>
    <t>Khorne Bloodbound Expansion Set</t>
  </si>
  <si>
    <t>99070101007</t>
  </si>
  <si>
    <t>41-15</t>
  </si>
  <si>
    <t>Blood Angels Librarian In Terminator Armour</t>
  </si>
  <si>
    <t>99070101003</t>
  </si>
  <si>
    <t>48-39</t>
  </si>
  <si>
    <t>Space Marine Captain</t>
  </si>
  <si>
    <t>99121499026</t>
  </si>
  <si>
    <t>31-07</t>
  </si>
  <si>
    <t>Great Eagles</t>
  </si>
  <si>
    <t>99120212012</t>
  </si>
  <si>
    <t>85-13</t>
  </si>
  <si>
    <t>Dark Elves Scourgerunner Chariot</t>
  </si>
  <si>
    <t>60030209008</t>
  </si>
  <si>
    <t>Battletome: Bonesplitterz (Hb) (Eng)</t>
  </si>
  <si>
    <t>Order softback version 60030209009</t>
  </si>
  <si>
    <t>99120199036</t>
  </si>
  <si>
    <t xml:space="preserve">Relicos Militarum </t>
  </si>
  <si>
    <t>60010699006</t>
  </si>
  <si>
    <t>Imperial Knights: Renegade (English)</t>
  </si>
  <si>
    <t xml:space="preserve">60040101027 </t>
  </si>
  <si>
    <t>48-03-60</t>
  </si>
  <si>
    <t>Sons Of Ultramar (U/Marines Paint Guide)</t>
  </si>
  <si>
    <t>99120206012</t>
  </si>
  <si>
    <t>90-09</t>
  </si>
  <si>
    <t>Skaven Hell Pit Abomination</t>
  </si>
  <si>
    <t>99120102037</t>
  </si>
  <si>
    <t>Chaos Space Marine Heldrake</t>
  </si>
  <si>
    <t>Updated - replaced by 99120102062</t>
  </si>
  <si>
    <t>60120113001</t>
  </si>
  <si>
    <t>DC1-60</t>
  </si>
  <si>
    <t>Infiltration Cadre Burning Dawn (Eng)</t>
  </si>
  <si>
    <t>99120201054</t>
  </si>
  <si>
    <t>83-17</t>
  </si>
  <si>
    <t>Chaos Warshrine</t>
  </si>
  <si>
    <t>99800104026</t>
  </si>
  <si>
    <t>46-64</t>
  </si>
  <si>
    <t>Eldar Spiritseer</t>
  </si>
  <si>
    <t>99220101004</t>
  </si>
  <si>
    <t>65-41</t>
  </si>
  <si>
    <t>Space Wolves Tag</t>
  </si>
  <si>
    <t>60030101030</t>
  </si>
  <si>
    <t>Codex: Dark Angels (English)</t>
  </si>
  <si>
    <t>Order softback version 60030101033</t>
  </si>
  <si>
    <t>99120212009</t>
  </si>
  <si>
    <t>85-16</t>
  </si>
  <si>
    <t>Dark Elves Cauldron Of Blood</t>
  </si>
  <si>
    <t>99120213007</t>
  </si>
  <si>
    <t>Ogre Kingdoms Mournfang Cavalry</t>
  </si>
  <si>
    <t>99120213009</t>
  </si>
  <si>
    <t>Ogre Kingdoms Thundertusk/Stonehorn</t>
  </si>
  <si>
    <t>99120209024</t>
  </si>
  <si>
    <t>Savage Orc</t>
  </si>
  <si>
    <t>Repackaged - replaced by 99120209036</t>
  </si>
  <si>
    <t>99120210010</t>
  </si>
  <si>
    <t>87-07</t>
  </si>
  <si>
    <t>High Elf Chariot</t>
  </si>
  <si>
    <t>99070206001</t>
  </si>
  <si>
    <t>90-18</t>
  </si>
  <si>
    <t xml:space="preserve">Skaven Greyseer </t>
  </si>
  <si>
    <t>99220199053</t>
  </si>
  <si>
    <t>Realm Of Battle: Sector Imperialis</t>
  </si>
  <si>
    <t>99120199028</t>
  </si>
  <si>
    <t>64-55</t>
  </si>
  <si>
    <t>Wall Of Martyrs - Imperial Bunker</t>
  </si>
  <si>
    <t>99120199008</t>
  </si>
  <si>
    <t>64-32</t>
  </si>
  <si>
    <t>Sanctum Imperialis</t>
  </si>
  <si>
    <t>99121466002</t>
  </si>
  <si>
    <t>05-07</t>
  </si>
  <si>
    <t>Mordor / Isenguard Troll</t>
  </si>
  <si>
    <t>99070111003</t>
  </si>
  <si>
    <t>58-13</t>
  </si>
  <si>
    <t>Harlequin Solitaire</t>
  </si>
  <si>
    <t>99070207001</t>
  </si>
  <si>
    <t>Vampire Counts Necromancer</t>
  </si>
  <si>
    <t>99120199035</t>
  </si>
  <si>
    <t>Quake Cannon Craters</t>
  </si>
  <si>
    <t>99129915013</t>
  </si>
  <si>
    <t>97-17</t>
  </si>
  <si>
    <t>Soul Grinder</t>
  </si>
  <si>
    <t>99070103001</t>
  </si>
  <si>
    <t>50-18</t>
  </si>
  <si>
    <t>Ork Mek</t>
  </si>
  <si>
    <t>99070201008</t>
  </si>
  <si>
    <t>83-27</t>
  </si>
  <si>
    <t>Nurgle Rotbringers Gutrot Spume</t>
  </si>
  <si>
    <t>99070205002</t>
  </si>
  <si>
    <t>84-15</t>
  </si>
  <si>
    <t>Belegar Ironhammer</t>
  </si>
  <si>
    <t>99120104034</t>
  </si>
  <si>
    <t>46-10</t>
  </si>
  <si>
    <t>Eldar Battleforce</t>
  </si>
  <si>
    <t>99071463002</t>
  </si>
  <si>
    <t>31-15</t>
  </si>
  <si>
    <t>Tauriel</t>
  </si>
  <si>
    <t>99120213010</t>
  </si>
  <si>
    <t>95-10</t>
  </si>
  <si>
    <t>Ogre Kingdoms Battalion</t>
  </si>
  <si>
    <t>99810102007</t>
  </si>
  <si>
    <t>Plague Marines</t>
  </si>
  <si>
    <t>99120199026</t>
  </si>
  <si>
    <t>64-53</t>
  </si>
  <si>
    <t>Wall Of Martyrs - Imperial Defence Line</t>
  </si>
  <si>
    <t>99800102017</t>
  </si>
  <si>
    <t>Typhus</t>
  </si>
  <si>
    <t>99120201018</t>
  </si>
  <si>
    <t>83-18</t>
  </si>
  <si>
    <t>Dragon Ogres</t>
  </si>
  <si>
    <t>99120102012</t>
  </si>
  <si>
    <t>Chaos Space Marine Predator</t>
  </si>
  <si>
    <t>99120105064</t>
  </si>
  <si>
    <t>47-22</t>
  </si>
  <si>
    <t>Astra Militarum Leman Russ Tech-Command</t>
  </si>
  <si>
    <t>99120102025</t>
  </si>
  <si>
    <t>43-31</t>
  </si>
  <si>
    <t xml:space="preserve">Chaos Space Marine Vindicator </t>
  </si>
  <si>
    <t>99120102013</t>
  </si>
  <si>
    <t>43-22</t>
  </si>
  <si>
    <t xml:space="preserve">Chaos Space Marine Defiler </t>
  </si>
  <si>
    <t>99071463001</t>
  </si>
  <si>
    <t>31-14</t>
  </si>
  <si>
    <t>Legolas Greenleaf</t>
  </si>
  <si>
    <t>99800101107</t>
  </si>
  <si>
    <t>44-62</t>
  </si>
  <si>
    <t>Belial</t>
  </si>
  <si>
    <t>99120103031</t>
  </si>
  <si>
    <t>50-11</t>
  </si>
  <si>
    <t>Ork Big Mek With Shokk Attack Gun</t>
  </si>
  <si>
    <t>99120101125</t>
  </si>
  <si>
    <t>44-DV</t>
  </si>
  <si>
    <t>Dark Angels</t>
  </si>
  <si>
    <t>99120105049</t>
  </si>
  <si>
    <t>47-13</t>
  </si>
  <si>
    <t>Astra Militarum Manticore / Deathstrike</t>
  </si>
  <si>
    <t>99120107007</t>
  </si>
  <si>
    <t>Grey Knights Land Raider</t>
  </si>
  <si>
    <t>99120202004</t>
  </si>
  <si>
    <t>86-10</t>
  </si>
  <si>
    <t>Empire Free Company Militia</t>
  </si>
  <si>
    <t>99120218007</t>
  </si>
  <si>
    <t>96-99</t>
  </si>
  <si>
    <t>Stormcast Eternals Expansion Set</t>
  </si>
  <si>
    <t>99801464099</t>
  </si>
  <si>
    <t>H3-11</t>
  </si>
  <si>
    <t>Lake-Town Militia Swordsmen</t>
  </si>
  <si>
    <t>99999999001</t>
  </si>
  <si>
    <t>60-34</t>
  </si>
  <si>
    <t>Water Pot: Khorne Red</t>
  </si>
  <si>
    <t xml:space="preserve">99070212002 </t>
  </si>
  <si>
    <t>Dark Elf Black Ark Fleetmaster</t>
  </si>
  <si>
    <t>99120199027</t>
  </si>
  <si>
    <t>64-54</t>
  </si>
  <si>
    <t>Wall of Martyrs - Imperial Defence Emplacement</t>
  </si>
  <si>
    <t>99121463007</t>
  </si>
  <si>
    <t>31-08</t>
  </si>
  <si>
    <t>Knights Of Rivendell</t>
  </si>
  <si>
    <t>99121463006</t>
  </si>
  <si>
    <t>31-12</t>
  </si>
  <si>
    <t>Mirkwood Rangers</t>
  </si>
  <si>
    <t>99120102053</t>
  </si>
  <si>
    <t>43-DV</t>
  </si>
  <si>
    <t>Crimson Slaughter</t>
  </si>
  <si>
    <t xml:space="preserve">60120101008 </t>
  </si>
  <si>
    <t>Shadow Force Solaq (English)</t>
  </si>
  <si>
    <t>99120101131</t>
  </si>
  <si>
    <t>41-98</t>
  </si>
  <si>
    <t>Blood Angels Battleforce</t>
  </si>
  <si>
    <t>Tau Empire Retaliation Cadre</t>
  </si>
  <si>
    <t>60030101025</t>
  </si>
  <si>
    <t>Codex: Blood Angels (English)</t>
  </si>
  <si>
    <t>Order softback version 60030101026</t>
  </si>
  <si>
    <t>99070212003</t>
  </si>
  <si>
    <t>85-32</t>
  </si>
  <si>
    <t>Shadowblade</t>
  </si>
  <si>
    <t>99070210001</t>
  </si>
  <si>
    <t>87-19</t>
  </si>
  <si>
    <t>Loremaster Of Hoeth</t>
  </si>
  <si>
    <t>99070216001</t>
  </si>
  <si>
    <t>81-12</t>
  </si>
  <si>
    <t>Great Bray-Shaman</t>
  </si>
  <si>
    <t>99120112009</t>
  </si>
  <si>
    <t>45-09</t>
  </si>
  <si>
    <t>Dark Eldar Hellions</t>
  </si>
  <si>
    <t>99121464014</t>
  </si>
  <si>
    <t>31-11</t>
  </si>
  <si>
    <t>Warriors Of Dale City Of Men</t>
  </si>
  <si>
    <t>99121499027</t>
  </si>
  <si>
    <t>32-10</t>
  </si>
  <si>
    <t>Fell Wargs</t>
  </si>
  <si>
    <t>99120207017</t>
  </si>
  <si>
    <t>Vampire Counts Vargheists/Crypt Horrors</t>
  </si>
  <si>
    <t>Repackaged - replaced by 99120207033</t>
  </si>
  <si>
    <t>99120207012</t>
  </si>
  <si>
    <t>Vampire Counts Crypt Ghouls</t>
  </si>
  <si>
    <t>Repackaged - replaced by 99120207032</t>
  </si>
  <si>
    <t>9921999902203</t>
  </si>
  <si>
    <t>PVA Glue (120ml) 3-Pack</t>
  </si>
  <si>
    <t>Replaced by 9921999903303</t>
  </si>
  <si>
    <t>99120202030</t>
  </si>
  <si>
    <t>86-18</t>
  </si>
  <si>
    <t>Karl Franz on Deathclaw</t>
  </si>
  <si>
    <t>99220199043</t>
  </si>
  <si>
    <t>66-70</t>
  </si>
  <si>
    <t>Citadel Warhammer 40000 Basing Kit</t>
  </si>
  <si>
    <t>99800101112</t>
  </si>
  <si>
    <t>Space Marine Captain: Lord Executioner</t>
  </si>
  <si>
    <t>99121462007</t>
  </si>
  <si>
    <t>32-07</t>
  </si>
  <si>
    <t>Goblin Town</t>
  </si>
  <si>
    <t>99800204002</t>
  </si>
  <si>
    <t>92-61</t>
  </si>
  <si>
    <t>Wood Elf Spellweaver With Staff</t>
  </si>
  <si>
    <t>99120199023</t>
  </si>
  <si>
    <t>64-44</t>
  </si>
  <si>
    <t>Honoured Imperium</t>
  </si>
  <si>
    <t>99070104003</t>
  </si>
  <si>
    <t>46-20</t>
  </si>
  <si>
    <t>Eldar Autarch</t>
  </si>
  <si>
    <t>99070205004</t>
  </si>
  <si>
    <t>84-16</t>
  </si>
  <si>
    <t>Grimm Burloksson</t>
  </si>
  <si>
    <t>99120101094</t>
  </si>
  <si>
    <t>48-36</t>
  </si>
  <si>
    <t>Space Marine Stormtalon Gunship</t>
  </si>
  <si>
    <t>Replaced by 99120101152</t>
  </si>
  <si>
    <t>99120101130</t>
  </si>
  <si>
    <t>44-98</t>
  </si>
  <si>
    <t>Dark Angels Battleforce</t>
  </si>
  <si>
    <t>99120103026</t>
  </si>
  <si>
    <t>50-21</t>
  </si>
  <si>
    <t>Ork Bommer</t>
  </si>
  <si>
    <t>Replaced by 99120103043</t>
  </si>
  <si>
    <t>99120112011</t>
  </si>
  <si>
    <t>45-15</t>
  </si>
  <si>
    <t>Dark Eldar Ravager</t>
  </si>
  <si>
    <t>EXR</t>
  </si>
  <si>
    <t>99120207016</t>
  </si>
  <si>
    <t>Vampire Lord On Zombie Dragon</t>
  </si>
  <si>
    <t>Repackaged - replaced by 99120207035</t>
  </si>
  <si>
    <t>99120206011</t>
  </si>
  <si>
    <t>90-14</t>
  </si>
  <si>
    <t>Skaven Battalion</t>
  </si>
  <si>
    <t>99070204001</t>
  </si>
  <si>
    <t>92-10</t>
  </si>
  <si>
    <t>Araloth</t>
  </si>
  <si>
    <t>99810102010</t>
  </si>
  <si>
    <t>Chaos Space Marine Obliterators</t>
  </si>
  <si>
    <t>99120209015</t>
  </si>
  <si>
    <t>Black Orcs</t>
  </si>
  <si>
    <t>Repackaged as a 15 man box - 99120209033</t>
  </si>
  <si>
    <t>60040101038</t>
  </si>
  <si>
    <t>48-96-60</t>
  </si>
  <si>
    <t>Index Astartes: Apocrypha</t>
  </si>
  <si>
    <t>9922999908602</t>
  </si>
  <si>
    <t>Dice Cube (6 Pack)</t>
  </si>
  <si>
    <t>Updated - replaced by 9922999914206</t>
  </si>
  <si>
    <t>03220113001</t>
  </si>
  <si>
    <t>56-02-03</t>
  </si>
  <si>
    <t>Datacards: Tau Empire (Spanish)</t>
  </si>
  <si>
    <t>60220199002</t>
  </si>
  <si>
    <t>Apocalypse Strategic Asset Cards (Eng)</t>
  </si>
  <si>
    <t>Citadel Mixed Base Pack 2</t>
  </si>
  <si>
    <t>BS2</t>
  </si>
  <si>
    <t>Sold Out - will be replaced in BS2 in future</t>
  </si>
  <si>
    <t>99120210022</t>
  </si>
  <si>
    <t>87-16</t>
  </si>
  <si>
    <t>Lothern Skycutter</t>
  </si>
  <si>
    <t>99120217002</t>
  </si>
  <si>
    <t>94-06</t>
  </si>
  <si>
    <t>Tomb Kings Skeleton Warriors</t>
  </si>
  <si>
    <t>99179999019</t>
  </si>
  <si>
    <t>Citadel Hobby Starter Set</t>
  </si>
  <si>
    <t>Replaced by 99179999027 Citadel Build+Paint Set</t>
  </si>
  <si>
    <t>99800101006</t>
  </si>
  <si>
    <t>Space Marine Terminator Chaplain</t>
  </si>
  <si>
    <t>99810103008</t>
  </si>
  <si>
    <t>50-40</t>
  </si>
  <si>
    <t>Ghazghkull Thraka</t>
  </si>
  <si>
    <t>99120101000</t>
  </si>
  <si>
    <t>Imperial Space Marine 2016</t>
  </si>
  <si>
    <t>Chaos Land Raider</t>
  </si>
  <si>
    <t>99120202034</t>
  </si>
  <si>
    <t>86-08</t>
  </si>
  <si>
    <t>Empire Battalion</t>
  </si>
  <si>
    <t>99121463005</t>
  </si>
  <si>
    <t>31-13</t>
  </si>
  <si>
    <t>Palace Guards</t>
  </si>
  <si>
    <t>Tyranid Carnifex Brood</t>
  </si>
  <si>
    <t>High Elf Archmage And Mage</t>
  </si>
  <si>
    <t>High Elf Battalion</t>
  </si>
  <si>
    <t>Citadel Mixed Base Pack 1</t>
  </si>
  <si>
    <t>99121466001</t>
  </si>
  <si>
    <t>05-31</t>
  </si>
  <si>
    <t>War Mumak of Harad</t>
  </si>
  <si>
    <t>99120202012</t>
  </si>
  <si>
    <t>86-09</t>
  </si>
  <si>
    <t>Empire Handgunners / Crossbowmen</t>
  </si>
  <si>
    <t>Bretonnian Battalion</t>
  </si>
  <si>
    <t>Badlands Basing Kit</t>
  </si>
  <si>
    <t>99120102045</t>
  </si>
  <si>
    <t>Repackaged - replaced by 99120102055</t>
  </si>
  <si>
    <t>99120106010</t>
  </si>
  <si>
    <t>51-10</t>
  </si>
  <si>
    <t>Tyranid Carnifex</t>
  </si>
  <si>
    <t>Sold Out</t>
  </si>
  <si>
    <t>60220104002</t>
  </si>
  <si>
    <t>Datacards: Craftworlds (English)</t>
  </si>
  <si>
    <t>99120105058</t>
  </si>
  <si>
    <t>47-25</t>
  </si>
  <si>
    <t>Astra Militarum Cadian Defence Force</t>
  </si>
  <si>
    <t>99120206024</t>
  </si>
  <si>
    <t>90-99</t>
  </si>
  <si>
    <t>Skaven Pestiliens: The Virulent Horde</t>
  </si>
  <si>
    <t>99800101110</t>
  </si>
  <si>
    <t>Space Marine Captain: Master of the Rites</t>
  </si>
  <si>
    <t>99121464012</t>
  </si>
  <si>
    <t>04-08</t>
  </si>
  <si>
    <t>Warriors Of Minas Tirith</t>
  </si>
  <si>
    <t>99179999021</t>
  </si>
  <si>
    <t>60-35</t>
  </si>
  <si>
    <t>Space Marine Paint Set</t>
  </si>
  <si>
    <t>Repackaged - replaced by 99170199012</t>
  </si>
  <si>
    <t>99121463004</t>
  </si>
  <si>
    <t>05-09</t>
  </si>
  <si>
    <t>Galadhrim Warriors</t>
  </si>
  <si>
    <t>99120216005</t>
  </si>
  <si>
    <t>81-06</t>
  </si>
  <si>
    <t>Beastmen Battalion</t>
  </si>
  <si>
    <t>99120206018</t>
  </si>
  <si>
    <t>90-20</t>
  </si>
  <si>
    <t>Skaven Verminlord</t>
  </si>
  <si>
    <t>Repackaged - replaced by 99120206023</t>
  </si>
  <si>
    <t>99120217006</t>
  </si>
  <si>
    <t>94-13</t>
  </si>
  <si>
    <t>Tomb Kings Battalion</t>
  </si>
  <si>
    <t>99120217007</t>
  </si>
  <si>
    <t>94-09</t>
  </si>
  <si>
    <t>Tomb Kings Khemrian Warsphinx/Necrosphinx</t>
  </si>
  <si>
    <t>99120101138</t>
  </si>
  <si>
    <t>48-99</t>
  </si>
  <si>
    <t>Space Marine Battle Demi-Company</t>
  </si>
  <si>
    <t>9921999901610</t>
  </si>
  <si>
    <t>66-54-99</t>
  </si>
  <si>
    <t>Citadel Plastic Glue Thick Global (10)</t>
  </si>
  <si>
    <t>Repackaged - replaced by new version</t>
  </si>
  <si>
    <t>99120201057</t>
  </si>
  <si>
    <t>Lord Heldraths Chaos Deathtide</t>
  </si>
  <si>
    <t>99120217005</t>
  </si>
  <si>
    <t>94-11</t>
  </si>
  <si>
    <t>Tomb Kings Necropolis Knights</t>
  </si>
  <si>
    <t>9921999901810</t>
  </si>
  <si>
    <t>66-52-99</t>
  </si>
  <si>
    <t>Citadel Super Glue Thin Global (10)</t>
  </si>
  <si>
    <t>Repackaged - replaced by 9921999903010</t>
  </si>
  <si>
    <t>99120201021</t>
  </si>
  <si>
    <t>83-19</t>
  </si>
  <si>
    <t>Slaughterbrute</t>
  </si>
  <si>
    <t>Death World Basing Kit</t>
  </si>
  <si>
    <t>9921999901710</t>
  </si>
  <si>
    <t>65-53-99</t>
  </si>
  <si>
    <t>Citadel Plastic Glue Thin (Global) 10Pck</t>
  </si>
  <si>
    <t>Repackaged - replaced by 9921999903210</t>
  </si>
  <si>
    <t>9921999901910</t>
  </si>
  <si>
    <t>Citadel Super Glue Thick Global (10)</t>
  </si>
  <si>
    <t>Repackaged - replaced by 9921999902910</t>
  </si>
  <si>
    <t>99121499016</t>
  </si>
  <si>
    <t>12-05</t>
  </si>
  <si>
    <t>Balrog</t>
  </si>
  <si>
    <t>Space Wolves Pack</t>
  </si>
  <si>
    <t>Repackaged - replaced by 99120101137</t>
  </si>
  <si>
    <t>Psychic Powers: Chaos Daemons</t>
  </si>
  <si>
    <t>Replaced by 60220115002</t>
  </si>
  <si>
    <t>The Riders Of Rohan</t>
  </si>
  <si>
    <t>Winged Nazgul</t>
  </si>
  <si>
    <t>Space Marine Reclusiam Command Squad </t>
  </si>
  <si>
    <t>99129915018</t>
  </si>
  <si>
    <t>97-07</t>
  </si>
  <si>
    <t>Chaos Daemons Battalion/Battleforce</t>
  </si>
  <si>
    <t>99121499025</t>
  </si>
  <si>
    <t>11-08</t>
  </si>
  <si>
    <t>Wild Wargs</t>
  </si>
  <si>
    <t>99120207020</t>
  </si>
  <si>
    <t>91-16</t>
  </si>
  <si>
    <t>Vampire Counts Battalion</t>
  </si>
  <si>
    <t>99120201012</t>
  </si>
  <si>
    <t>Warriors Of Chaos Battalion</t>
  </si>
  <si>
    <t>99120110018</t>
  </si>
  <si>
    <t>49-17</t>
  </si>
  <si>
    <t>Necron Battleforce</t>
  </si>
  <si>
    <t>99120101129</t>
  </si>
  <si>
    <t>Space Marine Battleforce</t>
  </si>
  <si>
    <t>99070201001</t>
  </si>
  <si>
    <t>Repackaged - replaced by 99070201018</t>
  </si>
  <si>
    <t>99120102024</t>
  </si>
  <si>
    <t>Chaos Spawn</t>
  </si>
  <si>
    <t>Repackaged - replaced by 99120201050</t>
  </si>
  <si>
    <t>99120201003</t>
  </si>
  <si>
    <t>83-12</t>
  </si>
  <si>
    <t>Marauders Of Chaos</t>
  </si>
  <si>
    <t>Repackaged - replaced by 99120201052</t>
  </si>
  <si>
    <t>99120201006</t>
  </si>
  <si>
    <t>Warriors Of Chaos Regiment</t>
  </si>
  <si>
    <t>Repackaged - replaced by 99120201047</t>
  </si>
  <si>
    <t>Repackaged - replaced by 99120201048</t>
  </si>
  <si>
    <t>99120201011</t>
  </si>
  <si>
    <t>83-09</t>
  </si>
  <si>
    <t>Chaos Knights</t>
  </si>
  <si>
    <t>Repackaged - replaced by 99120201049</t>
  </si>
  <si>
    <t>99120201022</t>
  </si>
  <si>
    <t>Repackaged - replaced by 99120201051</t>
  </si>
  <si>
    <t>99129915004</t>
  </si>
  <si>
    <t>97-24</t>
  </si>
  <si>
    <t>Daemon Prince</t>
  </si>
  <si>
    <t>Repackaged - replaced by 99120201055</t>
  </si>
  <si>
    <t>Bloodletters of Khorne</t>
  </si>
  <si>
    <t>Repackaged - replaced by 99129915023</t>
  </si>
  <si>
    <t>Bloodcrushers Of Khorne</t>
  </si>
  <si>
    <t>Repackaged - replaced by 99129915022</t>
  </si>
  <si>
    <t>Chaos Daemons Blood Throne Of Khorne</t>
  </si>
  <si>
    <t>Repackaged - replaced by 99129915025</t>
  </si>
  <si>
    <t>Adeptus Mechanicus Elimination Maniple</t>
  </si>
  <si>
    <t>99120116010</t>
  </si>
  <si>
    <t>59-98</t>
  </si>
  <si>
    <t>Adeptus Mechanicus Battle Maniple</t>
  </si>
  <si>
    <t>99120207023</t>
  </si>
  <si>
    <t>Nagash: Supreme Lord of the Undead</t>
  </si>
  <si>
    <t>Repackaged - replaced by 99120207029</t>
  </si>
  <si>
    <t>99070113002</t>
  </si>
  <si>
    <t>56-23</t>
  </si>
  <si>
    <t>Tau Empire Drones</t>
  </si>
  <si>
    <t>Easterling Kataphrakts</t>
  </si>
  <si>
    <t>Citadel Project Box Paint Set</t>
  </si>
  <si>
    <t>9920999903506</t>
  </si>
  <si>
    <t>Repackaged - replaced by 9920999904906</t>
  </si>
  <si>
    <t>Khorne Bloodthirster</t>
  </si>
  <si>
    <t>Repackaged - replaced by 99129915024</t>
  </si>
  <si>
    <t>Scenery Painting Pack</t>
  </si>
  <si>
    <t>Space Marine Captain: Master Of The Marches</t>
  </si>
  <si>
    <t>99800101111</t>
  </si>
  <si>
    <t>Space Marine Captain: Master Of Relics</t>
  </si>
  <si>
    <t>60030106005</t>
  </si>
  <si>
    <t>Codex: Tyranids (English)</t>
  </si>
  <si>
    <t>Replaced by softback version 60030106007</t>
  </si>
  <si>
    <t>Dwarf Dragon Slayer</t>
  </si>
  <si>
    <t>Volkmar The Grim On War Altar Of Sigmar</t>
  </si>
  <si>
    <t>9920999903306</t>
  </si>
  <si>
    <t>Macragge Blue Spray (6-Pack)</t>
  </si>
  <si>
    <t>Repackaged - replaced by 9920999904606</t>
  </si>
  <si>
    <t>99120101112</t>
  </si>
  <si>
    <t>C'tan Shard Of The Nightbringer</t>
  </si>
  <si>
    <t>Tyranid Lictor</t>
  </si>
  <si>
    <t>Eldar Farseer And Warlocks</t>
  </si>
  <si>
    <t>Eldar Rangers</t>
  </si>
  <si>
    <t>9918995301106</t>
  </si>
  <si>
    <t>24-11</t>
  </si>
  <si>
    <t>Agrax Earthshade (6=Pack</t>
  </si>
  <si>
    <t>Replaced by 9918995301806 24ml version</t>
  </si>
  <si>
    <t>Daemonette Hide (6-Pack)</t>
  </si>
  <si>
    <t>Replaced by new Range alternative</t>
  </si>
  <si>
    <t>Ratskin Flesh (6-Pack)</t>
  </si>
  <si>
    <t>Warpfiend Grey (6-Pack)</t>
  </si>
  <si>
    <t>Slaanesh Grey (6-Pack)</t>
  </si>
  <si>
    <t>Bestigor Flesh (6-Pack)</t>
  </si>
  <si>
    <t>Dark Reaper (6-Pack)</t>
  </si>
  <si>
    <t>Thunderhawk Blue (6-Pack)</t>
  </si>
  <si>
    <t>Etherium Blue (6-Pack)</t>
  </si>
  <si>
    <t>Tyrant Skull (6-Pack)</t>
  </si>
  <si>
    <t>9918995300106</t>
  </si>
  <si>
    <t>24-01</t>
  </si>
  <si>
    <t xml:space="preserve">Casandora Yellow (6-Pack) </t>
  </si>
  <si>
    <t>Replaced by 9918995302106 24ml version</t>
  </si>
  <si>
    <t>Datacards: Necrons (English)</t>
  </si>
  <si>
    <t>9918995300206</t>
  </si>
  <si>
    <t>24-02</t>
  </si>
  <si>
    <t>Fuegan Orange (6-Pack)</t>
  </si>
  <si>
    <t>Replaced by 9918995302306 24ml version</t>
  </si>
  <si>
    <t>9918995300306</t>
  </si>
  <si>
    <t>24-03</t>
  </si>
  <si>
    <t>Carroburg Crimson (6-Pack)</t>
  </si>
  <si>
    <t>Replaced by 9918995301606 24ml version</t>
  </si>
  <si>
    <t>9918995300406</t>
  </si>
  <si>
    <t>24-04</t>
  </si>
  <si>
    <t>Druchii Violet (6-Pack)</t>
  </si>
  <si>
    <t>Replaced by 9918995301906 24ml version</t>
  </si>
  <si>
    <t>9918995300506</t>
  </si>
  <si>
    <t>24-05</t>
  </si>
  <si>
    <t>Drakenhof Nightshade (6-Pack)</t>
  </si>
  <si>
    <t>Replaced by 9918995302006 24ml version</t>
  </si>
  <si>
    <t>9918995300606</t>
  </si>
  <si>
    <t>24-06</t>
  </si>
  <si>
    <t>Coelia Greenshade (6-Pack)</t>
  </si>
  <si>
    <t>Replaced by 9918995302506 24ml version</t>
  </si>
  <si>
    <t>9918995300706</t>
  </si>
  <si>
    <t>24-07</t>
  </si>
  <si>
    <t>Biel-Tan Green (6-Pack)</t>
  </si>
  <si>
    <t>Replaced by 9918995302206 24ml version</t>
  </si>
  <si>
    <t>9918995300806</t>
  </si>
  <si>
    <t>24-08</t>
  </si>
  <si>
    <t>Athonian Camoshade (6-Pack)</t>
  </si>
  <si>
    <t>Replaced by 9918995302406 24ml version</t>
  </si>
  <si>
    <t>9918995300906</t>
  </si>
  <si>
    <t>24-09</t>
  </si>
  <si>
    <t>Seraphim Sepia (6-Pack)</t>
  </si>
  <si>
    <t>Replaced by 9918995302606 24ml version</t>
  </si>
  <si>
    <t>9918995301006</t>
  </si>
  <si>
    <t>24-10</t>
  </si>
  <si>
    <t>Reikland Fleshshade (6-Pack)</t>
  </si>
  <si>
    <t>Replaced by 9918995302706 24ml version</t>
  </si>
  <si>
    <t>9918995301306</t>
  </si>
  <si>
    <t>24-12</t>
  </si>
  <si>
    <t>Nuln Oil (6-Pack)</t>
  </si>
  <si>
    <t>Replaced by 9918995301706 24ml version</t>
  </si>
  <si>
    <t>9918995400106</t>
  </si>
  <si>
    <t>25-01</t>
  </si>
  <si>
    <t>Lamenters Yellow (6-Pack)</t>
  </si>
  <si>
    <t>Lustrian Undergrowth (6-Pack)</t>
  </si>
  <si>
    <t>9918995500406</t>
  </si>
  <si>
    <t>26-04</t>
  </si>
  <si>
    <t>Mourn Mountain Snow (6-Pack)</t>
  </si>
  <si>
    <t>Blackfire Earth (6-Pack)</t>
  </si>
  <si>
    <t>9918995600406</t>
  </si>
  <si>
    <t>27-04</t>
  </si>
  <si>
    <t>Liquid Green Stuff (6-Pack)</t>
  </si>
  <si>
    <t>Replaced by 9921999903503 (3-Pack)</t>
  </si>
  <si>
    <t>Possessed Chaos Space Marines</t>
  </si>
  <si>
    <t>Replaced by 99120102056</t>
  </si>
  <si>
    <t>99179952001</t>
  </si>
  <si>
    <t>Citadel Dry Paint Set</t>
  </si>
  <si>
    <t>Replaced by 99179952002</t>
  </si>
  <si>
    <t>99120101032</t>
  </si>
  <si>
    <t>Replaced by 99120101139</t>
  </si>
  <si>
    <t>Hellstriders Of Slaanesh</t>
  </si>
  <si>
    <t>Horus Heresy: Shadows Of Treachery</t>
  </si>
  <si>
    <t>Horus Heresy: A Thousand Sons</t>
  </si>
  <si>
    <t>End Times: The Rise Of The Horned Rat</t>
  </si>
  <si>
    <t>99120208003</t>
  </si>
  <si>
    <t>Lizardmen Saurus Regiment</t>
  </si>
  <si>
    <t>Replaced by 99120208019</t>
  </si>
  <si>
    <t>99120208004</t>
  </si>
  <si>
    <t>Lizardmen Skink Regiment</t>
  </si>
  <si>
    <t>Replaced by 99120208014</t>
  </si>
  <si>
    <t>99120208008</t>
  </si>
  <si>
    <t>Lizardmen Stegadon</t>
  </si>
  <si>
    <t>Replaced by 99120208020</t>
  </si>
  <si>
    <t>99120208010</t>
  </si>
  <si>
    <t>88-14</t>
  </si>
  <si>
    <t>Lizardmen Battalion</t>
  </si>
  <si>
    <t>Replaced by 99120208022</t>
  </si>
  <si>
    <t>99120208011</t>
  </si>
  <si>
    <t>Lizardmen Bastiladon</t>
  </si>
  <si>
    <t>Replaced by 99120208015</t>
  </si>
  <si>
    <t>99120208012</t>
  </si>
  <si>
    <t>88-10</t>
  </si>
  <si>
    <t>Lizardmen Carnosaur</t>
  </si>
  <si>
    <t>Replaced by 99120208017</t>
  </si>
  <si>
    <t>99120208013</t>
  </si>
  <si>
    <t>Lizardmen Terradon Riders</t>
  </si>
  <si>
    <t>Replaced by 99120208021</t>
  </si>
  <si>
    <t xml:space="preserve">Sold Out </t>
  </si>
  <si>
    <t>9920999903806</t>
  </si>
  <si>
    <t>62-22</t>
  </si>
  <si>
    <t>Rhinox Hide Spray (6-Pack)</t>
  </si>
  <si>
    <t>Replaced by 60030113008</t>
  </si>
  <si>
    <t>Replaced by 99120113039</t>
  </si>
  <si>
    <t>Xv8 Crisis Battlesuit Team</t>
  </si>
  <si>
    <t>Replaced by 99120113038</t>
  </si>
  <si>
    <t>Repackaged - replaced by 99120101133</t>
  </si>
  <si>
    <t>Space Marine Vanguard Veteran Squad</t>
  </si>
  <si>
    <t>Repackaged - replaced by 99120101134</t>
  </si>
  <si>
    <t>Riddles In The Dark</t>
  </si>
  <si>
    <t>Azog Lieutenant Of Sauron</t>
  </si>
  <si>
    <t>99229999128 </t>
  </si>
  <si>
    <t>Under-Empire Basing Kit</t>
  </si>
  <si>
    <t>Sylvaneth Forest Spirit Warhost</t>
  </si>
  <si>
    <t>Celestial Hurricanum/Luminark Of Hysh</t>
  </si>
  <si>
    <t>Warriors Of The Fang </t>
  </si>
  <si>
    <t>Lizardmen Skink Priest</t>
  </si>
  <si>
    <t xml:space="preserve">Gaunts Ghosts: Ghostmaker </t>
  </si>
  <si>
    <t>Khorne Wrathmongers</t>
  </si>
  <si>
    <t>Repackaged - replaced by 99120201042</t>
  </si>
  <si>
    <t>Skullcrushers Of Khorne</t>
  </si>
  <si>
    <t>Repackaged - replaced by 99120201043</t>
  </si>
  <si>
    <t>Skarr Bloodwrath</t>
  </si>
  <si>
    <t>Repackaged - replaced by 99070201013</t>
  </si>
  <si>
    <t>The End Times: The Lord Of The End Times</t>
  </si>
  <si>
    <t xml:space="preserve">99120299021 </t>
  </si>
  <si>
    <t>Eternity Stair &amp; Dreadfire Portal</t>
  </si>
  <si>
    <t>SMB: Visions Of War (Artbook)</t>
  </si>
  <si>
    <t>Lizardmen Temple Guard</t>
  </si>
  <si>
    <t>XV8 Battlesuit Commander</t>
  </si>
  <si>
    <t>Gulahvar The Terror Of Arnor</t>
  </si>
  <si>
    <t>Beastmen Jabberslythe</t>
  </si>
  <si>
    <t>Citadel Warhammer Basing Kit</t>
  </si>
  <si>
    <t>Khorne Red Spray (X6)</t>
  </si>
  <si>
    <t>Wood Elf Warriors</t>
  </si>
  <si>
    <t>Repackaged - replaced by 99120204012</t>
  </si>
  <si>
    <t>Magewrath Throne and Balewind Vortex</t>
  </si>
  <si>
    <t>Dark Elf Warhost Of Naggaroth</t>
  </si>
  <si>
    <t>Maggoth Lord</t>
  </si>
  <si>
    <t>Repackaged - replaced by 99120201038</t>
  </si>
  <si>
    <t>The Glottkin</t>
  </si>
  <si>
    <t>Repackaged - replaced by 99120201040</t>
  </si>
  <si>
    <t xml:space="preserve">Forsaken </t>
  </si>
  <si>
    <t>Out of stock - Being repackaged</t>
  </si>
  <si>
    <t>Windrider Battlehost</t>
  </si>
  <si>
    <t>Captain Of The Empire</t>
  </si>
  <si>
    <t>Repackaged - replaced by 99120202011</t>
  </si>
  <si>
    <t>Gutrot Spume</t>
  </si>
  <si>
    <t>Repackaged - replaced by 99070201008</t>
  </si>
  <si>
    <t>The Unremembered Empire (A-Format)</t>
  </si>
  <si>
    <t>Shield Of Baal: Deathstorm</t>
  </si>
  <si>
    <t>60040181127</t>
  </si>
  <si>
    <t>BL1164</t>
  </si>
  <si>
    <t xml:space="preserve"> Smb: Flesh Of Cretacia (A5 Hb) </t>
  </si>
  <si>
    <t>60100181260</t>
  </si>
  <si>
    <t>BL907</t>
  </si>
  <si>
    <t xml:space="preserve"> Space Wolves: Stormcaller (Hardback) </t>
  </si>
  <si>
    <t>60100181280</t>
  </si>
  <si>
    <t>BL1083</t>
  </si>
  <si>
    <t xml:space="preserve"> Horus Heresy: Vengeful Spirit (C Format) </t>
  </si>
  <si>
    <t>60100181300</t>
  </si>
  <si>
    <t>BL1106</t>
  </si>
  <si>
    <t xml:space="preserve"> Horus Heresy: Damnation Of Pythos </t>
  </si>
  <si>
    <t>60100281161</t>
  </si>
  <si>
    <t>BL1107</t>
  </si>
  <si>
    <t xml:space="preserve"> Bane Of Malekith </t>
  </si>
  <si>
    <t>60680181043</t>
  </si>
  <si>
    <t>BL2554</t>
  </si>
  <si>
    <t xml:space="preserve"> The Stromark Massacre (Audiobook) </t>
  </si>
  <si>
    <t>60680181063</t>
  </si>
  <si>
    <t>BL1039</t>
  </si>
  <si>
    <t xml:space="preserve"> Horus Heresy: Scars (Audiobook) </t>
  </si>
  <si>
    <t>60680181068</t>
  </si>
  <si>
    <t>BL1115</t>
  </si>
  <si>
    <t xml:space="preserve"> Horus Heresy: Vengeful Spirit (Audiobk) </t>
  </si>
  <si>
    <t xml:space="preserve"> Horus Heresy: Echoes Of Ruin (Audiobook) </t>
  </si>
  <si>
    <t xml:space="preserve"> Hh: Damnation Of Pythos (Audiobook) </t>
  </si>
  <si>
    <t xml:space="preserve"> Skaven Screaming Bell/Plague Furnace </t>
  </si>
  <si>
    <t xml:space="preserve">Replaced by 99120206022
</t>
  </si>
  <si>
    <t xml:space="preserve"> Nurgle Chaos Lord </t>
  </si>
  <si>
    <t xml:space="preserve"> Skaven Warp Lightning Cannon/Plagueclaw Catapult </t>
  </si>
  <si>
    <t xml:space="preserve">Repackaged - replaced by 99120206020 
</t>
  </si>
  <si>
    <t xml:space="preserve"> Space Wolves Upgrades </t>
  </si>
  <si>
    <t xml:space="preserve"> Blood Angels Upgrades </t>
  </si>
  <si>
    <t xml:space="preserve"> Dark Angels Upgrades </t>
  </si>
  <si>
    <t xml:space="preserve"> Ultramarines Upgrades </t>
  </si>
  <si>
    <t xml:space="preserve"> Bolg Castellan Of Mount Gundabad </t>
  </si>
  <si>
    <t xml:space="preserve"> Smb: World Engine </t>
  </si>
  <si>
    <t xml:space="preserve"> First And Only (B Format) </t>
  </si>
  <si>
    <t xml:space="preserve"> Gotrek &amp; Felix: Kinslayer (Hardback) </t>
  </si>
  <si>
    <t xml:space="preserve"> Tol: The Curse Of The Phoenix Crown </t>
  </si>
  <si>
    <t xml:space="preserve"> End Times: The Curse Of Khaine </t>
  </si>
  <si>
    <t>Obsolete</t>
  </si>
  <si>
    <t xml:space="preserve"> Ork Trukk Boyz </t>
  </si>
  <si>
    <t xml:space="preserve"> Wood Elves Treeman Ancient </t>
  </si>
  <si>
    <t xml:space="preserve"> End Times: The Fall Of Altdorf </t>
  </si>
  <si>
    <t xml:space="preserve"> Space Marine Scout Bike Squad </t>
  </si>
  <si>
    <t>99120201026</t>
  </si>
  <si>
    <t xml:space="preserve"> Putrid Blightkings </t>
  </si>
  <si>
    <t>Repackaged - replaced by 99120201041</t>
  </si>
  <si>
    <t xml:space="preserve"> 40k Battlefield Accessories </t>
  </si>
  <si>
    <t>60030102005</t>
  </si>
  <si>
    <t>Codex Chaos Space Marines (English)</t>
  </si>
  <si>
    <t xml:space="preserve">Replaced by 60030102011
</t>
  </si>
  <si>
    <t>9920999901202</t>
  </si>
  <si>
    <t>Chaos Black Spray 400ml</t>
  </si>
  <si>
    <t>Replaced by 9920999904206 (change to can artwork)</t>
  </si>
  <si>
    <t>Salamanders: The Omnibus</t>
  </si>
  <si>
    <t>Archaon: Lord Of Chaos (Hardback)</t>
  </si>
  <si>
    <t>Adeptus Mechanicus: Skitarius (Hardback)</t>
  </si>
  <si>
    <t> 60010299005</t>
  </si>
  <si>
    <t>Warhammer Island Of Blood (English) </t>
  </si>
  <si>
    <t>BS1</t>
  </si>
  <si>
    <t>Bretonnian Army Book </t>
  </si>
  <si>
    <t> 60030205006</t>
  </si>
  <si>
    <t> Warhammer: Dwarfs (Softback) (English) </t>
  </si>
  <si>
    <t>Warhammer: Lizardmen (English) </t>
  </si>
  <si>
    <t> 60030209004 </t>
  </si>
  <si>
    <t> Warhammer Armies Orcs &amp; Goblins </t>
  </si>
  <si>
    <t>Warhammer: High Elves (English)</t>
  </si>
  <si>
    <t> 60030212005</t>
  </si>
  <si>
    <t>Warhammer: Dark Elves (Eng</t>
  </si>
  <si>
    <t>Warhammer: Ogre Kingdoms</t>
  </si>
  <si>
    <t>60030215003 </t>
  </si>
  <si>
    <t>Warhammer: Daemons Of Chaos (English)</t>
  </si>
  <si>
    <t>Beastmen Army Book </t>
  </si>
  <si>
    <t>Storm Of Magic (English)</t>
  </si>
  <si>
    <t> Smb: War Of The Fang (Hardback) </t>
  </si>
  <si>
    <t> 60040201007</t>
  </si>
  <si>
    <t>Warhammer: Glottkin (English) (Softback) </t>
  </si>
  <si>
    <t>Warhammer: Khaine (Softback) English </t>
  </si>
  <si>
    <t> Warhammer Fantasy Battle Rulebook 2010</t>
  </si>
  <si>
    <t>Triumph &amp; Treachery (English)</t>
  </si>
  <si>
    <t>Warhammer: Nagash (English) (Softback) </t>
  </si>
  <si>
    <t> Warhammer Battle Magic (English)</t>
  </si>
  <si>
    <t>99220299023 </t>
  </si>
  <si>
    <t>Modular Movement Tray</t>
  </si>
  <si>
    <t>99220299032</t>
  </si>
  <si>
    <t>WH Template Set</t>
  </si>
  <si>
    <t>Square Bases</t>
  </si>
  <si>
    <t> 99229999070</t>
  </si>
  <si>
    <t>Round Bases</t>
  </si>
  <si>
    <t> Lizardmen Saurus Cavalry</t>
  </si>
  <si>
    <t> 60030206003 </t>
  </si>
  <si>
    <t>Skaven Army Book English</t>
  </si>
  <si>
    <t>99179953001 </t>
  </si>
  <si>
    <t> Citadel Shade Paint Set</t>
  </si>
  <si>
    <t>Replaced with 99179953002</t>
  </si>
  <si>
    <t>Replaced with 99120101128</t>
  </si>
  <si>
    <t>Warhammer: Warriors Of Chaos (Sb) (Eng) </t>
  </si>
  <si>
    <t> 60030202004</t>
  </si>
  <si>
    <t>Warhammer: The Empire (English)</t>
  </si>
  <si>
    <t> 60030204004</t>
  </si>
  <si>
    <t>Warhammer: Wood Elves (English) </t>
  </si>
  <si>
    <t>60030207007</t>
  </si>
  <si>
    <t>91-01-60</t>
  </si>
  <si>
    <t>Warhammer: Vampire Counts (Sb) (English)</t>
  </si>
  <si>
    <t>60030217002 </t>
  </si>
  <si>
    <t>Warhammer: Tomb Kings (S/Back) (English)</t>
  </si>
  <si>
    <t>Warhammer: Archaon (Hardback) (English)</t>
  </si>
  <si>
    <t>60040201008 </t>
  </si>
  <si>
    <t>Warhammer: Archaon (Softback) (English)</t>
  </si>
  <si>
    <t> 60040206005</t>
  </si>
  <si>
    <t> Warhammer: Thanquol (Softback) Eng</t>
  </si>
  <si>
    <t> 60040299035</t>
  </si>
  <si>
    <t>Warhammer: Sigmars Blood (English) </t>
  </si>
  <si>
    <t> Wbm: Daemons Of Chaos (English)</t>
  </si>
  <si>
    <t>60030101017</t>
  </si>
  <si>
    <t xml:space="preserve"> Codex Dark Angels (English)</t>
  </si>
  <si>
    <t>Obsolete - Replaced by 60030101030</t>
  </si>
  <si>
    <t>99229999065</t>
  </si>
  <si>
    <t>Citadel Realm Of Battle Gameboard</t>
  </si>
  <si>
    <t>Gotrek &amp; Felix: Slayer (Hardback)</t>
  </si>
  <si>
    <t>Sold out</t>
  </si>
  <si>
    <t>99800101009</t>
  </si>
  <si>
    <t>60030101018</t>
  </si>
  <si>
    <t>Codex: Space Marines</t>
  </si>
  <si>
    <t>Obsolete - Replaced by 60030101029</t>
  </si>
  <si>
    <t>Space Marine Devastators</t>
  </si>
  <si>
    <t>Replaced by 99120101127</t>
  </si>
  <si>
    <t>Garden of Morr</t>
  </si>
  <si>
    <t xml:space="preserve">Sold out </t>
  </si>
  <si>
    <t>Moria Goblin Warriors</t>
  </si>
  <si>
    <t>Uruk-Hai Siege Troops</t>
  </si>
  <si>
    <t>Ultimate Paint Set</t>
  </si>
  <si>
    <t>Waaagh! Ghazghkull (Codex: Orcs Supp.)</t>
  </si>
  <si>
    <t>Incubi Darkness Spray</t>
  </si>
  <si>
    <t>Leadbelcher Spray</t>
  </si>
  <si>
    <t>Tauriel Mirkwood Exile</t>
  </si>
  <si>
    <t>Thorin Oakenshield &amp; Bilbo Baggins</t>
  </si>
  <si>
    <t>Citadel Base Paint Set</t>
  </si>
  <si>
    <t>Replaced by 99179950002</t>
  </si>
  <si>
    <t>Citadel Layer Paint Set</t>
  </si>
  <si>
    <t>Replaced by 99179951002</t>
  </si>
  <si>
    <t>03030104008</t>
  </si>
  <si>
    <t>46-01-03</t>
  </si>
  <si>
    <t>Codex: Craftworlds (Spanish)</t>
  </si>
  <si>
    <t>Replaced by softback version 03030104010</t>
  </si>
  <si>
    <t>9920999901102</t>
  </si>
  <si>
    <t>Skull White Spray 400ml</t>
  </si>
  <si>
    <t>Replaced by 9920999904106</t>
  </si>
  <si>
    <t>Replaced by 9920999904206</t>
  </si>
  <si>
    <t>Space Marines Assault Squad</t>
  </si>
  <si>
    <t>Replaced by 99120101126</t>
  </si>
  <si>
    <t>The Knights Of The Imperium</t>
  </si>
  <si>
    <t>Kharn: Eater Of Worlds (Hardback)</t>
  </si>
  <si>
    <t>The Fist Of Demetrius</t>
  </si>
  <si>
    <t>9920999902702</t>
  </si>
  <si>
    <t>Purity Seal Satin Spray Varnish</t>
  </si>
  <si>
    <t>Replaced by 9920999904306</t>
  </si>
  <si>
    <t>60220111001</t>
  </si>
  <si>
    <t>Datacards: Harlequins (English)</t>
  </si>
  <si>
    <t>99121466006</t>
  </si>
  <si>
    <t>04-10</t>
  </si>
  <si>
    <t>Warriors Of The Dead</t>
  </si>
  <si>
    <t>9920999903106</t>
  </si>
  <si>
    <t>Mephiston Red Spray (6-Pack)</t>
  </si>
  <si>
    <t>99220199046</t>
  </si>
  <si>
    <t>Warhammer 40K Munitorum Vehicle Markers</t>
  </si>
  <si>
    <t>99220299030</t>
  </si>
  <si>
    <t>65-99</t>
  </si>
  <si>
    <t>Warhammer Engineers Ranging Set</t>
  </si>
  <si>
    <t>99220299031</t>
  </si>
  <si>
    <t>Warhammer Counter Set</t>
  </si>
  <si>
    <t>01100181191</t>
  </si>
  <si>
    <t>Iron Guard (French)</t>
  </si>
  <si>
    <t>Transparent Paintbrush Dispenser</t>
  </si>
  <si>
    <t>01040181014</t>
  </si>
  <si>
    <t>Space Wolves: Stormcaller (French)</t>
  </si>
  <si>
    <t>9919999903510</t>
  </si>
  <si>
    <t>63-07</t>
  </si>
  <si>
    <t>Citadel Stippling Brush (10 Pack)</t>
  </si>
  <si>
    <t>9919999903405</t>
  </si>
  <si>
    <t>63-11</t>
  </si>
  <si>
    <t>Citadel Large Drybrush (5 Pack)</t>
  </si>
  <si>
    <t>9919999903310</t>
  </si>
  <si>
    <t>63-10</t>
  </si>
  <si>
    <t>Citadel Medium Drybrush (10 Pack)</t>
  </si>
  <si>
    <t>9919999903210</t>
  </si>
  <si>
    <t>63-09</t>
  </si>
  <si>
    <t>Citadel Small Drybrush (10 Pack) </t>
  </si>
  <si>
    <t>9919999903110</t>
  </si>
  <si>
    <t>63-06</t>
  </si>
  <si>
    <t>Citadel Wash Brush (10 Pack)</t>
  </si>
  <si>
    <t>9919999902910</t>
  </si>
  <si>
    <t>63-04</t>
  </si>
  <si>
    <t>Citadel Basecoat Brush (10 Pack)</t>
  </si>
  <si>
    <t>9919999902810</t>
  </si>
  <si>
    <t>63-03</t>
  </si>
  <si>
    <t>Citadel Standard Brush (10 Pack)</t>
  </si>
  <si>
    <t>9919999902710</t>
  </si>
  <si>
    <t>63-02</t>
  </si>
  <si>
    <t>Citadel Detail Brush (10 Pack)</t>
  </si>
  <si>
    <t>Path Of The Dark Eldar Omnibus</t>
  </si>
  <si>
    <t>Codex: Imperial Knights</t>
  </si>
  <si>
    <t>Plasma Obliterator</t>
  </si>
  <si>
    <t>Warhammer: Vampire Counts (English)</t>
  </si>
  <si>
    <t>Replaced by 60030207007</t>
  </si>
  <si>
    <t>60040101026</t>
  </si>
  <si>
    <t>41-03-60</t>
  </si>
  <si>
    <t>Sons Of Sanguinius: Blood Angels Painting Guide</t>
  </si>
  <si>
    <t xml:space="preserve">Sold out  </t>
  </si>
  <si>
    <t>Horus Heresy: Fulgrim (Hardback)</t>
  </si>
  <si>
    <t>Archaon: Everchosen</t>
  </si>
  <si>
    <t>End Times: The Return Of Nagash</t>
  </si>
  <si>
    <t>Wood Elves Guardians Of The Deepwood</t>
  </si>
  <si>
    <t>9920999903606</t>
  </si>
  <si>
    <t>Zandri Dust Spray (6-Pack)</t>
  </si>
  <si>
    <t>9919999902610</t>
  </si>
  <si>
    <t>63-01</t>
  </si>
  <si>
    <t>Citadel Fine Detail Brush (10 Pack)</t>
  </si>
  <si>
    <t>Blood Tide Of Khorne</t>
  </si>
  <si>
    <t>Dwarf Warriors</t>
  </si>
  <si>
    <t>Dark Eldar Wych Cult Shardstorm</t>
  </si>
  <si>
    <t> 99120105056</t>
  </si>
  <si>
    <t>Sold out - order alternative 99120104030 instead</t>
  </si>
  <si>
    <t>Khorne Daemonkin Warband</t>
  </si>
  <si>
    <t>Chaos Space Marine Attack Force</t>
  </si>
  <si>
    <t>Adeptus Astartes Strikeforce</t>
  </si>
  <si>
    <t>01220299005</t>
  </si>
  <si>
    <t>80-06-01</t>
  </si>
  <si>
    <t>Warhammer Battle Magic (French)</t>
  </si>
  <si>
    <t>03040199038</t>
  </si>
  <si>
    <t>40-18-03</t>
  </si>
  <si>
    <t>Warzone: Valedor (Spanish)</t>
  </si>
  <si>
    <t>01040199038</t>
  </si>
  <si>
    <t>40-18-01</t>
  </si>
  <si>
    <t>Warzone: Valedor (French)</t>
  </si>
  <si>
    <t>03040199033</t>
  </si>
  <si>
    <t>40-10-03</t>
  </si>
  <si>
    <t>Apocalypse Warzone: Pandorax (Spa)</t>
  </si>
  <si>
    <t>Wh40k Psychic Powers: Eldar Eng</t>
  </si>
  <si>
    <t>01030104005</t>
  </si>
  <si>
    <t>46-01-01</t>
  </si>
  <si>
    <t xml:space="preserve">Codex: Eldar (French) </t>
  </si>
  <si>
    <t>Obsolete - Replaced by 01030104008</t>
  </si>
  <si>
    <t>03030104005</t>
  </si>
  <si>
    <t xml:space="preserve">Codex: Eldar (Spanish) </t>
  </si>
  <si>
    <t>Obsolete - Replaced by 03030104008</t>
  </si>
  <si>
    <t>03220110001</t>
  </si>
  <si>
    <t>49-03-03</t>
  </si>
  <si>
    <t>Datacards: Necrons (Spanish)</t>
  </si>
  <si>
    <t>Warhammer Armies: Dwarfs (English)</t>
  </si>
  <si>
    <t>Replaced by 60030205006</t>
  </si>
  <si>
    <t>9919999903010</t>
  </si>
  <si>
    <t>63-05</t>
  </si>
  <si>
    <t>Citadel Large Brush (10 Pack)</t>
  </si>
  <si>
    <t>01040199032</t>
  </si>
  <si>
    <t>40-08-01</t>
  </si>
  <si>
    <t>Apocalypse Warzone: Damnos (French)</t>
  </si>
  <si>
    <t>Apocalypse Warzone: Pandorax (Eng)</t>
  </si>
  <si>
    <t>Sanguine Strike Company</t>
  </si>
  <si>
    <t>Warriors Of The Last Alliance </t>
  </si>
  <si>
    <t>99801499021</t>
  </si>
  <si>
    <t>H3-07</t>
  </si>
  <si>
    <t>Balin, Dwalin &amp; Oin - Champions Of Erebor</t>
  </si>
  <si>
    <t>The White Council - Vanquishers of Necromancer</t>
  </si>
  <si>
    <t>The Masque Of Vyle</t>
  </si>
  <si>
    <t>Gotrex &amp; Felix: Lost Tales</t>
  </si>
  <si>
    <t xml:space="preserve">Codex: Eldar (English) </t>
  </si>
  <si>
    <t>Obsolete - Replaced by 60030104008</t>
  </si>
  <si>
    <t>01030105006</t>
  </si>
  <si>
    <t>47-01-01</t>
  </si>
  <si>
    <t>Codex: Astra Militarum (French)</t>
  </si>
  <si>
    <t>Replaced by 01030105007</t>
  </si>
  <si>
    <t xml:space="preserve">Warriors Of The Laughing God:Paint Guide </t>
  </si>
  <si>
    <t>Datacards: Blood Angels (English)</t>
  </si>
  <si>
    <t xml:space="preserve"> Wych Cult Swiftshard </t>
  </si>
  <si>
    <t xml:space="preserve"> Beastmen Ghorgon / Cygor</t>
  </si>
  <si>
    <t>Grey Knights Stormraven Gunship</t>
  </si>
  <si>
    <t>Tau Empire XV104 Riptide Battlesuit</t>
  </si>
  <si>
    <t xml:space="preserve">Sold out - order alternative 99120103030 </t>
  </si>
  <si>
    <t>9920999903406</t>
  </si>
  <si>
    <t>62-18</t>
  </si>
  <si>
    <t>The Fang Spray (6-Pack)</t>
  </si>
  <si>
    <t>Eldar Windrider Jetbike Squadron</t>
  </si>
  <si>
    <t>Replaced by 99120104038</t>
  </si>
  <si>
    <t>9920999903003</t>
  </si>
  <si>
    <t>62-09</t>
  </si>
  <si>
    <t>Citadel Spray Gun Propellant 3 Pack</t>
  </si>
  <si>
    <t>The Grey Knights Omnibus</t>
  </si>
  <si>
    <t>Warhammer 40000 Army Case (Grey)</t>
  </si>
  <si>
    <t>Figure Case</t>
  </si>
  <si>
    <t>Replaced by 60030113007</t>
  </si>
  <si>
    <t>Horus Heresy: Legion (HB)</t>
  </si>
  <si>
    <t>End Times: Lord Of The End Times (HB)</t>
  </si>
  <si>
    <t> 99120103039</t>
  </si>
  <si>
    <t>Ork Morkanaut</t>
  </si>
  <si>
    <t>Obsolete - Alternative 99120103034 is still available</t>
  </si>
  <si>
    <t>Warhammer: Warriors Of Chaos</t>
  </si>
  <si>
    <t>Sold out - Replaced by 60030201009</t>
  </si>
  <si>
    <t>Horus Heresy: Scars (C-Format)</t>
  </si>
  <si>
    <t>Smb: Overfiend (Hardback)</t>
  </si>
  <si>
    <t>The Last Days Of Ector (Valedor Novella)</t>
  </si>
  <si>
    <t>Yarrick: Imperial Creed</t>
  </si>
  <si>
    <t>Sigmars Blood (Hardback Novel)</t>
  </si>
  <si>
    <t>HH: Age Of Darkness</t>
  </si>
  <si>
    <t>03040199032</t>
  </si>
  <si>
    <t>40-08-03</t>
  </si>
  <si>
    <t>Apocalypse Warzone: Damnos (Spanish)</t>
  </si>
  <si>
    <t>Champions Of Fenris</t>
  </si>
  <si>
    <t>Codex: Astra Militarum (English)</t>
  </si>
  <si>
    <t>Sold out - Replaced by 60030105009</t>
  </si>
  <si>
    <t>Beastmen Bestigor Herd</t>
  </si>
  <si>
    <t>Deathknell Watch</t>
  </si>
  <si>
    <t>03040201002</t>
  </si>
  <si>
    <t>83-03-03</t>
  </si>
  <si>
    <t>Warhammer: Glottkin (Abridged) (Spanish)</t>
  </si>
  <si>
    <t>Replaced by 03040201006</t>
  </si>
  <si>
    <t>03040212002</t>
  </si>
  <si>
    <t>85-03-03</t>
  </si>
  <si>
    <t>Warhammer: Khaine (Abridged) (Spanish)</t>
  </si>
  <si>
    <t>Replaced by 03040212005</t>
  </si>
  <si>
    <t>Dark Hunters: Umbra Sumus</t>
  </si>
  <si>
    <t>Garro: Sword Of Truth (Audiobook)</t>
  </si>
  <si>
    <t>The Tomb Awakened</t>
  </si>
  <si>
    <t>Uruk-Hai Warriors</t>
  </si>
  <si>
    <t>Knights Of Minas Tirith</t>
  </si>
  <si>
    <t>Army Figure Case</t>
  </si>
  <si>
    <t>Legolas Greenleaf Prince Of Mirkwood</t>
  </si>
  <si>
    <t>Mirkwood Armoured Captain</t>
  </si>
  <si>
    <t>03220102001</t>
  </si>
  <si>
    <t>43-02-03</t>
  </si>
  <si>
    <t>Psychic Cards:Chaos Space Marine:Spanish</t>
  </si>
  <si>
    <t>99121464008</t>
  </si>
  <si>
    <t>09-08</t>
  </si>
  <si>
    <t>Haradrim Warriors</t>
  </si>
  <si>
    <t>Ent</t>
  </si>
  <si>
    <t>03030110002</t>
  </si>
  <si>
    <t>49-01-03</t>
  </si>
  <si>
    <t>Codex Necrons (Spanish)</t>
  </si>
  <si>
    <t>Sold out - Replaced by 03030110004</t>
  </si>
  <si>
    <t>60030110002</t>
  </si>
  <si>
    <t>Codex Necrons (English)</t>
  </si>
  <si>
    <t>Sold out - Replaced by 60030110004</t>
  </si>
  <si>
    <t>Warhammer Army Case (Burgundy)</t>
  </si>
  <si>
    <t>Goblin Captain</t>
  </si>
  <si>
    <t>9922999911503</t>
  </si>
  <si>
    <t>Citadel Scorched Grass 15g Tub (3-Pack)</t>
  </si>
  <si>
    <t>Gods Of Mars (Hardback)</t>
  </si>
  <si>
    <t>Burden Of Duty/Grey Angel Audiobook</t>
  </si>
  <si>
    <t>Warhammer: Skaven Dice</t>
  </si>
  <si>
    <t>Catechism Of Hate (A5 Hb)</t>
  </si>
  <si>
    <t>There Is Only War</t>
  </si>
  <si>
    <t>Headtaker</t>
  </si>
  <si>
    <t>03220104001</t>
  </si>
  <si>
    <t>46-02-03</t>
  </si>
  <si>
    <t>Wh40k Psychic Powers: Eldar Spa</t>
  </si>
  <si>
    <t>Astra Militarum Hammer Of Cadia</t>
  </si>
  <si>
    <t>Rangers Of Middle-earth</t>
  </si>
  <si>
    <t>Use 99120108003</t>
  </si>
  <si>
    <t>Orcs And Goblins Battalion</t>
  </si>
  <si>
    <t>Witchfate Tor Tower Of Sorcery</t>
  </si>
  <si>
    <t>Morannon Orcs</t>
  </si>
  <si>
    <t>Fimbul The Hunter (Ft &amp; Mtd)</t>
  </si>
  <si>
    <t>Narzug</t>
  </si>
  <si>
    <t>Thranduil King Of The Woodland Realm</t>
  </si>
  <si>
    <t>Easterling War Priest</t>
  </si>
  <si>
    <t>Space Marines: The Omnibus</t>
  </si>
  <si>
    <t>Bastion Wars Omnibus</t>
  </si>
  <si>
    <t>The Talon Of Horus (Hb)</t>
  </si>
  <si>
    <t>HH: The First Heretic</t>
  </si>
  <si>
    <t>Night Lords: The Omnibus (B Format)</t>
  </si>
  <si>
    <t>Knights Of Dol Amroth</t>
  </si>
  <si>
    <t>Horus Heresy: Prince Of Crows (Novella)</t>
  </si>
  <si>
    <t>Sagas Of The Wolf (Audiobook)</t>
  </si>
  <si>
    <t>Wrath Of The Hive Mind</t>
  </si>
  <si>
    <t>Osgiliath Ruins</t>
  </si>
  <si>
    <t>Shield Of Baal: Leviathan (Hardback) Eng</t>
  </si>
  <si>
    <t>Obsolete - Replaced by 60030199040</t>
  </si>
  <si>
    <t>Warhammer: Khaine (Hardback) English</t>
  </si>
  <si>
    <t>Obsolete - Replaced by 60040212005</t>
  </si>
  <si>
    <t>Grey Knights Venerable Dreadnought</t>
  </si>
  <si>
    <t>Obsolete - Use 99120101083</t>
  </si>
  <si>
    <t>Tomb Kings Skeleton Horsemen</t>
  </si>
  <si>
    <t>Mordor Orcs</t>
  </si>
  <si>
    <t>The White Council</t>
  </si>
  <si>
    <t>Mirkwood Armoured Elf Bowmen</t>
  </si>
  <si>
    <t>End Times: The Curse Of Khaine</t>
  </si>
  <si>
    <t>03030101014</t>
  </si>
  <si>
    <t>41-02-03</t>
  </si>
  <si>
    <t>Codex Blood Angels (Spanish)</t>
  </si>
  <si>
    <t>Obsolete - Replaced by 03030101025</t>
  </si>
  <si>
    <t>Obsolete - Replaced by 60030101025</t>
  </si>
  <si>
    <t>Blood Angels Death Company</t>
  </si>
  <si>
    <t>Obsolete - 99120101120</t>
  </si>
  <si>
    <t>Blood Angels Sanguinary Guard</t>
  </si>
  <si>
    <t>Obsolete - 99120101121</t>
  </si>
  <si>
    <t>Empire Master Engineer</t>
  </si>
  <si>
    <t>The Pestilent Swarm</t>
  </si>
  <si>
    <t>Warg Riders</t>
  </si>
  <si>
    <t>Caliban Green Water Pot And Bitz Box</t>
  </si>
  <si>
    <t>The Fang Water Pot And Bitz Box</t>
  </si>
  <si>
    <t>Macragge Blue Water Pot And Bitz Box</t>
  </si>
  <si>
    <t>Mephiston Red Water Pot And Bitz Box</t>
  </si>
  <si>
    <t>Shield Of Baal: Leviathan (English)</t>
  </si>
  <si>
    <t>Warhammer: Tomb Kings (English)</t>
  </si>
  <si>
    <t>Goblin Shaman</t>
  </si>
  <si>
    <t>Space Marine Strikeforce</t>
  </si>
  <si>
    <t>Militarum Tempestus Storm Scions</t>
  </si>
  <si>
    <t>Kabalite Skysplinter</t>
  </si>
  <si>
    <t>Warhammer 40000 Tyranid Dice</t>
  </si>
  <si>
    <t>Horus Heresy: Know No Fear</t>
  </si>
  <si>
    <t>Horus Heresy: Fear To Tread</t>
  </si>
  <si>
    <t>Priests Of Mars (Sb)</t>
  </si>
  <si>
    <t>C'tan Shard Of The Deceiver</t>
  </si>
  <si>
    <t>9922999910002</t>
  </si>
  <si>
    <t>Citadel Water Pot (6 Pack)</t>
  </si>
  <si>
    <t>Warhammer: Glottkin (English)</t>
  </si>
  <si>
    <t>Ork Mekmob</t>
  </si>
  <si>
    <t>Morgul Knights</t>
  </si>
  <si>
    <t>Easterling Warriors</t>
  </si>
  <si>
    <t>Badrukks Flash Gitz</t>
  </si>
  <si>
    <t>Lindir Of Rivendell</t>
  </si>
  <si>
    <t>Moria Goblin Commanders</t>
  </si>
  <si>
    <t>The End Times: The Fall Of Altdorf</t>
  </si>
  <si>
    <t>Lords Of Mars</t>
  </si>
  <si>
    <t>The Emperor's Might</t>
  </si>
  <si>
    <t>Baneblade</t>
  </si>
  <si>
    <t>Smb: Architect Of Fate</t>
  </si>
  <si>
    <t>The Emperor's Will (HB)</t>
  </si>
  <si>
    <t>Seventh Retribution</t>
  </si>
  <si>
    <t>Smb: The Death Of Integrity</t>
  </si>
  <si>
    <t>Iron Guard</t>
  </si>
  <si>
    <t>Space Marine Battles: Malodrax</t>
  </si>
  <si>
    <t>Pariah (B Format)</t>
  </si>
  <si>
    <t>Smb: Pandorax</t>
  </si>
  <si>
    <t>Horus Heresy: The Unremembered Empire</t>
  </si>
  <si>
    <t>Horus Heresy: Horus Rising</t>
  </si>
  <si>
    <t>Horus Heresy: False Gods (C-Format)</t>
  </si>
  <si>
    <t>Apocalypse: Damocles (Novel)</t>
  </si>
  <si>
    <t>Horus Heresy: Galaxy In Flames</t>
  </si>
  <si>
    <t>Orion: The Vaults Of Winter</t>
  </si>
  <si>
    <t>T.O.L.: Blighted Empire</t>
  </si>
  <si>
    <t>Orion: Tears Of Isha</t>
  </si>
  <si>
    <t>Time Of Legends: Master Of Dragons</t>
  </si>
  <si>
    <t>Sword Of Caledor (B-Format)</t>
  </si>
  <si>
    <t>T.O.L.: Master Of Death</t>
  </si>
  <si>
    <t>Horus Heresy: The Sigillite (Audiobook)</t>
  </si>
  <si>
    <t>Bloodspire-Deathwolf Audiobook</t>
  </si>
  <si>
    <t>Honour To The Dead (Audiobook)</t>
  </si>
  <si>
    <t>Horus Heresy: Wolf Hunt (Audiobook)</t>
  </si>
  <si>
    <t>Vulkan Lives (Unabridged Audiobook)</t>
  </si>
  <si>
    <t>Smb: Damnos:Veil Of Darkness (Audiobook)</t>
  </si>
  <si>
    <t>Horus Heresy: Censure (Audiobook)</t>
  </si>
  <si>
    <t>Unremembered Empire (Audiobook)</t>
  </si>
  <si>
    <t>Tyranid Venomthrope</t>
  </si>
  <si>
    <t>Horus Heresy: Mark Of Calth</t>
  </si>
  <si>
    <t>Hunters Moon/Thief Of Revelations</t>
  </si>
  <si>
    <t>03220106001</t>
  </si>
  <si>
    <t>51-02-03</t>
  </si>
  <si>
    <t>Tyranid Psychic Cards (Spanish)</t>
  </si>
  <si>
    <t>03220199002</t>
  </si>
  <si>
    <t>40-07-03</t>
  </si>
  <si>
    <t>Apocalypse Strategic Asset Cards (Spa)</t>
  </si>
  <si>
    <t>Chaos Lord On Manticore</t>
  </si>
  <si>
    <t>Ogre Kingdoms Leadbelchers</t>
  </si>
  <si>
    <t>Kingdoms Of Men (English)</t>
  </si>
  <si>
    <t>Horus Heresy: The Primarchs</t>
  </si>
  <si>
    <t>Horus Heresy: Vulkan Lives</t>
  </si>
  <si>
    <t>Citadel Spray Gun</t>
  </si>
  <si>
    <t>Wulfrik The Wanderer</t>
  </si>
  <si>
    <t>Tyranid Zoanthrope</t>
  </si>
  <si>
    <t>Scyla Anfingrimm</t>
  </si>
  <si>
    <t>9922999912206</t>
  </si>
  <si>
    <t>60-08</t>
  </si>
  <si>
    <t>Citadel Palettes (6-Pack)</t>
  </si>
  <si>
    <t>The Greater Good</t>
  </si>
  <si>
    <t>Tol: The Great Betrayal</t>
  </si>
  <si>
    <t>Haemonculus Covens:Dark Eldar Supplement</t>
  </si>
  <si>
    <t>Uruk-Hai Scouts</t>
  </si>
  <si>
    <t>60040299040</t>
  </si>
  <si>
    <t>Warhammer: Nagash (English)</t>
  </si>
  <si>
    <t>60220112001</t>
  </si>
  <si>
    <t>Datacards: Dark Eldar (English)</t>
  </si>
  <si>
    <t>Sigvald The Magnificent</t>
  </si>
  <si>
    <t>Soul Drinkers Volume 2: Annihilation</t>
  </si>
  <si>
    <t>Warhammer 40000 Munitorum Dice</t>
  </si>
  <si>
    <t>The Fallen Realms (English)</t>
  </si>
  <si>
    <t>Dwarf Rangers</t>
  </si>
  <si>
    <t>Space Hulk (2014)</t>
  </si>
  <si>
    <t>Thorgrim </t>
  </si>
  <si>
    <t>Wbm: Lore Of Undeath (English)</t>
  </si>
  <si>
    <t>Space Marine Strike Force Ultra</t>
  </si>
  <si>
    <t>Nemesis Vanguard</t>
  </si>
  <si>
    <t>Apocalypse: Valedor (Novel)</t>
  </si>
  <si>
    <t>Fall Of Macharius (Hardback)</t>
  </si>
  <si>
    <t>Gondor Battlecry Trebuchet</t>
  </si>
  <si>
    <t>03030112003</t>
  </si>
  <si>
    <t>45-02-03</t>
  </si>
  <si>
    <t>Codex Dark Eldar (Spanish)</t>
  </si>
  <si>
    <t>Codex Dark Eldar (English)</t>
  </si>
  <si>
    <t>Datacards: Space Wolves (English)</t>
  </si>
  <si>
    <t>Datacards: Grey Knights (English)</t>
  </si>
  <si>
    <t>Savage Orc Big Boss</t>
  </si>
  <si>
    <t>Dark Eldar Battleforce</t>
  </si>
  <si>
    <t>Path Of The Eldar Omnibus</t>
  </si>
  <si>
    <t>Skarsnik</t>
  </si>
  <si>
    <t>99220199054</t>
  </si>
  <si>
    <t>66-85</t>
  </si>
  <si>
    <t>Imperialis Basing Kit</t>
  </si>
  <si>
    <t>Corsairs Of Umbar</t>
  </si>
  <si>
    <t>Easterling Commanders</t>
  </si>
  <si>
    <t>Shrine Of The Aquila</t>
  </si>
  <si>
    <t>03030107003</t>
  </si>
  <si>
    <t>57-02-03</t>
  </si>
  <si>
    <t>Codex Grey Knights (Spanish)</t>
  </si>
  <si>
    <t>Obsolete - Replaced by 03030107004</t>
  </si>
  <si>
    <t>Codex Grey Knights (English)</t>
  </si>
  <si>
    <t>Obsolete - Replaced by 60030107004</t>
  </si>
  <si>
    <t>Grey Knight Terminators</t>
  </si>
  <si>
    <t>Obsolete - Replaced by 99120107009</t>
  </si>
  <si>
    <t>Obsolete - Replaced by 99120107005</t>
  </si>
  <si>
    <t>Grey Knight Nemesis Dreadknight</t>
  </si>
  <si>
    <t>Obsolete - Replaced by 99120107008</t>
  </si>
  <si>
    <t>The Empire Omnibus</t>
  </si>
  <si>
    <t>Rohan Commanders</t>
  </si>
  <si>
    <t>Blood Of Asaheim (Sb)</t>
  </si>
  <si>
    <t>Gotrek &amp; Felix: The Serpent Queen</t>
  </si>
  <si>
    <t>03030101015</t>
  </si>
  <si>
    <t>53-02-03</t>
  </si>
  <si>
    <t>Codex Space Wolves (Spanish)</t>
  </si>
  <si>
    <t>Codex Space Wolves</t>
  </si>
  <si>
    <t>Sanctus Reach: Stormclaw (English)</t>
  </si>
  <si>
    <t>Space Wolves Battleforce</t>
  </si>
  <si>
    <t>Astra Militarum Hellhound</t>
  </si>
  <si>
    <t>Dwarf Battleline</t>
  </si>
  <si>
    <t>Eldar Autarch With Power Weapon</t>
  </si>
  <si>
    <t>The Greater Good (Hardback)</t>
  </si>
  <si>
    <t>Space Marine Battles: Damnos (Hardback)</t>
  </si>
  <si>
    <t>Horus Heresy: Flight Of The Eisenstein</t>
  </si>
  <si>
    <t>Horus Heresy: Fulgrim</t>
  </si>
  <si>
    <t>Horus Heresy: Betrayer (TPB)</t>
  </si>
  <si>
    <t>Fist Of Demetrius (Hardback)</t>
  </si>
  <si>
    <t>Soul Drinkers Volume 1: Redemption</t>
  </si>
  <si>
    <t>First And Only (Black Library Classics)</t>
  </si>
  <si>
    <t>Nightbringer (Black Library Classics)</t>
  </si>
  <si>
    <t>Commissar</t>
  </si>
  <si>
    <t>Trollslayer (Black Library Classics)</t>
  </si>
  <si>
    <t>Northern Wastes Basing Kit</t>
  </si>
  <si>
    <t>Horus Heresy: Deliverance Lost</t>
  </si>
  <si>
    <t>Path Of The Archon</t>
  </si>
  <si>
    <t>Eldar Howling Banshees</t>
  </si>
  <si>
    <t>Gotrek &amp; Felix: City Of The Damned</t>
  </si>
  <si>
    <t>03220103001</t>
  </si>
  <si>
    <t>50-02-03</t>
  </si>
  <si>
    <t>Wh40k Datacards: Orks (Spanish)</t>
  </si>
  <si>
    <t>WH40K Datacards: Orks (English)</t>
  </si>
  <si>
    <t>Anrakyr The Traveller</t>
  </si>
  <si>
    <t>Gundabad Orc Captain</t>
  </si>
  <si>
    <t>03220105001</t>
  </si>
  <si>
    <t>Astra Militarum Orders (Spanish)</t>
  </si>
  <si>
    <t>03220199004</t>
  </si>
  <si>
    <t>40-20-03</t>
  </si>
  <si>
    <t>Wh40k Tactical Objectives (Spanish)</t>
  </si>
  <si>
    <t>Dark Vengeance (English)</t>
  </si>
  <si>
    <t>Tzeentch Sorcerer Lord</t>
  </si>
  <si>
    <t>Galadhrim Knights</t>
  </si>
  <si>
    <t>Gundabad Orc Spearmen</t>
  </si>
  <si>
    <t>Alfrid The Councillor</t>
  </si>
  <si>
    <t>Girion Lord Of Dale</t>
  </si>
  <si>
    <t>Tyranid Broodlord</t>
  </si>
  <si>
    <t>Tol: Neferata</t>
  </si>
  <si>
    <t>Orion: The Council Of Beasts</t>
  </si>
  <si>
    <t>Wolves Of Fenris (Hb)</t>
  </si>
  <si>
    <t>Horus Heresy: Echoes Of Ruin (Audiobook)</t>
  </si>
  <si>
    <t>60100181157</t>
  </si>
  <si>
    <t>BL309</t>
  </si>
  <si>
    <t>Horus Rising (Anniversary Edition)</t>
  </si>
  <si>
    <t>Ork Battleforce</t>
  </si>
  <si>
    <t>Tyranid Psychic Cards (English)</t>
  </si>
  <si>
    <t>Haradrim Commanders</t>
  </si>
  <si>
    <t>The Blue Scribes</t>
  </si>
  <si>
    <t>Warhammer 40000 Munitorum Tape Measure</t>
  </si>
  <si>
    <t>03220212002</t>
  </si>
  <si>
    <t>85-02-03</t>
  </si>
  <si>
    <t>Warhammer Battle Magic: Dark Elves (Spa)</t>
  </si>
  <si>
    <t>Deathwatch: Xenos Hunters</t>
  </si>
  <si>
    <t>03030103004</t>
  </si>
  <si>
    <t>Codex Orks (Spanish)</t>
  </si>
  <si>
    <t>60030103003</t>
  </si>
  <si>
    <t>Codex Orks</t>
  </si>
  <si>
    <t>9922999911403</t>
  </si>
  <si>
    <t>66-75</t>
  </si>
  <si>
    <t>Citadel Glade Grass 15g Tub (3-Pack)</t>
  </si>
  <si>
    <t>03040199028</t>
  </si>
  <si>
    <t>40-16-03</t>
  </si>
  <si>
    <t>Warhammer 40000: Crusade Of Fire (Spa)</t>
  </si>
  <si>
    <t>Orikan The Diviner</t>
  </si>
  <si>
    <t>03040210001</t>
  </si>
  <si>
    <t>87-02-03</t>
  </si>
  <si>
    <t>Uniforms &amp; Heraldry Of The High Elves Sp</t>
  </si>
  <si>
    <t>03041499013</t>
  </si>
  <si>
    <t>02-01-03</t>
  </si>
  <si>
    <t>Fellowship Of The Ring Source Book (Esp)</t>
  </si>
  <si>
    <t>03041499018</t>
  </si>
  <si>
    <t>01-07-03</t>
  </si>
  <si>
    <t>The Two Towers Spanish</t>
  </si>
  <si>
    <t>03041499022</t>
  </si>
  <si>
    <t>01-08-03</t>
  </si>
  <si>
    <t>Return Of The King Source Book (Spanish)</t>
  </si>
  <si>
    <t>Uniforms &amp; Heraldry Of The Empire Eng</t>
  </si>
  <si>
    <t>Uniforms &amp; Heraldry of the Skaven (Eng)</t>
  </si>
  <si>
    <t>Uniforms &amp; Heraldry Of The High Elves En</t>
  </si>
  <si>
    <t>60041499013</t>
  </si>
  <si>
    <t>02-01-60</t>
  </si>
  <si>
    <t>Fellowship Of The Ring Source Book</t>
  </si>
  <si>
    <t>The Two Towers Source Book</t>
  </si>
  <si>
    <t>Return Of The King Source Book</t>
  </si>
  <si>
    <t> 03040202004</t>
  </si>
  <si>
    <t>Uniforms &amp; Heraldry Of The Empire Spa</t>
  </si>
  <si>
    <t> 03040206002</t>
  </si>
  <si>
    <t>Uniforms &amp; Heraldry of the Skaven (Spa)</t>
  </si>
  <si>
    <t>03040199017</t>
  </si>
  <si>
    <t>40-05-03</t>
  </si>
  <si>
    <t>40k Expansion Cities Of Death (Spanish)</t>
  </si>
  <si>
    <t>03040199024</t>
  </si>
  <si>
    <t>40-06-03</t>
  </si>
  <si>
    <t>Planetstrike </t>
  </si>
  <si>
    <t>40K Expansion Cities Of Death</t>
  </si>
  <si>
    <t>40K Battle Missions English</t>
  </si>
  <si>
    <t>Planetstrike English</t>
  </si>
  <si>
    <t>The Hobbit: Unexpected Journey Paint Set</t>
  </si>
  <si>
    <t>Hobby Starter Set (Global)</t>
  </si>
  <si>
    <t>Wbm: Warriors Of Chaos (English)</t>
  </si>
  <si>
    <t>Ciaphas Cain: The Devil You Know (Audio)</t>
  </si>
  <si>
    <t>Warhammer 40000 Paint Set</t>
  </si>
  <si>
    <t>Warhammer Paint Set</t>
  </si>
  <si>
    <t>Warhammer 40000 Battlefield Objectives</t>
  </si>
  <si>
    <t>9922999911603</t>
  </si>
  <si>
    <t>Citadel Burnt Grass 15g Tub (3-Pack)</t>
  </si>
  <si>
    <t>Wh Battle Magic: Wood Elves (English)</t>
  </si>
  <si>
    <t>Tempestus Firebase</t>
  </si>
  <si>
    <t>Gor-Rok</t>
  </si>
  <si>
    <t>Deus Vitae First Blood Angels Omnibus</t>
  </si>
  <si>
    <t>Time Of Legends: The Rise Of Nagash</t>
  </si>
  <si>
    <t>03220204001</t>
  </si>
  <si>
    <t>92-02-03</t>
  </si>
  <si>
    <t>Wh Battle Magic: Wood Elves (Spanish)</t>
  </si>
  <si>
    <t>60220105001</t>
  </si>
  <si>
    <t>Astra Militarum Orders (English)</t>
  </si>
  <si>
    <t>60220208001</t>
  </si>
  <si>
    <t>88-02-60</t>
  </si>
  <si>
    <t>Wbm: Lizardmen (English)</t>
  </si>
  <si>
    <t>99801462037</t>
  </si>
  <si>
    <t>32-65</t>
  </si>
  <si>
    <t>Gundabad Orc Swordsmen</t>
  </si>
  <si>
    <t>99801464085</t>
  </si>
  <si>
    <t>31-76</t>
  </si>
  <si>
    <t>The Master Of Lake-Town</t>
  </si>
  <si>
    <t>99810206009</t>
  </si>
  <si>
    <t>90-41</t>
  </si>
  <si>
    <t>Skaven Doom-Flayer</t>
  </si>
  <si>
    <t>99239999073</t>
  </si>
  <si>
    <t>66-68</t>
  </si>
  <si>
    <t>Citadel Tool Set</t>
  </si>
  <si>
    <t>03040199026</t>
  </si>
  <si>
    <t>40-02-03</t>
  </si>
  <si>
    <t>Warhammer 40000 Rulebook (Spanish)</t>
  </si>
  <si>
    <t>03220199001</t>
  </si>
  <si>
    <t>40-09-03</t>
  </si>
  <si>
    <t>Wh 40000 Psychic Powers (Spanish)</t>
  </si>
  <si>
    <t>Warhammer 40000 Rulebook (English)</t>
  </si>
  <si>
    <t>Tomb Kings Tomb Guard</t>
  </si>
  <si>
    <t>03030204002</t>
  </si>
  <si>
    <t>92-01-03</t>
  </si>
  <si>
    <t>Wood Elves Army Book (Spanish)</t>
  </si>
  <si>
    <t>Wood Elves Army Book</t>
  </si>
  <si>
    <t>Wbm: High Elves (English)</t>
  </si>
  <si>
    <t>Dreadstone Blight</t>
  </si>
  <si>
    <t>Time Of Legends: Wolf Of Sigmar</t>
  </si>
  <si>
    <t>60680181061</t>
  </si>
  <si>
    <t>BL914</t>
  </si>
  <si>
    <t>Smb: Mortarions Heart (Audiobook)</t>
  </si>
  <si>
    <t>99239999036</t>
  </si>
  <si>
    <t>66-09</t>
  </si>
  <si>
    <t>Citadel Hobby Knife</t>
  </si>
  <si>
    <t>Replaced by 99239999067</t>
  </si>
  <si>
    <t>Citadel Sculpting Tool</t>
  </si>
  <si>
    <t>Citadel Plastic Cutters</t>
  </si>
  <si>
    <t>Citadel Clean-up Kit</t>
  </si>
  <si>
    <t>03041499035</t>
  </si>
  <si>
    <t>30-04-03</t>
  </si>
  <si>
    <t>The Hobbit: The Desolation Of Smaug Spa</t>
  </si>
  <si>
    <t>99239999038</t>
  </si>
  <si>
    <t>Citadel Razor Saw</t>
  </si>
  <si>
    <t>99800102014</t>
  </si>
  <si>
    <t>Chaos Space Marine Sorcerer</t>
  </si>
  <si>
    <t>9922999911703</t>
  </si>
  <si>
    <t>Citadel Dead Grass 15g Tub (3-Pack)</t>
  </si>
  <si>
    <t>Bane Of Malekith (Hardback)</t>
  </si>
  <si>
    <t>Ork Painboy with Grot Orderly</t>
  </si>
  <si>
    <t>Dark Angels Company Master</t>
  </si>
  <si>
    <t>Dark Eldar Archon</t>
  </si>
  <si>
    <t>Citadel Emery Boards</t>
  </si>
  <si>
    <t>Apocalypse Warzone: Damocles (English)</t>
  </si>
  <si>
    <t>SMB: The Hunt For Voldorius</t>
  </si>
  <si>
    <t>Void Shield Generator</t>
  </si>
  <si>
    <t>Codex: Clan Raukaan</t>
  </si>
  <si>
    <t>03220210004</t>
  </si>
  <si>
    <t>87-03-03</t>
  </si>
  <si>
    <t>Wbm: High Elves (Spanish)</t>
  </si>
  <si>
    <t>Horus Heresy: Vulkan Lives (C Format)</t>
  </si>
  <si>
    <t>Warhammer Battle Magic: Dark Elves (Eng)</t>
  </si>
  <si>
    <t>Imperial Guard Lord Commissar</t>
  </si>
  <si>
    <t>Necron Lord With Resurrection Orb</t>
  </si>
  <si>
    <t>War Of the Ring Infantry Movement Trays</t>
  </si>
  <si>
    <t>Warhammer 40000 Munitorum Templates</t>
  </si>
  <si>
    <t>60100181207</t>
  </si>
  <si>
    <t>BL2536</t>
  </si>
  <si>
    <t>Space Marine Battles: Siege Of Castellax</t>
  </si>
  <si>
    <t>99811463004</t>
  </si>
  <si>
    <t>05-40</t>
  </si>
  <si>
    <t>Galadhrim Elf Commanders</t>
  </si>
  <si>
    <t>Tyrion</t>
  </si>
  <si>
    <t>Mordor Orc Commanders</t>
  </si>
  <si>
    <t>Smb: Armageddon</t>
  </si>
  <si>
    <t>60100181155</t>
  </si>
  <si>
    <t>BL296</t>
  </si>
  <si>
    <t>Path Of The Seer</t>
  </si>
  <si>
    <t>60100181231</t>
  </si>
  <si>
    <t>BL886</t>
  </si>
  <si>
    <t>The Emperors Gift (Softback)</t>
  </si>
  <si>
    <t>60100181233</t>
  </si>
  <si>
    <t>BL438</t>
  </si>
  <si>
    <t>60100181234</t>
  </si>
  <si>
    <t>BL099</t>
  </si>
  <si>
    <t>60100281130</t>
  </si>
  <si>
    <t>BL437</t>
  </si>
  <si>
    <t>60100281131</t>
  </si>
  <si>
    <t>BL864</t>
  </si>
  <si>
    <t>Gileads Blood</t>
  </si>
  <si>
    <t>60100281132</t>
  </si>
  <si>
    <t>BL442</t>
  </si>
  <si>
    <t>Gileads Curse</t>
  </si>
  <si>
    <t>60100281135</t>
  </si>
  <si>
    <t>BL883</t>
  </si>
  <si>
    <t>60100281136</t>
  </si>
  <si>
    <t>BL2549</t>
  </si>
  <si>
    <t>60100281137</t>
  </si>
  <si>
    <t>BL443</t>
  </si>
  <si>
    <t>Elves</t>
  </si>
  <si>
    <t>60109981004</t>
  </si>
  <si>
    <t>BL432</t>
  </si>
  <si>
    <t>The Best Of Hammer &amp; Bolter Volume 2</t>
  </si>
  <si>
    <t>60680181035</t>
  </si>
  <si>
    <t>BL863</t>
  </si>
  <si>
    <t>The Ascension Of Balthazar (Audiobook)</t>
  </si>
  <si>
    <t>60680181045</t>
  </si>
  <si>
    <t>BL878</t>
  </si>
  <si>
    <t>Mission: Purge (Audiobook)</t>
  </si>
  <si>
    <t>60680181050</t>
  </si>
  <si>
    <t>Blood In The Machine (Audiobook)</t>
  </si>
  <si>
    <t>99120102011</t>
  </si>
  <si>
    <t>Chaos Space Marine Rhino</t>
  </si>
  <si>
    <t>Superseded</t>
  </si>
  <si>
    <t>99120102019</t>
  </si>
  <si>
    <t>99120102020</t>
  </si>
  <si>
    <t>99120102021</t>
  </si>
  <si>
    <t>99120102036</t>
  </si>
  <si>
    <t>Chaos S/Marine Forgefiend / Maulerfiend</t>
  </si>
  <si>
    <t>99120102038</t>
  </si>
  <si>
    <t>Chaos Space Marine Raptors/Warp Talons</t>
  </si>
  <si>
    <t>99120102039</t>
  </si>
  <si>
    <t>43-09</t>
  </si>
  <si>
    <t>Chaos Space Marine Battleforce</t>
  </si>
  <si>
    <t>99120102040</t>
  </si>
  <si>
    <t>99800110008</t>
  </si>
  <si>
    <t>49-62</t>
  </si>
  <si>
    <t>Necron Cryptek</t>
  </si>
  <si>
    <t>99121464004</t>
  </si>
  <si>
    <t>09-16</t>
  </si>
  <si>
    <t>Haradrim Raiders</t>
  </si>
  <si>
    <t>60100181214</t>
  </si>
  <si>
    <t>BL679</t>
  </si>
  <si>
    <t>Ultramarines Omnibus</t>
  </si>
  <si>
    <t>60100181089</t>
  </si>
  <si>
    <t>BL179</t>
  </si>
  <si>
    <t>Hh: Tales Of Heresy</t>
  </si>
  <si>
    <t>99120105041</t>
  </si>
  <si>
    <t>Imperial Guard Cadian Battleforce</t>
  </si>
  <si>
    <t>99810113019</t>
  </si>
  <si>
    <t>56-40</t>
  </si>
  <si>
    <t>Xv8 Battlesuit Commander</t>
  </si>
  <si>
    <t>99120199016</t>
  </si>
  <si>
    <t>Skyshield Landing Pad</t>
  </si>
  <si>
    <t>99129999003</t>
  </si>
  <si>
    <t>Arcane Ruins</t>
  </si>
  <si>
    <t>99220199050</t>
  </si>
  <si>
    <t>40-48</t>
  </si>
  <si>
    <t>Imperial Targeting Templates</t>
  </si>
  <si>
    <t>99239999040</t>
  </si>
  <si>
    <t>66-05</t>
  </si>
  <si>
    <t>Citadel Hobby Drill</t>
  </si>
  <si>
    <t>99800102013</t>
  </si>
  <si>
    <t>43-63</t>
  </si>
  <si>
    <t>Chaos Space Marine Dark Apostle</t>
  </si>
  <si>
    <t>99810208019</t>
  </si>
  <si>
    <t>88-40</t>
  </si>
  <si>
    <t>Tetto Eko</t>
  </si>
  <si>
    <t>9920999903206</t>
  </si>
  <si>
    <t>62-17</t>
  </si>
  <si>
    <t>99810213004</t>
  </si>
  <si>
    <t>95-43</t>
  </si>
  <si>
    <t>Ogre Kingdoms Firebelly</t>
  </si>
  <si>
    <t>60041499029</t>
  </si>
  <si>
    <t>05-01-60</t>
  </si>
  <si>
    <t>The Free Peoples (English)</t>
  </si>
  <si>
    <t>60100181202</t>
  </si>
  <si>
    <t>BL403</t>
  </si>
  <si>
    <t>Horus Heresy: False Gods</t>
  </si>
  <si>
    <t>99800205018</t>
  </si>
  <si>
    <t>WD-14</t>
  </si>
  <si>
    <t>The White Dwarf (2014)</t>
  </si>
  <si>
    <t>03030205003</t>
  </si>
  <si>
    <t>84-01-03</t>
  </si>
  <si>
    <t>Dwarf Army Book (Spanish)</t>
  </si>
  <si>
    <t>03249999397</t>
  </si>
  <si>
    <t>WD01-03</t>
  </si>
  <si>
    <t>White Dwarf January 2014 (Spanish)</t>
  </si>
  <si>
    <t>60030205003</t>
  </si>
  <si>
    <t>Dwarf Army Book</t>
  </si>
  <si>
    <t>60249999397</t>
  </si>
  <si>
    <t>White Dwarf January 2014 (Nes)</t>
  </si>
  <si>
    <t>60100181203</t>
  </si>
  <si>
    <t>BL092</t>
  </si>
  <si>
    <t>60100181072 </t>
  </si>
  <si>
    <t>HH: Battle for the Abyss</t>
  </si>
  <si>
    <t>60100181199 </t>
  </si>
  <si>
    <t>Pariah - Ravenor Vs Eisenhorn (Hardback)</t>
  </si>
  <si>
    <t>99801464088</t>
  </si>
  <si>
    <t>31-79</t>
  </si>
  <si>
    <t>Lake-Town Captain</t>
  </si>
  <si>
    <t>99801464089</t>
  </si>
  <si>
    <t>31-80</t>
  </si>
  <si>
    <t>Lake-Town Guard Swordsmen</t>
  </si>
  <si>
    <t>99801464090</t>
  </si>
  <si>
    <t>31-81</t>
  </si>
  <si>
    <t>Gandalf The Grey</t>
  </si>
  <si>
    <t>99120199017</t>
  </si>
  <si>
    <t>Battlescape</t>
  </si>
  <si>
    <t>99179999017</t>
  </si>
  <si>
    <t>Citadel Ultimate Paint Set (2013)</t>
  </si>
  <si>
    <t>60100181129</t>
  </si>
  <si>
    <t>BL250</t>
  </si>
  <si>
    <t>SMB: The Purging of Kadillus</t>
  </si>
  <si>
    <t>99801464087</t>
  </si>
  <si>
    <t>31-78</t>
  </si>
  <si>
    <t>Bard The Bowman</t>
  </si>
  <si>
    <t>99801464083</t>
  </si>
  <si>
    <t>31-70</t>
  </si>
  <si>
    <t>Captain Of Dale</t>
  </si>
  <si>
    <t>99120102010</t>
  </si>
  <si>
    <t>43-17</t>
  </si>
  <si>
    <t>Chaos Space Marine Land Raider</t>
  </si>
  <si>
    <t>60100181167</t>
  </si>
  <si>
    <t>BL321</t>
  </si>
  <si>
    <t>Path Of The Renegade</t>
  </si>
  <si>
    <t>60100181225</t>
  </si>
  <si>
    <t>BL436</t>
  </si>
  <si>
    <t>Fire Caste</t>
  </si>
  <si>
    <t>60100181229</t>
  </si>
  <si>
    <t>BL435H</t>
  </si>
  <si>
    <t>Blood Of Asaheim (Hardback)</t>
  </si>
  <si>
    <t>60100181258</t>
  </si>
  <si>
    <t>BL1022</t>
  </si>
  <si>
    <t>60100281153</t>
  </si>
  <si>
    <t>BL1020</t>
  </si>
  <si>
    <t>99120204006</t>
  </si>
  <si>
    <t>Wood Elf Battalion</t>
  </si>
  <si>
    <t>99220199037</t>
  </si>
  <si>
    <t>Moonscape</t>
  </si>
  <si>
    <t>99239999055</t>
  </si>
  <si>
    <t>66-30</t>
  </si>
  <si>
    <t>99239999060</t>
  </si>
  <si>
    <t>Citadel Tool Kit</t>
  </si>
  <si>
    <t>Replaced by 99239999073</t>
  </si>
  <si>
    <t>99811462012</t>
  </si>
  <si>
    <t>08-46</t>
  </si>
  <si>
    <t>Morannon Orc Commanders</t>
  </si>
  <si>
    <t>99811466004</t>
  </si>
  <si>
    <t>11-40</t>
  </si>
  <si>
    <t>Dragon</t>
  </si>
  <si>
    <t>60220199001</t>
  </si>
  <si>
    <t>Wh 40000 Psychic Powers (English)</t>
  </si>
  <si>
    <t>03249999396</t>
  </si>
  <si>
    <t>WD12-03</t>
  </si>
  <si>
    <t>White Dwarf December 2013 (Spanish)</t>
  </si>
  <si>
    <t>60100181109</t>
  </si>
  <si>
    <t>BL216</t>
  </si>
  <si>
    <t>60100181120</t>
  </si>
  <si>
    <t>BL236</t>
  </si>
  <si>
    <t>Horus Heresy: Nemesis</t>
  </si>
  <si>
    <t>60100181238</t>
  </si>
  <si>
    <t>BL874</t>
  </si>
  <si>
    <t>Lords Of Mars (Hardback)</t>
  </si>
  <si>
    <t>60100281138</t>
  </si>
  <si>
    <t>BL856</t>
  </si>
  <si>
    <t>Gotrek &amp; Felix: The First Omnibus</t>
  </si>
  <si>
    <t>60100281141</t>
  </si>
  <si>
    <t>BL425</t>
  </si>
  <si>
    <t>Gotrek &amp; Felix: The Fourth Omnibus</t>
  </si>
  <si>
    <t>60249999396</t>
  </si>
  <si>
    <t>White Dwarf December 2013 (Nes)</t>
  </si>
  <si>
    <t>99120202005</t>
  </si>
  <si>
    <t>86-11</t>
  </si>
  <si>
    <t>Empire Great Cannon / Mortar</t>
  </si>
  <si>
    <t>99801463009</t>
  </si>
  <si>
    <t>31-72</t>
  </si>
  <si>
    <t>Thranduil King Of Mirkwood</t>
  </si>
  <si>
    <t>9922991500106</t>
  </si>
  <si>
    <t>Chaos Dice Cube (6 Pack)</t>
  </si>
  <si>
    <t>03030106004</t>
  </si>
  <si>
    <t>Codex Tyranids (Spanish)</t>
  </si>
  <si>
    <t>60030106003</t>
  </si>
  <si>
    <t>Codex Tyranids</t>
  </si>
  <si>
    <t>99120106017</t>
  </si>
  <si>
    <t>Tyranid Battleforce</t>
  </si>
  <si>
    <t>99120113033</t>
  </si>
  <si>
    <t>GB-02</t>
  </si>
  <si>
    <t>Tau Empire Firebase Support Cadre</t>
  </si>
  <si>
    <t>99801463013</t>
  </si>
  <si>
    <t>31-74</t>
  </si>
  <si>
    <t>Palace Guards Captains</t>
  </si>
  <si>
    <t>99801499013</t>
  </si>
  <si>
    <t>31-71</t>
  </si>
  <si>
    <t>Beorn</t>
  </si>
  <si>
    <t>99811466002</t>
  </si>
  <si>
    <t>08-40</t>
  </si>
  <si>
    <t>The Dark Lord Sauron</t>
  </si>
  <si>
    <t>99801463012</t>
  </si>
  <si>
    <t>31-73</t>
  </si>
  <si>
    <t>Mirkwood Rangers Captains</t>
  </si>
  <si>
    <t>60100281140</t>
  </si>
  <si>
    <t>BL861</t>
  </si>
  <si>
    <t>Gotrek &amp; Felix: The Third Omnibus</t>
  </si>
  <si>
    <t>99120201023</t>
  </si>
  <si>
    <t>GB-06</t>
  </si>
  <si>
    <t>Creatures Of The Chaos Wastes</t>
  </si>
  <si>
    <t>99239999037</t>
  </si>
  <si>
    <t>66-07</t>
  </si>
  <si>
    <t>Citadel Hobby Vice</t>
  </si>
  <si>
    <t>99801465017</t>
  </si>
  <si>
    <t>31-75</t>
  </si>
  <si>
    <t>Thrain The Broken</t>
  </si>
  <si>
    <t>9954999900699</t>
  </si>
  <si>
    <t>15-04</t>
  </si>
  <si>
    <t>Games Workshop Carrier Bag Small (1000)</t>
  </si>
  <si>
    <t>99811466023</t>
  </si>
  <si>
    <t>32-42</t>
  </si>
  <si>
    <t>Mirkwood Spiders</t>
  </si>
  <si>
    <t>99120101111</t>
  </si>
  <si>
    <t>GB-03</t>
  </si>
  <si>
    <t>Adeptus Astartes Storm Wing</t>
  </si>
  <si>
    <t>99120104036</t>
  </si>
  <si>
    <t>GB-01</t>
  </si>
  <si>
    <t>Eldar Ghost Warriors</t>
  </si>
  <si>
    <t>99120106003</t>
  </si>
  <si>
    <t>99120207022</t>
  </si>
  <si>
    <t>GB-04</t>
  </si>
  <si>
    <t>The Restless Dead</t>
  </si>
  <si>
    <t>99800106005</t>
  </si>
  <si>
    <t>51-64</t>
  </si>
  <si>
    <t>03249999395</t>
  </si>
  <si>
    <t>WD11-03</t>
  </si>
  <si>
    <t>White Dwarf November 2013 (Spanish)</t>
  </si>
  <si>
    <t>60100181230</t>
  </si>
  <si>
    <t>BL441</t>
  </si>
  <si>
    <t>The Death Of Antagonis</t>
  </si>
  <si>
    <t>60100181236</t>
  </si>
  <si>
    <t>BL879</t>
  </si>
  <si>
    <t>Horus Heresy: Mark Of Calth (Sb)</t>
  </si>
  <si>
    <t>60249999395</t>
  </si>
  <si>
    <t>WD11-60</t>
  </si>
  <si>
    <t>White Dwarf November 2013 (Nes)</t>
  </si>
  <si>
    <t>60680181058</t>
  </si>
  <si>
    <t>BL1014</t>
  </si>
  <si>
    <t>Trials Of Azrael (Audiobook)</t>
  </si>
  <si>
    <t>99449999348</t>
  </si>
  <si>
    <t>Special Effects Paints Dispensor</t>
  </si>
  <si>
    <t>60100281126</t>
  </si>
  <si>
    <t>BL2529</t>
  </si>
  <si>
    <t>The Sundering</t>
  </si>
  <si>
    <t>60680181029</t>
  </si>
  <si>
    <t>BL367</t>
  </si>
  <si>
    <t>A Thousand Sons (Unabridged Audiobook)</t>
  </si>
  <si>
    <t>99800106002</t>
  </si>
  <si>
    <t>Tyranid Tyrant Guard</t>
  </si>
  <si>
    <t>99810103009</t>
  </si>
  <si>
    <t>50-41</t>
  </si>
  <si>
    <t>Ork Tankbustas</t>
  </si>
  <si>
    <t>99810217003</t>
  </si>
  <si>
    <t>94-41</t>
  </si>
  <si>
    <t>Tomb Kings Ushabti With Great Bows</t>
  </si>
  <si>
    <t>99230299007</t>
  </si>
  <si>
    <t>Warhammer Army Figure Case (2012)</t>
  </si>
  <si>
    <t>99230199009</t>
  </si>
  <si>
    <t>69-01</t>
  </si>
  <si>
    <t>Munitorum Battlepack</t>
  </si>
  <si>
    <t>60100181080</t>
  </si>
  <si>
    <t>BL169</t>
  </si>
  <si>
    <t>Hh: Mechanicum</t>
  </si>
  <si>
    <t>99120104024</t>
  </si>
  <si>
    <t>46-08</t>
  </si>
  <si>
    <t>Eldar Falcon Grav Tank</t>
  </si>
  <si>
    <t>99801462028</t>
  </si>
  <si>
    <t>32-60</t>
  </si>
  <si>
    <t>Bolg</t>
  </si>
  <si>
    <t>99801464016</t>
  </si>
  <si>
    <t>09-63</t>
  </si>
  <si>
    <t>Easterling Dragon Knight</t>
  </si>
  <si>
    <t>60100181096</t>
  </si>
  <si>
    <t>BL207</t>
  </si>
  <si>
    <t>Salamanders</t>
  </si>
  <si>
    <t>60100181170</t>
  </si>
  <si>
    <t>BL326</t>
  </si>
  <si>
    <t>Phalanx</t>
  </si>
  <si>
    <t>60100181196</t>
  </si>
  <si>
    <t>BL222S</t>
  </si>
  <si>
    <t>Gaunt's Ghosts: Salvation's Reach</t>
  </si>
  <si>
    <t>60100181208</t>
  </si>
  <si>
    <t>BL2538</t>
  </si>
  <si>
    <t>Tome Of Fire</t>
  </si>
  <si>
    <t>60100181209</t>
  </si>
  <si>
    <t>BL2543</t>
  </si>
  <si>
    <t>Ravenwing</t>
  </si>
  <si>
    <t>60100181221</t>
  </si>
  <si>
    <t>BL2533S</t>
  </si>
  <si>
    <t>Angel Exterminatus (SB C-Format)</t>
  </si>
  <si>
    <t>60100181228</t>
  </si>
  <si>
    <t>BL431</t>
  </si>
  <si>
    <t>Path Of The Incubus</t>
  </si>
  <si>
    <t>60100181232</t>
  </si>
  <si>
    <t>BL316S</t>
  </si>
  <si>
    <t>The Last Ditch</t>
  </si>
  <si>
    <t>60100281102</t>
  </si>
  <si>
    <t>BL284</t>
  </si>
  <si>
    <t>Sigvald</t>
  </si>
  <si>
    <t>60680181020</t>
  </si>
  <si>
    <t>BL302</t>
  </si>
  <si>
    <t>Galaxy In Flames (Audiobook)</t>
  </si>
  <si>
    <t>60680181026</t>
  </si>
  <si>
    <t>BL355</t>
  </si>
  <si>
    <t>Horus Heresy:Butcher's Nails (Audiobook)</t>
  </si>
  <si>
    <t>60680181028</t>
  </si>
  <si>
    <t>BL368</t>
  </si>
  <si>
    <t>Prospero Burns (Unabridged Audiobook)</t>
  </si>
  <si>
    <t>60680181032</t>
  </si>
  <si>
    <t>BL2505</t>
  </si>
  <si>
    <t>Prisoners Of The Eye Of Terror Audiobook</t>
  </si>
  <si>
    <t>60680281004</t>
  </si>
  <si>
    <t>BL433</t>
  </si>
  <si>
    <t>Curse Of The Everliving (Audiobook)</t>
  </si>
  <si>
    <t>03249999394</t>
  </si>
  <si>
    <t>WD10-03</t>
  </si>
  <si>
    <t>White Dwarf October 2013 (Spanish)</t>
  </si>
  <si>
    <t>60249999394</t>
  </si>
  <si>
    <t>WD10-60</t>
  </si>
  <si>
    <t>White Dwarf October (Nes)</t>
  </si>
  <si>
    <t>99221499011</t>
  </si>
  <si>
    <t>01-16</t>
  </si>
  <si>
    <t>War Of The Ring Cavalry Movement Trays</t>
  </si>
  <si>
    <t>99120203003</t>
  </si>
  <si>
    <t>82-06</t>
  </si>
  <si>
    <t>Knights Of Bretonnia</t>
  </si>
  <si>
    <t>99810202002</t>
  </si>
  <si>
    <t>86-41</t>
  </si>
  <si>
    <t>Ludwig Schwarzhelm: Emperor's Champion</t>
  </si>
  <si>
    <t>99810209008</t>
  </si>
  <si>
    <t>Gorbad Ironclaw</t>
  </si>
  <si>
    <t>99120207013</t>
  </si>
  <si>
    <t>91-14</t>
  </si>
  <si>
    <t>Vampire Counts Corpse Cart</t>
  </si>
  <si>
    <t>60100281118</t>
  </si>
  <si>
    <t>BL361</t>
  </si>
  <si>
    <t>War Of Vengeance: The Great Betrayal</t>
  </si>
  <si>
    <t>60100281122</t>
  </si>
  <si>
    <t>BL372</t>
  </si>
  <si>
    <t>Van Horstmann</t>
  </si>
  <si>
    <t>60100281124</t>
  </si>
  <si>
    <t>BL2537H</t>
  </si>
  <si>
    <t>Sword Of Caledor (Hardback)</t>
  </si>
  <si>
    <t>60100281139</t>
  </si>
  <si>
    <t>BL857</t>
  </si>
  <si>
    <t>Gotrek &amp; Felix: The Second Omnibus</t>
  </si>
  <si>
    <t>60680181016</t>
  </si>
  <si>
    <t>BL283</t>
  </si>
  <si>
    <t>False Gods Audiobook</t>
  </si>
  <si>
    <t>99120299024</t>
  </si>
  <si>
    <t>Skullvane Manse: Lair Of The Astromancer</t>
  </si>
  <si>
    <t>99220199045</t>
  </si>
  <si>
    <t>60100181095</t>
  </si>
  <si>
    <t>BL205</t>
  </si>
  <si>
    <t>Ravenor: The Omnibus</t>
  </si>
  <si>
    <t>60100181168</t>
  </si>
  <si>
    <t>BL322</t>
  </si>
  <si>
    <t>Iron Warriors Omnibus</t>
  </si>
  <si>
    <t>99120205010</t>
  </si>
  <si>
    <t>84-09</t>
  </si>
  <si>
    <t>Dwarf Battalion</t>
  </si>
  <si>
    <t>60100181103</t>
  </si>
  <si>
    <t>BL185</t>
  </si>
  <si>
    <t>Horus Heresy: Prospero Burns</t>
  </si>
  <si>
    <t>60100181160</t>
  </si>
  <si>
    <t>BL308</t>
  </si>
  <si>
    <t>Word Bearers Omnibus</t>
  </si>
  <si>
    <t>60109981003</t>
  </si>
  <si>
    <t>BL354</t>
  </si>
  <si>
    <t>The Best Of Hammer And Bolter: Vol 1</t>
  </si>
  <si>
    <t>03249999409</t>
  </si>
  <si>
    <t>WD09-03</t>
  </si>
  <si>
    <t>White Dwarf September 2013 (Spanish)</t>
  </si>
  <si>
    <t>60249999409</t>
  </si>
  <si>
    <t>White Dwarf September 2013 (Nes)</t>
  </si>
  <si>
    <t>99120212001</t>
  </si>
  <si>
    <t>85-06</t>
  </si>
  <si>
    <t>Dark Elf Warriors Regiment</t>
  </si>
  <si>
    <t>03030212004</t>
  </si>
  <si>
    <t>85-01-03</t>
  </si>
  <si>
    <t>Dark Elves Army Book (Spanish)</t>
  </si>
  <si>
    <t>60030212003</t>
  </si>
  <si>
    <t>85-01-60</t>
  </si>
  <si>
    <t>Dark Elves Army Book</t>
  </si>
  <si>
    <t>60100181212</t>
  </si>
  <si>
    <t>BL126</t>
  </si>
  <si>
    <t>Gaunt's Ghosts: The Saint</t>
  </si>
  <si>
    <t>99120212004</t>
  </si>
  <si>
    <t> Dark Elf Battalion</t>
  </si>
  <si>
    <t>60100281144</t>
  </si>
  <si>
    <t>BL899</t>
  </si>
  <si>
    <t>Time Of Legends: Dead Winter</t>
  </si>
  <si>
    <t>99120210004</t>
  </si>
  <si>
    <t>87-08</t>
  </si>
  <si>
    <t>High Elf Archers Regiment</t>
  </si>
  <si>
    <t>99810209006</t>
  </si>
  <si>
    <t>89-41</t>
  </si>
  <si>
    <t>Orc Warboss On Wyvern</t>
  </si>
  <si>
    <t>99811466005</t>
  </si>
  <si>
    <t>11-42</t>
  </si>
  <si>
    <t>Dweller In The Dark</t>
  </si>
  <si>
    <t>03249999408</t>
  </si>
  <si>
    <t>WD08-03</t>
  </si>
  <si>
    <t>White Dwarf August 2013 (Spanish)</t>
  </si>
  <si>
    <t>60249999408</t>
  </si>
  <si>
    <t>WD08-60</t>
  </si>
  <si>
    <t>White Dwarf August 2013 (Nes)</t>
  </si>
  <si>
    <t>99800217002</t>
  </si>
  <si>
    <t>94-62</t>
  </si>
  <si>
    <t>Tomb Kings Necrotect</t>
  </si>
  <si>
    <t>60100181156</t>
  </si>
  <si>
    <t>BL288</t>
  </si>
  <si>
    <t>Hammer &amp; Anvil</t>
  </si>
  <si>
    <t>60100181169</t>
  </si>
  <si>
    <t>BL324</t>
  </si>
  <si>
    <t>SMB: Legion Of The Damned</t>
  </si>
  <si>
    <t>60680181013</t>
  </si>
  <si>
    <t>BL277</t>
  </si>
  <si>
    <t>Garro: Legion Of One (Audiobook)</t>
  </si>
  <si>
    <t>60680181027</t>
  </si>
  <si>
    <t>BL369</t>
  </si>
  <si>
    <t>Malediction (Audiobook</t>
  </si>
  <si>
    <t>60100181200</t>
  </si>
  <si>
    <t>BL401</t>
  </si>
  <si>
    <t>Space Wolves Omnibus 1</t>
  </si>
  <si>
    <t>99120199019</t>
  </si>
  <si>
    <t>Imperial Strongpoint</t>
  </si>
  <si>
    <t>99800217005</t>
  </si>
  <si>
    <t>94-63</t>
  </si>
  <si>
    <t>Prince Apophas</t>
  </si>
  <si>
    <t>03030101013</t>
  </si>
  <si>
    <t>48-02-03</t>
  </si>
  <si>
    <t>Codex Space Marines (Spanish)</t>
  </si>
  <si>
    <t>60030101010</t>
  </si>
  <si>
    <t>Codex Space Marines</t>
  </si>
  <si>
    <t>99120101025</t>
  </si>
  <si>
    <t>Space Marines Tactical Squad</t>
  </si>
  <si>
    <t>Replaced by 99120101128</t>
  </si>
  <si>
    <t>99120101059</t>
  </si>
  <si>
    <t>48-08</t>
  </si>
  <si>
    <t>60030101007</t>
  </si>
  <si>
    <t>55-01-60</t>
  </si>
  <si>
    <t>Codex Black Templars</t>
  </si>
  <si>
    <t>99800201009</t>
  </si>
  <si>
    <t>83-64</t>
  </si>
  <si>
    <t>Festus The Leechlord</t>
  </si>
  <si>
    <t>99810207005</t>
  </si>
  <si>
    <t>91-42</t>
  </si>
  <si>
    <t>Count Mannfred</t>
  </si>
  <si>
    <t>99120210003</t>
  </si>
  <si>
    <t>87-06</t>
  </si>
  <si>
    <t>High Elf Spearmen Regiment</t>
  </si>
  <si>
    <t>99179999009</t>
  </si>
  <si>
    <t>99800217001</t>
  </si>
  <si>
    <t>94-61</t>
  </si>
  <si>
    <t>Tomb Kings Liche Priest</t>
  </si>
  <si>
    <t>60100181112</t>
  </si>
  <si>
    <t>BL213</t>
  </si>
  <si>
    <t>SMB: Rynns World</t>
  </si>
  <si>
    <t>60100181164</t>
  </si>
  <si>
    <t>BL247S</t>
  </si>
  <si>
    <t>The Emperor's Finest (SOFTBACK)</t>
  </si>
  <si>
    <t>60100181180</t>
  </si>
  <si>
    <t>BL327</t>
  </si>
  <si>
    <t>Voidstalker</t>
  </si>
  <si>
    <t>60100181187</t>
  </si>
  <si>
    <t>BL356</t>
  </si>
  <si>
    <t>Space Marine Battles: Wrath Of Iron</t>
  </si>
  <si>
    <t>60100181190</t>
  </si>
  <si>
    <t>BL360H</t>
  </si>
  <si>
    <t>Grey Knights 1: The Emperor's Gift (Hb)</t>
  </si>
  <si>
    <t>60100181198</t>
  </si>
  <si>
    <t>BL374</t>
  </si>
  <si>
    <t>Treacheries Of The Space Marines</t>
  </si>
  <si>
    <t>60100281107</t>
  </si>
  <si>
    <t>BL307</t>
  </si>
  <si>
    <t>Time Of Legends: Age Of Legend</t>
  </si>
  <si>
    <t>60100281111</t>
  </si>
  <si>
    <t>BL318</t>
  </si>
  <si>
    <t>Luthor Huss</t>
  </si>
  <si>
    <t>60100281121</t>
  </si>
  <si>
    <t>BL375</t>
  </si>
  <si>
    <t>Time Of Legends: Neferata</t>
  </si>
  <si>
    <t>60100281125</t>
  </si>
  <si>
    <t>Swords Of The Emperor</t>
  </si>
  <si>
    <t>60100281127</t>
  </si>
  <si>
    <t>BL301S</t>
  </si>
  <si>
    <t>Blood Of Aenarion (Sb)</t>
  </si>
  <si>
    <t>60680181022</t>
  </si>
  <si>
    <t>BL330</t>
  </si>
  <si>
    <t>Eye Of Vengeance (Audiobook)</t>
  </si>
  <si>
    <t>60680181025</t>
  </si>
  <si>
    <t>BL331</t>
  </si>
  <si>
    <t>Thorn And Talon (Audiobook)</t>
  </si>
  <si>
    <t>60680181030</t>
  </si>
  <si>
    <t>BL2531</t>
  </si>
  <si>
    <t>Chosen Of Khorne (Audiobook)</t>
  </si>
  <si>
    <t>60680181031</t>
  </si>
  <si>
    <t>BL2530</t>
  </si>
  <si>
    <t>Perfection (Audiobook)</t>
  </si>
  <si>
    <t>99811462032</t>
  </si>
  <si>
    <t>Azog (Foot &amp; Mounted)</t>
  </si>
  <si>
    <t>99800101004</t>
  </si>
  <si>
    <t>Space Marine Chaplain With Jump Pack</t>
  </si>
  <si>
    <t>03040199023</t>
  </si>
  <si>
    <t>40-04-03</t>
  </si>
  <si>
    <t>40K Battle Missions Spanish</t>
  </si>
  <si>
    <t>99810101017 </t>
  </si>
  <si>
    <t>03249999407 </t>
  </si>
  <si>
    <t>White Dwarf July 2013 (Spanish)</t>
  </si>
  <si>
    <t>60249999407 </t>
  </si>
  <si>
    <t>White Dwarf July 2013 (Nes)</t>
  </si>
  <si>
    <t>99220199051 </t>
  </si>
  <si>
    <t>Bombardment Dice Cube</t>
  </si>
  <si>
    <t>99810101016</t>
  </si>
  <si>
    <t>60100181165</t>
  </si>
  <si>
    <t>BL317</t>
  </si>
  <si>
    <t>Blood Angels: The Second Omnibus</t>
  </si>
  <si>
    <t>Ciaphas Cain: Hero Of The Imperium</t>
  </si>
  <si>
    <t>60100181215</t>
  </si>
  <si>
    <t>BL586S</t>
  </si>
  <si>
    <t>Gaunt's Ghosts: The Founding</t>
  </si>
  <si>
    <t>60100181217</t>
  </si>
  <si>
    <t>BL132</t>
  </si>
  <si>
    <t>Horus Heresy: Descent Of Angels</t>
  </si>
  <si>
    <t>60100181218</t>
  </si>
  <si>
    <t>BL144</t>
  </si>
  <si>
    <t>Horus Heresy: Legion</t>
  </si>
  <si>
    <t>99810217004</t>
  </si>
  <si>
    <t>94-40</t>
  </si>
  <si>
    <t>Tomb Kings Casket Of Souls</t>
  </si>
  <si>
    <t>03030208003</t>
  </si>
  <si>
    <t>88-01-03</t>
  </si>
  <si>
    <t>Lizardmen Army Book (Spanish)</t>
  </si>
  <si>
    <t>03239999003</t>
  </si>
  <si>
    <t>66-97-03</t>
  </si>
  <si>
    <t>Eavy Metal Brush Set (Spanish)</t>
  </si>
  <si>
    <t>60030208002</t>
  </si>
  <si>
    <t>Lizardmen Army Book</t>
  </si>
  <si>
    <t>99120203004</t>
  </si>
  <si>
    <t>82-09</t>
  </si>
  <si>
    <t>Bretonnian Men At Arms Regiment</t>
  </si>
  <si>
    <t>99120203006</t>
  </si>
  <si>
    <t>82-07</t>
  </si>
  <si>
    <t>Bretonnian Bowmen</t>
  </si>
  <si>
    <t>99120206005</t>
  </si>
  <si>
    <t>90-13</t>
  </si>
  <si>
    <t>Skaven Rat Ogres And Giant Rats</t>
  </si>
  <si>
    <t>99120209026</t>
  </si>
  <si>
    <t>89-06</t>
  </si>
  <si>
    <t>Orc Boyz</t>
  </si>
  <si>
    <t>99220199052</t>
  </si>
  <si>
    <t>Vortex Grenade Template</t>
  </si>
  <si>
    <t>99800202007</t>
  </si>
  <si>
    <t>86-64</t>
  </si>
  <si>
    <t>Empire Warrior Priest</t>
  </si>
  <si>
    <t>99810208004</t>
  </si>
  <si>
    <t>88-41</t>
  </si>
  <si>
    <t>Kroq Gar</t>
  </si>
  <si>
    <t>99810209009</t>
  </si>
  <si>
    <t>89-40</t>
  </si>
  <si>
    <t>Azhag The Slaughterer</t>
  </si>
  <si>
    <t>60100281134</t>
  </si>
  <si>
    <t>BL427</t>
  </si>
  <si>
    <t>Gotrek &amp; Felix: Road Of Skulls</t>
  </si>
  <si>
    <t>99810209004</t>
  </si>
  <si>
    <t>89-43</t>
  </si>
  <si>
    <t>Savage Orc Great Shaman On War Boar</t>
  </si>
  <si>
    <t>03249999406</t>
  </si>
  <si>
    <t>WD06-03</t>
  </si>
  <si>
    <t>White Dwarf June 2013 (Spanish)</t>
  </si>
  <si>
    <t>60249999406</t>
  </si>
  <si>
    <t>WD06-60</t>
  </si>
  <si>
    <t>White Dwarf June 2013 (Nes)</t>
  </si>
  <si>
    <t>99120213014</t>
  </si>
  <si>
    <t>95-09</t>
  </si>
  <si>
    <t>Ogre Kingdoms Ironguts</t>
  </si>
  <si>
    <t>99120206002</t>
  </si>
  <si>
    <t>90-08</t>
  </si>
  <si>
    <t>Skaven Night Runners</t>
  </si>
  <si>
    <t>99120209021</t>
  </si>
  <si>
    <t>89-18</t>
  </si>
  <si>
    <t>Orc Boar Boyz</t>
  </si>
  <si>
    <t>99120210005</t>
  </si>
  <si>
    <t>87-09</t>
  </si>
  <si>
    <t>High Elf Silver Helms</t>
  </si>
  <si>
    <t>99120210006</t>
  </si>
  <si>
    <t>87-17</t>
  </si>
  <si>
    <t>High Elf Repeater Bolt Thrower</t>
  </si>
  <si>
    <t>99810103010</t>
  </si>
  <si>
    <t>50-42</t>
  </si>
  <si>
    <t>60100181158</t>
  </si>
  <si>
    <t>BL300</t>
  </si>
  <si>
    <t>Nocturne</t>
  </si>
  <si>
    <t>60100181184</t>
  </si>
  <si>
    <t>BL352</t>
  </si>
  <si>
    <t>Ultramarines Omnibus 2</t>
  </si>
  <si>
    <t>60680181014</t>
  </si>
  <si>
    <t>BL264</t>
  </si>
  <si>
    <t>Horus Rising (Audiobook)</t>
  </si>
  <si>
    <t>99120105023</t>
  </si>
  <si>
    <t>Imperial Guard Baneblade</t>
  </si>
  <si>
    <t>Replaced by 99120105051</t>
  </si>
  <si>
    <t>99120299022</t>
  </si>
  <si>
    <t>80-10</t>
  </si>
  <si>
    <t>Chimera</t>
  </si>
  <si>
    <t>03049999104</t>
  </si>
  <si>
    <t>60-04-03</t>
  </si>
  <si>
    <t>Eavy Metal Masterclass (Spanish)</t>
  </si>
  <si>
    <t>99120104028</t>
  </si>
  <si>
    <t>46-12</t>
  </si>
  <si>
    <t>99120203009</t>
  </si>
  <si>
    <t>82-11</t>
  </si>
  <si>
    <t>Bretonnian Pegasus Knight</t>
  </si>
  <si>
    <t>99120204003</t>
  </si>
  <si>
    <t>Wood Elf Dryads</t>
  </si>
  <si>
    <t>99120209013</t>
  </si>
  <si>
    <t>89-05</t>
  </si>
  <si>
    <t>Orc Warboss</t>
  </si>
  <si>
    <t>99230199007</t>
  </si>
  <si>
    <t>Warhammer 40K Army Figure Case (2012)</t>
  </si>
  <si>
    <t>03249999405</t>
  </si>
  <si>
    <t>WD05-03</t>
  </si>
  <si>
    <t>White Dwarf May 2013 (Spanish)</t>
  </si>
  <si>
    <t>60249999405</t>
  </si>
  <si>
    <t>WD05-60</t>
  </si>
  <si>
    <t>White Dwarf May 2013 (Nes)</t>
  </si>
  <si>
    <t>99120105034</t>
  </si>
  <si>
    <t>Imperial Guard Shadowsword/Stormlord</t>
  </si>
  <si>
    <t>03040199018</t>
  </si>
  <si>
    <t>40-03-03</t>
  </si>
  <si>
    <t>40K Apocalypse Book (Spanish)</t>
  </si>
  <si>
    <t>60040199018</t>
  </si>
  <si>
    <t>40K Apocalypse Book</t>
  </si>
  <si>
    <t>99220199035</t>
  </si>
  <si>
    <t>40-14</t>
  </si>
  <si>
    <t>Apocalypse Templates</t>
  </si>
  <si>
    <t>99811464084</t>
  </si>
  <si>
    <t>31-43</t>
  </si>
  <si>
    <t>Radagast The Brown On Sleigh</t>
  </si>
  <si>
    <t>99120101072</t>
  </si>
  <si>
    <t>Space Marine Scout Bike</t>
  </si>
  <si>
    <t>Replaced by 99120101101</t>
  </si>
  <si>
    <t>99120104022</t>
  </si>
  <si>
    <t>Replaced by 99120104034</t>
  </si>
  <si>
    <t>99120299013</t>
  </si>
  <si>
    <t>Watchtower</t>
  </si>
  <si>
    <t>99800102012</t>
  </si>
  <si>
    <t>43-68</t>
  </si>
  <si>
    <t>Chaos Lord With Jump Pack</t>
  </si>
  <si>
    <t>99800110009</t>
  </si>
  <si>
    <t>49-65</t>
  </si>
  <si>
    <t>Trazyn The Infinite</t>
  </si>
  <si>
    <t>99800202006</t>
  </si>
  <si>
    <t>86-63</t>
  </si>
  <si>
    <t>Empire Amber Battle Wizard</t>
  </si>
  <si>
    <t>99801464014</t>
  </si>
  <si>
    <t>08-62</t>
  </si>
  <si>
    <t>The Dark Marshal (Ringwraith)</t>
  </si>
  <si>
    <t>99800104015</t>
  </si>
  <si>
    <t>Harlequin Shadowseer</t>
  </si>
  <si>
    <t>99120101002</t>
  </si>
  <si>
    <t>Space Marine Bike</t>
  </si>
  <si>
    <t>99120104011</t>
  </si>
  <si>
    <t>Eldar Dire Avengers</t>
  </si>
  <si>
    <t>Replaced by 99120104033</t>
  </si>
  <si>
    <t>99801465012</t>
  </si>
  <si>
    <t>31-69</t>
  </si>
  <si>
    <t>Captain Of Erebor</t>
  </si>
  <si>
    <t>99120213012</t>
  </si>
  <si>
    <t>95-07</t>
  </si>
  <si>
    <t>Ogre Kingdoms Gnoblar Fighters</t>
  </si>
  <si>
    <t>60040199028</t>
  </si>
  <si>
    <t>40-16-60</t>
  </si>
  <si>
    <t>Warhammer 40000: Crusade Of Fire (Eng)</t>
  </si>
  <si>
    <t>99120114001</t>
  </si>
  <si>
    <t>56-08</t>
  </si>
  <si>
    <t>Kroot Carnivore Squad</t>
  </si>
  <si>
    <t>99120299014</t>
  </si>
  <si>
    <t>64-16</t>
  </si>
  <si>
    <t>Chapel</t>
  </si>
  <si>
    <t>99220199026</t>
  </si>
  <si>
    <t>Urban Barricades And Walls</t>
  </si>
  <si>
    <t>99800210009</t>
  </si>
  <si>
    <t>87-62</t>
  </si>
  <si>
    <t>Alarielle The Radiant</t>
  </si>
  <si>
    <t>99800210010</t>
  </si>
  <si>
    <t>87-63</t>
  </si>
  <si>
    <t>Handmaiden Of The Everqueen</t>
  </si>
  <si>
    <t>60030104003</t>
  </si>
  <si>
    <t>Codex Eldar</t>
  </si>
  <si>
    <t>60249999404</t>
  </si>
  <si>
    <t>WD04-60</t>
  </si>
  <si>
    <t>White Dwarf April 2013 (Nes)</t>
  </si>
  <si>
    <t>99801465010</t>
  </si>
  <si>
    <t>31-64</t>
  </si>
  <si>
    <t>Grim Hammers Captain</t>
  </si>
  <si>
    <t>60100281119</t>
  </si>
  <si>
    <t>BL370</t>
  </si>
  <si>
    <t>The Legend Of Sigmar</t>
  </si>
  <si>
    <t>99120101065</t>
  </si>
  <si>
    <t>48-22</t>
  </si>
  <si>
    <t>Space Marine Whirlwind</t>
  </si>
  <si>
    <t>99220299022</t>
  </si>
  <si>
    <t>Walls &amp; Fences</t>
  </si>
  <si>
    <t>99800217007</t>
  </si>
  <si>
    <t>94-60</t>
  </si>
  <si>
    <t>Tomb King With Great Weapon</t>
  </si>
  <si>
    <t>99810201003</t>
  </si>
  <si>
    <t>Archaon The Everchosen</t>
  </si>
  <si>
    <t>03249999404</t>
  </si>
  <si>
    <t>WD04-03</t>
  </si>
  <si>
    <t>White Dwarf April 2013 (Spanish)</t>
  </si>
  <si>
    <t>99120101024</t>
  </si>
  <si>
    <t>48-06</t>
  </si>
  <si>
    <t>Space Marine Combat Squad</t>
  </si>
  <si>
    <t>99120110016</t>
  </si>
  <si>
    <t>Necron Destroyer</t>
  </si>
  <si>
    <t>99120209009</t>
  </si>
  <si>
    <t>89-23</t>
  </si>
  <si>
    <t>Forest Goblin Spider Riders</t>
  </si>
  <si>
    <t>99800207002</t>
  </si>
  <si>
    <t>91-61</t>
  </si>
  <si>
    <t>Vampire Lord</t>
  </si>
  <si>
    <t>99810102004</t>
  </si>
  <si>
    <t>Nurgle Daemon Prince</t>
  </si>
  <si>
    <t>99819915004</t>
  </si>
  <si>
    <t>97-40</t>
  </si>
  <si>
    <t>Chaos Daemons Bloodthirster</t>
  </si>
  <si>
    <t>99801465013</t>
  </si>
  <si>
    <t>31-68</t>
  </si>
  <si>
    <t>Thrain</t>
  </si>
  <si>
    <t>99120209025</t>
  </si>
  <si>
    <t>Savage Orc Boar Boyz</t>
  </si>
  <si>
    <t>60100281101</t>
  </si>
  <si>
    <t>BL289</t>
  </si>
  <si>
    <t>Sons Of Ellyrion</t>
  </si>
  <si>
    <t>60100281112</t>
  </si>
  <si>
    <t>BL323</t>
  </si>
  <si>
    <t>Knights Of The Blazing Sun</t>
  </si>
  <si>
    <t>60100281113</t>
  </si>
  <si>
    <t>BL328</t>
  </si>
  <si>
    <t>99811499003</t>
  </si>
  <si>
    <t>08-43</t>
  </si>
  <si>
    <t>Mordor Troll Chieftain</t>
  </si>
  <si>
    <t>99120209006</t>
  </si>
  <si>
    <t>89-14</t>
  </si>
  <si>
    <t>Orc Boar Chariot</t>
  </si>
  <si>
    <t>99129999007</t>
  </si>
  <si>
    <t>Temple Of Skulls</t>
  </si>
  <si>
    <t>99120104002</t>
  </si>
  <si>
    <t>Eldar Jetbike</t>
  </si>
  <si>
    <t>99819915005</t>
  </si>
  <si>
    <t>97-41</t>
  </si>
  <si>
    <t>Chaos Daemons Lord Of Change</t>
  </si>
  <si>
    <t>03030210004</t>
  </si>
  <si>
    <t>87-01-03</t>
  </si>
  <si>
    <t>High Elf Army Book (Spanish)</t>
  </si>
  <si>
    <t>60030210003</t>
  </si>
  <si>
    <t>High Elf Army Book</t>
  </si>
  <si>
    <t>99800113016</t>
  </si>
  <si>
    <t>56-61</t>
  </si>
  <si>
    <t>Darkstrider</t>
  </si>
  <si>
    <t>99800113017</t>
  </si>
  <si>
    <t>56-62</t>
  </si>
  <si>
    <t>Longstrike</t>
  </si>
  <si>
    <t>99120207014</t>
  </si>
  <si>
    <t>91-15</t>
  </si>
  <si>
    <t>Vampire Counts Dire Wolves</t>
  </si>
  <si>
    <t>99810113020</t>
  </si>
  <si>
    <t>56-41</t>
  </si>
  <si>
    <t>Commander Farsight</t>
  </si>
  <si>
    <t>99810104012</t>
  </si>
  <si>
    <t>46-40</t>
  </si>
  <si>
    <t>99120202019</t>
  </si>
  <si>
    <t>86-19</t>
  </si>
  <si>
    <t>Empire Pistoliers / Outriders</t>
  </si>
  <si>
    <t>99120209004</t>
  </si>
  <si>
    <t>89-11</t>
  </si>
  <si>
    <t>Goblin Wolf Riders</t>
  </si>
  <si>
    <t>99800110001</t>
  </si>
  <si>
    <t>49-64</t>
  </si>
  <si>
    <t>Nemesor Zahndrekh</t>
  </si>
  <si>
    <t>03249999403</t>
  </si>
  <si>
    <t>WD03-03</t>
  </si>
  <si>
    <t>White Dwarf March 2013 (Spanish)</t>
  </si>
  <si>
    <t>60249999403</t>
  </si>
  <si>
    <t>White Dwarf March 2013 (Nes)</t>
  </si>
  <si>
    <t>99239999064</t>
  </si>
  <si>
    <t>Paint Station + (Red)</t>
  </si>
  <si>
    <t>99800202004</t>
  </si>
  <si>
    <t>86-61</t>
  </si>
  <si>
    <t>Empire Witch Hunter</t>
  </si>
  <si>
    <t>99120216002</t>
  </si>
  <si>
    <t>81-09</t>
  </si>
  <si>
    <t>Beastmen Ungor Herd</t>
  </si>
  <si>
    <t>99810213005</t>
  </si>
  <si>
    <t>95-44</t>
  </si>
  <si>
    <t>Ogre Kingdoms Yhetees</t>
  </si>
  <si>
    <t>99120299012</t>
  </si>
  <si>
    <t>Fortified Manor</t>
  </si>
  <si>
    <t>99810205006</t>
  </si>
  <si>
    <t>84-42</t>
  </si>
  <si>
    <t>Dwarf Bolt Thrower</t>
  </si>
  <si>
    <t>99810213002</t>
  </si>
  <si>
    <t>95-41</t>
  </si>
  <si>
    <t>Ogre Kingdoms Slaughtermaster</t>
  </si>
  <si>
    <t>99120205008</t>
  </si>
  <si>
    <t>84-12</t>
  </si>
  <si>
    <t>Dwarf Miners</t>
  </si>
  <si>
    <t>99129915011</t>
  </si>
  <si>
    <t>97-19</t>
  </si>
  <si>
    <t>Exalted Seeker Chariot Of Slaanesh</t>
  </si>
  <si>
    <t>99800212004</t>
  </si>
  <si>
    <t>85-61</t>
  </si>
  <si>
    <t>Dark Elf Assassin With Two Hand Weapons</t>
  </si>
  <si>
    <t>99801465009</t>
  </si>
  <si>
    <t>31-65</t>
  </si>
  <si>
    <t>Thror: The Last King Under The Mountain</t>
  </si>
  <si>
    <t>99810203001</t>
  </si>
  <si>
    <t>82-41</t>
  </si>
  <si>
    <t>The Green Knight</t>
  </si>
  <si>
    <t>99810106008</t>
  </si>
  <si>
    <t>51-41</t>
  </si>
  <si>
    <t>Tyranid Pyrovore</t>
  </si>
  <si>
    <t>99810201006</t>
  </si>
  <si>
    <t>Chaos Dragon Ogre Shaggoth</t>
  </si>
  <si>
    <t>99120113005</t>
  </si>
  <si>
    <t>Tau Xv8 Crisis Battlesuit</t>
  </si>
  <si>
    <t>99120101043</t>
  </si>
  <si>
    <t>55-12</t>
  </si>
  <si>
    <t>99809915025</t>
  </si>
  <si>
    <t>Chaos Daemons Herald Of Slaanesh</t>
  </si>
  <si>
    <t>99229999073</t>
  </si>
  <si>
    <t>Citadel Battlemat</t>
  </si>
  <si>
    <t>99810201007</t>
  </si>
  <si>
    <t>Chaos Hellcannon</t>
  </si>
  <si>
    <t>99809915024</t>
  </si>
  <si>
    <t>Chaos Daemons Herald Of Khorne</t>
  </si>
  <si>
    <t>99120102003</t>
  </si>
  <si>
    <t>Chaos Space Marine Bike</t>
  </si>
  <si>
    <t>99120210018</t>
  </si>
  <si>
    <t>99810207006</t>
  </si>
  <si>
    <t>91-41</t>
  </si>
  <si>
    <t>Vampire Counts Blood Knights</t>
  </si>
  <si>
    <t>99810209010</t>
  </si>
  <si>
    <t>Orcs &amp; Goblins Mangler Squigs</t>
  </si>
  <si>
    <t>60100181105</t>
  </si>
  <si>
    <t>BL184</t>
  </si>
  <si>
    <t>Space Wolf The Second Omnibus</t>
  </si>
  <si>
    <t>60100181219</t>
  </si>
  <si>
    <t>BL862</t>
  </si>
  <si>
    <t>Dark Vengeance: The Novel</t>
  </si>
  <si>
    <t>99120105040</t>
  </si>
  <si>
    <t>42-06</t>
  </si>
  <si>
    <t>Imperial Guard Catachan Jungle Fighters</t>
  </si>
  <si>
    <t>99811463010</t>
  </si>
  <si>
    <t>31-62</t>
  </si>
  <si>
    <t>Elrond Foot &amp; Mounted</t>
  </si>
  <si>
    <t>03030113002</t>
  </si>
  <si>
    <t>56-01-03</t>
  </si>
  <si>
    <t>Codex Tau Empire (Spanish)</t>
  </si>
  <si>
    <t>60030113002</t>
  </si>
  <si>
    <t>Codex Tau Empire</t>
  </si>
  <si>
    <t>99129999004</t>
  </si>
  <si>
    <t>Citadel Gaming Hill</t>
  </si>
  <si>
    <t>99120113018</t>
  </si>
  <si>
    <t>Tau Battleforce</t>
  </si>
  <si>
    <t>99800110013</t>
  </si>
  <si>
    <t>49-69</t>
  </si>
  <si>
    <t>Vargard Obyron</t>
  </si>
  <si>
    <t>99800207003</t>
  </si>
  <si>
    <t>91-62</t>
  </si>
  <si>
    <t>Vlad Von Carstein</t>
  </si>
  <si>
    <t>99801464015</t>
  </si>
  <si>
    <t>09-62</t>
  </si>
  <si>
    <t>Amdûr Lord Of Blades</t>
  </si>
  <si>
    <t>99810216002</t>
  </si>
  <si>
    <t>81-40</t>
  </si>
  <si>
    <t>Beastmen Doombull</t>
  </si>
  <si>
    <t>60100181020</t>
  </si>
  <si>
    <t>BL665</t>
  </si>
  <si>
    <t>Faith &amp; Fire</t>
  </si>
  <si>
    <t>60100181094</t>
  </si>
  <si>
    <t>BL202</t>
  </si>
  <si>
    <t>HH: Fallen Angels</t>
  </si>
  <si>
    <t>60100181148</t>
  </si>
  <si>
    <t>BL279</t>
  </si>
  <si>
    <t>SMB: Battle Of The Fang</t>
  </si>
  <si>
    <t>60100181162</t>
  </si>
  <si>
    <t>BL252S</t>
  </si>
  <si>
    <t>Sabbat Worlds</t>
  </si>
  <si>
    <t>60680181006</t>
  </si>
  <si>
    <t>BL229</t>
  </si>
  <si>
    <t>Ravens Flight</t>
  </si>
  <si>
    <t>60100181110</t>
  </si>
  <si>
    <t>BL221</t>
  </si>
  <si>
    <t>Gaunts Ghosts: The Lost</t>
  </si>
  <si>
    <t>60100181192</t>
  </si>
  <si>
    <t>BL364</t>
  </si>
  <si>
    <t>Path Of The Outcast</t>
  </si>
  <si>
    <t>99020299001</t>
  </si>
  <si>
    <t>80-03</t>
  </si>
  <si>
    <t>Mighty Empires</t>
  </si>
  <si>
    <t>99120113020</t>
  </si>
  <si>
    <t>Tau Hammerhead</t>
  </si>
  <si>
    <t>99120202026</t>
  </si>
  <si>
    <t>86-14</t>
  </si>
  <si>
    <t>Empire Archers / Huntsmen</t>
  </si>
  <si>
    <t>99810206002</t>
  </si>
  <si>
    <t>90-40</t>
  </si>
  <si>
    <t>Skaven Warplock Jezzails</t>
  </si>
  <si>
    <t>99811462034</t>
  </si>
  <si>
    <t>32-41</t>
  </si>
  <si>
    <t>Yazneg (Foot &amp; Mounted)</t>
  </si>
  <si>
    <t>03249999402</t>
  </si>
  <si>
    <t>WD02-03</t>
  </si>
  <si>
    <t>White Dwarf February (Spanish)</t>
  </si>
  <si>
    <t>60249999402</t>
  </si>
  <si>
    <t>White Dwarf February (Nes)</t>
  </si>
  <si>
    <t>99120105042</t>
  </si>
  <si>
    <t>42-11</t>
  </si>
  <si>
    <t>Imperial Guard Catachan Battleforce</t>
  </si>
  <si>
    <t>99800209003</t>
  </si>
  <si>
    <t>89-62</t>
  </si>
  <si>
    <t>Black Orc Big Boss</t>
  </si>
  <si>
    <t>99810101019</t>
  </si>
  <si>
    <t>53-40</t>
  </si>
  <si>
    <t>Canis Wolfborn</t>
  </si>
  <si>
    <t>99810213001</t>
  </si>
  <si>
    <t>95-40</t>
  </si>
  <si>
    <t>Ogre Kingdoms Tyrant</t>
  </si>
  <si>
    <t>99129915003</t>
  </si>
  <si>
    <t>Replaced by 99129915018</t>
  </si>
  <si>
    <t>99810113001</t>
  </si>
  <si>
    <t>Tau Sniper Drone Team</t>
  </si>
  <si>
    <t>99220199049</t>
  </si>
  <si>
    <t>Tanglewire</t>
  </si>
  <si>
    <t>99800201021</t>
  </si>
  <si>
    <t>83-68</t>
  </si>
  <si>
    <t>Vilitch The Curseling</t>
  </si>
  <si>
    <t>99810201022</t>
  </si>
  <si>
    <t>Throgg</t>
  </si>
  <si>
    <t>03030115002</t>
  </si>
  <si>
    <t>97-03-03</t>
  </si>
  <si>
    <t>Codex Daemons Of Chaos (Spanish)</t>
  </si>
  <si>
    <t>03030215002</t>
  </si>
  <si>
    <t>97-01-03</t>
  </si>
  <si>
    <t>Daemons Of Chaos Army Book (Spanish)</t>
  </si>
  <si>
    <t>60030215001</t>
  </si>
  <si>
    <t>97-01-60</t>
  </si>
  <si>
    <t>Daemons Of Chaos Army Book</t>
  </si>
  <si>
    <t>60030115001 </t>
  </si>
  <si>
    <t>Codex Chaos Daemons</t>
  </si>
  <si>
    <t>99120217004 </t>
  </si>
  <si>
    <t>Tomb Kings Skeleton Chariots</t>
  </si>
  <si>
    <t>99120113021</t>
  </si>
  <si>
    <t>56-21</t>
  </si>
  <si>
    <t>Tau Skyray</t>
  </si>
  <si>
    <t>99120209002</t>
  </si>
  <si>
    <t>89-15</t>
  </si>
  <si>
    <t>Goblin Regiment</t>
  </si>
  <si>
    <t>03249999401</t>
  </si>
  <si>
    <t>White Dwarf January 2013 (Spanish)</t>
  </si>
  <si>
    <t>60249999401</t>
  </si>
  <si>
    <t>White Dwarf January 2013 (Nes)</t>
  </si>
  <si>
    <t>99810217006</t>
  </si>
  <si>
    <t>94-42</t>
  </si>
  <si>
    <t>Tomb Kings Ushabti With Great Weapons</t>
  </si>
  <si>
    <t>99811499006</t>
  </si>
  <si>
    <t>11-41</t>
  </si>
  <si>
    <t>The Watcher In The Water</t>
  </si>
  <si>
    <t>99810205008</t>
  </si>
  <si>
    <t>84-44</t>
  </si>
  <si>
    <t>High King Thorgrim Grudgebearer</t>
  </si>
  <si>
    <t>99120105047 </t>
  </si>
  <si>
    <t>Imperial Guard Basilisk</t>
  </si>
  <si>
    <t>60100281054</t>
  </si>
  <si>
    <t>BL160</t>
  </si>
  <si>
    <t>The Chronicles of Malus Darklade Vol1</t>
  </si>
  <si>
    <t>60100281085</t>
  </si>
  <si>
    <t>BL223</t>
  </si>
  <si>
    <t>Bloodborn </t>
  </si>
  <si>
    <t>60100181163 </t>
  </si>
  <si>
    <t>The Last Ditch (Hardback)</t>
  </si>
  <si>
    <t>99800213006 </t>
  </si>
  <si>
    <t>Bragg The Gutsman</t>
  </si>
  <si>
    <t>60100181122</t>
  </si>
  <si>
    <t>BL233</t>
  </si>
  <si>
    <t>SMB: Helsreach</t>
  </si>
  <si>
    <t>60100181131</t>
  </si>
  <si>
    <t>BL260</t>
  </si>
  <si>
    <t>Firedrake</t>
  </si>
  <si>
    <t>60100181213</t>
  </si>
  <si>
    <t>BL614</t>
  </si>
  <si>
    <t>Eisenhorn Omnibus</t>
  </si>
  <si>
    <t>60100281096</t>
  </si>
  <si>
    <t>BL267</t>
  </si>
  <si>
    <t>Thunder And Steel</t>
  </si>
  <si>
    <t>60100281116</t>
  </si>
  <si>
    <t>BL351</t>
  </si>
  <si>
    <t>Bloodsworn</t>
  </si>
  <si>
    <t>60680181010</t>
  </si>
  <si>
    <t>BL263</t>
  </si>
  <si>
    <t>Garro: Oath of Moment</t>
  </si>
  <si>
    <t>60680181017</t>
  </si>
  <si>
    <t>BL286</t>
  </si>
  <si>
    <t>Red &amp; Black</t>
  </si>
  <si>
    <t>60680181021</t>
  </si>
  <si>
    <t>BL319</t>
  </si>
  <si>
    <t>Labyrinth Of Sorrows (Audiobook)</t>
  </si>
  <si>
    <t>99120202002</t>
  </si>
  <si>
    <t>86-07</t>
  </si>
  <si>
    <t>Emp. Reiksguard Knights/Knightly Orders</t>
  </si>
  <si>
    <t>99800101056</t>
  </si>
  <si>
    <t>44-64</t>
  </si>
  <si>
    <t>Asmodai</t>
  </si>
  <si>
    <t>99800216001</t>
  </si>
  <si>
    <t>81-60</t>
  </si>
  <si>
    <t>Malagor The Dark Omen</t>
  </si>
  <si>
    <t>99810103006</t>
  </si>
  <si>
    <t>50-43</t>
  </si>
  <si>
    <t>Boss Zagstruk</t>
  </si>
  <si>
    <t>60249999412</t>
  </si>
  <si>
    <t>White Dwarf December (Nes)</t>
  </si>
  <si>
    <t>99120105037</t>
  </si>
  <si>
    <t>42-10</t>
  </si>
  <si>
    <t>Imperial Guard Catachan Command Squad</t>
  </si>
  <si>
    <t>60100181159</t>
  </si>
  <si>
    <t>BL310</t>
  </si>
  <si>
    <t>SMB: The Gildar Rift</t>
  </si>
  <si>
    <t>99809915001</t>
  </si>
  <si>
    <t>97-60</t>
  </si>
  <si>
    <t>Skulltaker</t>
  </si>
  <si>
    <t>99120202014</t>
  </si>
  <si>
    <t>86-16</t>
  </si>
  <si>
    <t>Empire Volley Gun / Rocket Battery</t>
  </si>
  <si>
    <t>99810212003</t>
  </si>
  <si>
    <t>85-40</t>
  </si>
  <si>
    <t>Dark Elves War Hydra</t>
  </si>
  <si>
    <t>99811462011</t>
  </si>
  <si>
    <t>10-41</t>
  </si>
  <si>
    <t>Isenguard Commanders</t>
  </si>
  <si>
    <t>9921999902602</t>
  </si>
  <si>
    <t>Citadel Liquid Green Stuff (6-Pack)</t>
  </si>
  <si>
    <t>Replaced by 9918995600406</t>
  </si>
  <si>
    <t>Ciaphus Cain: Defender Of The Imperium</t>
  </si>
  <si>
    <t>60100181188</t>
  </si>
  <si>
    <t>BL357H</t>
  </si>
  <si>
    <t>Macharian Crusade: Angel Of Fire</t>
  </si>
  <si>
    <t>60100281117</t>
  </si>
  <si>
    <t>BL358</t>
  </si>
  <si>
    <t>Valkia The Bloody</t>
  </si>
  <si>
    <t>99120101052</t>
  </si>
  <si>
    <t>Dark Angels Ravenwing Battleforce</t>
  </si>
  <si>
    <t>Replaced by 9912010100</t>
  </si>
  <si>
    <t>99801464017</t>
  </si>
  <si>
    <t>09-61</t>
  </si>
  <si>
    <t>Khamûl The Easterling (Ringwraith)</t>
  </si>
  <si>
    <t>60040199022</t>
  </si>
  <si>
    <t>Apocalypse Reload</t>
  </si>
  <si>
    <t>99179999018</t>
  </si>
  <si>
    <t>60-12</t>
  </si>
  <si>
    <t>'Eavy Metal Paint Set</t>
  </si>
  <si>
    <t>99800101001</t>
  </si>
  <si>
    <t>41-60</t>
  </si>
  <si>
    <t>Commander Dante</t>
  </si>
  <si>
    <t>99800105001</t>
  </si>
  <si>
    <t>47-61</t>
  </si>
  <si>
    <t>Commissar Yarrick</t>
  </si>
  <si>
    <t>99800205003</t>
  </si>
  <si>
    <t>84-62</t>
  </si>
  <si>
    <t>Dwarf Master Engineer With Great Weapon</t>
  </si>
  <si>
    <t>99801464012</t>
  </si>
  <si>
    <t>09-60</t>
  </si>
  <si>
    <t>Suladan The Serpent Lord</t>
  </si>
  <si>
    <t>99800110007</t>
  </si>
  <si>
    <t>49-60</t>
  </si>
  <si>
    <t>Necron Overlord</t>
  </si>
  <si>
    <t>99811465005</t>
  </si>
  <si>
    <t>05-41</t>
  </si>
  <si>
    <t>Dwarf Commanders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</si>
</sst>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#,##0.00"/>
    <numFmt numFmtId="165" formatCode="#,##0_);[Red]\(#,##0\);&quot;-&quot;_)"/>
    <numFmt numFmtId="166" formatCode="0%_);[Red]\(0%\);&quot;-&quot;_)"/>
    <numFmt numFmtId="167" formatCode="#,##0,_);[Red]\(#,##0,\);&quot;-&quot;_)"/>
    <numFmt numFmtId="168" formatCode="#,##0.0,,_);[Red]\(#,##0.0,,\);&quot;-&quot;_)"/>
    <numFmt numFmtId="169" formatCode="#,##0.00_);[Red]\(#,##0.00\);&quot;-&quot;_)"/>
    <numFmt numFmtId="170" formatCode="[$€-1809]#,##0.00"/>
    <numFmt numFmtId="171" formatCode="#,##0\ [$kr-41D]"/>
    <numFmt numFmtId="172" formatCode="[$$-409]#,##0.00"/>
    <numFmt numFmtId="173" formatCode="#,##0.0,_);[Red]\(#,##0.0,\);&quot;-&quot;_)"/>
    <numFmt numFmtId="174" formatCode="#,##0.00\ [$zł-415]"/>
    <numFmt numFmtId="175" formatCode="[$-F800]dddd\,\ mmmm\ dd\,\ yyyy"/>
    <numFmt numFmtId="176" formatCode="_-[$£-809]* #,##0.00_-;\-[$£-809]* #,##0.00_-;_-[$£-809]* &quot;-&quot;??_-;_-@_-"/>
    <numFmt numFmtId="177" formatCode="_-[$€-2]\ * #,##0.00_-;\-[$€-2]\ * #,##0.00_-;_-[$€-2]\ * &quot;-&quot;??_-;_-@_-"/>
    <numFmt numFmtId="178" formatCode="_-[$$-409]* #,##0.00_ ;_-[$$-409]* \-#,##0.00\ ;_-[$$-409]* &quot;-&quot;??_ ;_-@_ "/>
    <numFmt numFmtId="179" formatCode="_-[$MYR]\ * #,##0.00_-;\-[$MYR]\ * #,##0.00_-;_-[$MYR]\ * &quot;-&quot;??_-;_-@_-"/>
    <numFmt numFmtId="180" formatCode="_-[$SGD]\ * #,##0.00_-;\-[$SGD]\ * #,##0.00_-;_-[$SGD]\ * &quot;-&quot;??_-;_-@_-"/>
    <numFmt numFmtId="181" formatCode="[$MYR]\ #,##0.00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42"/>
      <name val="Arial"/>
      <family val="2"/>
    </font>
    <font>
      <sz val="11"/>
      <color indexed="8"/>
      <name val="Calibri"/>
      <family val="2"/>
    </font>
    <font>
      <b/>
      <sz val="10"/>
      <color indexed="13"/>
      <name val="Arial"/>
      <family val="2"/>
    </font>
    <font>
      <b/>
      <sz val="10"/>
      <color indexed="51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sz val="9"/>
      <name val="Arial"/>
      <family val="2"/>
    </font>
    <font>
      <sz val="8"/>
      <color indexed="18"/>
      <name val="Times New Roman"/>
      <family val="1"/>
    </font>
    <font>
      <sz val="11"/>
      <color indexed="9"/>
      <name val="Calibri"/>
      <family val="2"/>
    </font>
    <font>
      <sz val="8"/>
      <color indexed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b/>
      <sz val="18"/>
      <color indexed="62"/>
      <name val="Cambria"/>
      <family val="2"/>
    </font>
    <font>
      <b/>
      <sz val="8"/>
      <color indexed="12"/>
      <name val="Arial"/>
      <family val="2"/>
    </font>
    <font>
      <b/>
      <sz val="14"/>
      <name val="Calibri"/>
      <family val="2"/>
    </font>
    <font>
      <sz val="10"/>
      <color rgb="FF222222"/>
      <name val="Arial"/>
      <family val="2"/>
    </font>
    <font>
      <sz val="1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b/>
      <sz val="28"/>
      <color rgb="FFFF0000"/>
      <name val="Arial"/>
      <family val="2"/>
    </font>
    <font>
      <b/>
      <sz val="14"/>
      <color rgb="FF0070C0"/>
      <name val="Arial"/>
      <family val="2"/>
    </font>
    <font>
      <u/>
      <sz val="10"/>
      <color theme="10"/>
      <name val="Arial"/>
      <family val="2"/>
    </font>
    <font>
      <b/>
      <sz val="10"/>
      <color rgb="FF222222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rgb="FF0066CC"/>
        <bgColor indexed="64"/>
      </patternFill>
    </fill>
    <fill>
      <patternFill patternType="solid">
        <fgColor rgb="FFA51F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11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11"/>
      </patternFill>
    </fill>
    <fill>
      <patternFill patternType="solid">
        <fgColor rgb="FFFFFF00"/>
        <bgColor indexed="11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11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5">
    <xf numFmtId="0" fontId="0" fillId="0" borderId="0"/>
    <xf numFmtId="0" fontId="3" fillId="0" borderId="0"/>
    <xf numFmtId="4" fontId="9" fillId="0" borderId="6">
      <alignment horizontal="center" vertical="center"/>
    </xf>
    <xf numFmtId="9" fontId="10" fillId="0" borderId="8">
      <alignment horizontal="center" vertical="center"/>
    </xf>
    <xf numFmtId="0" fontId="12" fillId="0" borderId="0"/>
    <xf numFmtId="165" fontId="17" fillId="0" borderId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9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9" fillId="10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9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7" borderId="0" applyNumberFormat="0" applyBorder="0" applyAlignment="0" applyProtection="0"/>
    <xf numFmtId="0" fontId="19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4" borderId="0" applyNumberFormat="0" applyBorder="0" applyAlignment="0" applyProtection="0"/>
    <xf numFmtId="0" fontId="19" fillId="14" borderId="0" applyNumberFormat="0" applyBorder="0" applyAlignment="0" applyProtection="0"/>
    <xf numFmtId="166" fontId="20" fillId="0" borderId="0"/>
    <xf numFmtId="167" fontId="17" fillId="0" borderId="0"/>
    <xf numFmtId="168" fontId="17" fillId="0" borderId="0"/>
    <xf numFmtId="169" fontId="21" fillId="0" borderId="0"/>
    <xf numFmtId="165" fontId="22" fillId="0" borderId="0"/>
    <xf numFmtId="165" fontId="17" fillId="0" borderId="0"/>
    <xf numFmtId="165" fontId="23" fillId="0" borderId="0">
      <alignment horizontal="right"/>
    </xf>
    <xf numFmtId="17" fontId="17" fillId="0" borderId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170" fontId="25" fillId="0" borderId="0">
      <alignment horizontal="center"/>
    </xf>
    <xf numFmtId="170" fontId="25" fillId="4" borderId="24" applyBorder="0">
      <alignment horizontal="center" vertical="center"/>
    </xf>
    <xf numFmtId="164" fontId="25" fillId="0" borderId="0">
      <alignment horizontal="center"/>
    </xf>
    <xf numFmtId="164" fontId="25" fillId="4" borderId="6" applyBorder="0">
      <alignment horizontal="center" vertical="center"/>
    </xf>
    <xf numFmtId="166" fontId="20" fillId="4" borderId="4"/>
    <xf numFmtId="167" fontId="17" fillId="4" borderId="4"/>
    <xf numFmtId="168" fontId="17" fillId="4" borderId="4"/>
    <xf numFmtId="165" fontId="21" fillId="4" borderId="4"/>
    <xf numFmtId="171" fontId="25" fillId="0" borderId="0">
      <alignment horizontal="center"/>
    </xf>
    <xf numFmtId="171" fontId="25" fillId="4" borderId="6" applyBorder="0">
      <alignment horizontal="center" vertical="center"/>
    </xf>
    <xf numFmtId="0" fontId="3" fillId="0" borderId="0"/>
    <xf numFmtId="0" fontId="26" fillId="0" borderId="0" applyNumberFormat="0" applyFill="0" applyBorder="0" applyAlignment="0" applyProtection="0"/>
    <xf numFmtId="166" fontId="27" fillId="0" borderId="24"/>
    <xf numFmtId="167" fontId="23" fillId="0" borderId="24"/>
    <xf numFmtId="168" fontId="23" fillId="0" borderId="24"/>
    <xf numFmtId="165" fontId="23" fillId="0" borderId="24"/>
    <xf numFmtId="167" fontId="4" fillId="0" borderId="0">
      <alignment horizontal="left" vertical="top" wrapText="1"/>
    </xf>
    <xf numFmtId="166" fontId="27" fillId="0" borderId="25"/>
    <xf numFmtId="167" fontId="23" fillId="0" borderId="25"/>
    <xf numFmtId="168" fontId="23" fillId="0" borderId="25"/>
    <xf numFmtId="165" fontId="23" fillId="0" borderId="25"/>
    <xf numFmtId="172" fontId="25" fillId="0" borderId="0">
      <alignment horizontal="center"/>
    </xf>
    <xf numFmtId="172" fontId="25" fillId="4" borderId="6" applyBorder="0">
      <alignment horizontal="center" vertical="center"/>
    </xf>
    <xf numFmtId="173" fontId="4" fillId="0" borderId="0">
      <alignment horizontal="left" vertical="top" wrapText="1"/>
    </xf>
    <xf numFmtId="174" fontId="25" fillId="0" borderId="0">
      <alignment horizontal="center"/>
    </xf>
    <xf numFmtId="174" fontId="25" fillId="4" borderId="6" applyBorder="0">
      <alignment horizontal="center" vertical="center"/>
    </xf>
    <xf numFmtId="167" fontId="3" fillId="0" borderId="0">
      <alignment horizontal="left" vertical="top" wrapText="1"/>
    </xf>
    <xf numFmtId="173" fontId="3" fillId="0" borderId="0">
      <alignment horizontal="left" vertical="top" wrapText="1"/>
    </xf>
    <xf numFmtId="0" fontId="39" fillId="0" borderId="0" applyNumberFormat="0" applyFill="0" applyBorder="0" applyAlignment="0" applyProtection="0"/>
    <xf numFmtId="0" fontId="2" fillId="0" borderId="0"/>
  </cellStyleXfs>
  <cellXfs count="261">
    <xf numFmtId="0" fontId="3" fillId="0" borderId="0" xfId="0" applyFont="1"/>
    <xf numFmtId="0" fontId="3" fillId="2" borderId="0" xfId="1" applyFill="1"/>
    <xf numFmtId="0" fontId="3" fillId="0" borderId="0" xfId="1" applyFill="1"/>
    <xf numFmtId="0" fontId="3" fillId="0" borderId="0" xfId="1"/>
    <xf numFmtId="164" fontId="3" fillId="3" borderId="27" xfId="1" applyNumberFormat="1" applyFill="1" applyBorder="1"/>
    <xf numFmtId="164" fontId="3" fillId="3" borderId="0" xfId="1" applyNumberFormat="1" applyFill="1" applyBorder="1"/>
    <xf numFmtId="164" fontId="3" fillId="3" borderId="28" xfId="1" applyNumberFormat="1" applyFill="1" applyBorder="1"/>
    <xf numFmtId="164" fontId="3" fillId="3" borderId="10" xfId="1" applyNumberFormat="1" applyFill="1" applyBorder="1"/>
    <xf numFmtId="164" fontId="3" fillId="3" borderId="23" xfId="1" applyNumberFormat="1" applyFill="1" applyBorder="1"/>
    <xf numFmtId="0" fontId="3" fillId="2" borderId="0" xfId="1" applyFill="1"/>
    <xf numFmtId="0" fontId="3" fillId="0" borderId="0" xfId="1" applyFill="1"/>
    <xf numFmtId="0" fontId="3" fillId="0" borderId="0" xfId="1"/>
    <xf numFmtId="0" fontId="6" fillId="0" borderId="0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/>
    </xf>
    <xf numFmtId="4" fontId="9" fillId="0" borderId="0" xfId="2" applyFill="1" applyBorder="1">
      <alignment horizontal="center" vertical="center"/>
    </xf>
    <xf numFmtId="0" fontId="3" fillId="3" borderId="10" xfId="1" applyFill="1" applyBorder="1"/>
    <xf numFmtId="9" fontId="10" fillId="0" borderId="12" xfId="3" applyBorder="1">
      <alignment horizontal="center" vertical="center"/>
    </xf>
    <xf numFmtId="0" fontId="12" fillId="0" borderId="0" xfId="4" applyFill="1" applyBorder="1" applyAlignment="1">
      <alignment horizontal="center" vertical="center"/>
    </xf>
    <xf numFmtId="9" fontId="10" fillId="0" borderId="8" xfId="3" applyBorder="1">
      <alignment horizontal="center" vertical="center"/>
    </xf>
    <xf numFmtId="164" fontId="6" fillId="3" borderId="9" xfId="1" applyNumberFormat="1" applyFont="1" applyFill="1" applyBorder="1" applyAlignment="1">
      <alignment horizontal="center" vertical="center"/>
    </xf>
    <xf numFmtId="164" fontId="6" fillId="3" borderId="0" xfId="1" applyNumberFormat="1" applyFont="1" applyFill="1" applyBorder="1" applyAlignment="1">
      <alignment horizontal="center" vertical="center"/>
    </xf>
    <xf numFmtId="164" fontId="6" fillId="3" borderId="10" xfId="1" applyNumberFormat="1" applyFont="1" applyFill="1" applyBorder="1" applyAlignment="1">
      <alignment horizontal="center" vertical="center"/>
    </xf>
    <xf numFmtId="164" fontId="6" fillId="0" borderId="0" xfId="1" applyNumberFormat="1" applyFont="1" applyFill="1" applyAlignment="1">
      <alignment horizontal="center" vertical="center"/>
    </xf>
    <xf numFmtId="164" fontId="6" fillId="0" borderId="0" xfId="1" applyNumberFormat="1" applyFont="1" applyFill="1" applyBorder="1" applyAlignment="1">
      <alignment horizontal="center" vertical="center"/>
    </xf>
    <xf numFmtId="9" fontId="10" fillId="0" borderId="14" xfId="3" applyBorder="1">
      <alignment horizontal="center" vertical="center"/>
    </xf>
    <xf numFmtId="9" fontId="10" fillId="0" borderId="16" xfId="3" applyBorder="1">
      <alignment horizontal="center" vertical="center"/>
    </xf>
    <xf numFmtId="4" fontId="9" fillId="0" borderId="0" xfId="2" applyFill="1" applyBorder="1" applyAlignment="1">
      <alignment horizontal="center" vertical="center"/>
    </xf>
    <xf numFmtId="164" fontId="6" fillId="2" borderId="0" xfId="1" applyNumberFormat="1" applyFont="1" applyFill="1" applyAlignment="1">
      <alignment horizontal="center" vertical="center"/>
    </xf>
    <xf numFmtId="0" fontId="7" fillId="3" borderId="17" xfId="1" applyFont="1" applyFill="1" applyBorder="1" applyAlignment="1">
      <alignment horizontal="left" vertical="center" indent="1"/>
    </xf>
    <xf numFmtId="0" fontId="3" fillId="4" borderId="4" xfId="1" applyFont="1" applyFill="1" applyBorder="1" applyAlignment="1">
      <alignment horizontal="right" vertical="center"/>
    </xf>
    <xf numFmtId="0" fontId="7" fillId="3" borderId="4" xfId="1" applyFont="1" applyFill="1" applyBorder="1" applyAlignment="1">
      <alignment horizontal="left" vertical="center" indent="1"/>
    </xf>
    <xf numFmtId="0" fontId="3" fillId="4" borderId="18" xfId="1" applyFont="1" applyFill="1" applyBorder="1" applyAlignment="1">
      <alignment horizontal="right" vertical="center"/>
    </xf>
    <xf numFmtId="0" fontId="3" fillId="2" borderId="0" xfId="1" applyFill="1" applyBorder="1"/>
    <xf numFmtId="0" fontId="3" fillId="2" borderId="10" xfId="1" applyFill="1" applyBorder="1"/>
    <xf numFmtId="0" fontId="7" fillId="3" borderId="20" xfId="1" applyFont="1" applyFill="1" applyBorder="1" applyAlignment="1">
      <alignment horizontal="left" vertical="center" indent="1"/>
    </xf>
    <xf numFmtId="0" fontId="7" fillId="3" borderId="6" xfId="1" applyFont="1" applyFill="1" applyBorder="1" applyAlignment="1">
      <alignment horizontal="left" vertical="center" indent="1"/>
    </xf>
    <xf numFmtId="0" fontId="3" fillId="3" borderId="8" xfId="1" applyFill="1" applyBorder="1"/>
    <xf numFmtId="0" fontId="16" fillId="0" borderId="0" xfId="1" applyFont="1"/>
    <xf numFmtId="0" fontId="18" fillId="2" borderId="0" xfId="1" applyFont="1" applyFill="1"/>
    <xf numFmtId="164" fontId="3" fillId="2" borderId="0" xfId="1" applyNumberFormat="1" applyFill="1"/>
    <xf numFmtId="164" fontId="3" fillId="0" borderId="0" xfId="1" applyNumberFormat="1" applyFill="1"/>
    <xf numFmtId="0" fontId="6" fillId="4" borderId="4" xfId="1" applyFont="1" applyFill="1" applyBorder="1" applyAlignment="1">
      <alignment horizontal="center" vertical="center" wrapText="1"/>
    </xf>
    <xf numFmtId="9" fontId="10" fillId="0" borderId="30" xfId="3" applyBorder="1">
      <alignment horizontal="center" vertical="center"/>
    </xf>
    <xf numFmtId="9" fontId="10" fillId="0" borderId="18" xfId="3" applyBorder="1">
      <alignment horizontal="center" vertical="center"/>
    </xf>
    <xf numFmtId="0" fontId="15" fillId="2" borderId="19" xfId="1" applyFont="1" applyFill="1" applyBorder="1" applyAlignment="1">
      <alignment vertical="center"/>
    </xf>
    <xf numFmtId="0" fontId="15" fillId="2" borderId="10" xfId="1" applyFont="1" applyFill="1" applyBorder="1" applyAlignment="1">
      <alignment vertical="center"/>
    </xf>
    <xf numFmtId="0" fontId="15" fillId="2" borderId="22" xfId="1" applyFont="1" applyFill="1" applyBorder="1" applyAlignment="1">
      <alignment vertical="center"/>
    </xf>
    <xf numFmtId="0" fontId="15" fillId="2" borderId="23" xfId="1" applyFont="1" applyFill="1" applyBorder="1" applyAlignment="1">
      <alignment vertical="center"/>
    </xf>
    <xf numFmtId="0" fontId="8" fillId="4" borderId="4" xfId="1" applyFont="1" applyFill="1" applyBorder="1" applyAlignment="1">
      <alignment horizontal="center" vertical="center" wrapText="1"/>
    </xf>
    <xf numFmtId="0" fontId="3" fillId="3" borderId="9" xfId="1" applyFill="1" applyBorder="1"/>
    <xf numFmtId="0" fontId="3" fillId="3" borderId="0" xfId="1" applyFill="1" applyBorder="1"/>
    <xf numFmtId="2" fontId="3" fillId="0" borderId="4" xfId="1" applyNumberFormat="1" applyBorder="1"/>
    <xf numFmtId="0" fontId="3" fillId="0" borderId="4" xfId="1" applyBorder="1"/>
    <xf numFmtId="3" fontId="3" fillId="0" borderId="21" xfId="1" applyNumberFormat="1" applyBorder="1"/>
    <xf numFmtId="0" fontId="3" fillId="3" borderId="31" xfId="1" applyFill="1" applyBorder="1"/>
    <xf numFmtId="0" fontId="3" fillId="3" borderId="26" xfId="1" applyFill="1" applyBorder="1"/>
    <xf numFmtId="0" fontId="3" fillId="3" borderId="27" xfId="1" applyFill="1" applyBorder="1"/>
    <xf numFmtId="3" fontId="3" fillId="0" borderId="0" xfId="1" applyNumberFormat="1"/>
    <xf numFmtId="164" fontId="3" fillId="3" borderId="32" xfId="1" applyNumberFormat="1" applyFill="1" applyBorder="1"/>
    <xf numFmtId="49" fontId="29" fillId="0" borderId="0" xfId="0" applyNumberFormat="1" applyFont="1" applyAlignment="1">
      <alignment horizontal="center" vertical="center"/>
    </xf>
    <xf numFmtId="0" fontId="3" fillId="21" borderId="0" xfId="0" applyFont="1" applyFill="1" applyAlignment="1">
      <alignment horizontal="center" vertical="center" wrapText="1"/>
    </xf>
    <xf numFmtId="49" fontId="30" fillId="21" borderId="4" xfId="0" applyNumberFormat="1" applyFont="1" applyFill="1" applyBorder="1" applyAlignment="1">
      <alignment horizontal="center" vertical="center" wrapText="1"/>
    </xf>
    <xf numFmtId="0" fontId="30" fillId="21" borderId="4" xfId="0" applyFont="1" applyFill="1" applyBorder="1" applyAlignment="1">
      <alignment horizontal="center" vertical="center" wrapText="1"/>
    </xf>
    <xf numFmtId="49" fontId="31" fillId="0" borderId="4" xfId="0" applyNumberFormat="1" applyFont="1" applyBorder="1" applyAlignment="1">
      <alignment horizontal="center" vertical="center"/>
    </xf>
    <xf numFmtId="14" fontId="31" fillId="0" borderId="4" xfId="0" applyNumberFormat="1" applyFont="1" applyBorder="1" applyAlignment="1">
      <alignment horizontal="center" vertical="center"/>
    </xf>
    <xf numFmtId="14" fontId="31" fillId="20" borderId="4" xfId="0" applyNumberFormat="1" applyFont="1" applyFill="1" applyBorder="1" applyAlignment="1">
      <alignment horizontal="center" vertical="center"/>
    </xf>
    <xf numFmtId="14" fontId="31" fillId="0" borderId="4" xfId="0" applyNumberFormat="1" applyFont="1" applyFill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49" fontId="30" fillId="0" borderId="4" xfId="0" applyNumberFormat="1" applyFont="1" applyBorder="1" applyAlignment="1">
      <alignment horizontal="center" vertical="center"/>
    </xf>
    <xf numFmtId="14" fontId="30" fillId="0" borderId="4" xfId="0" applyNumberFormat="1" applyFont="1" applyBorder="1" applyAlignment="1">
      <alignment horizontal="center" vertical="center"/>
    </xf>
    <xf numFmtId="14" fontId="31" fillId="21" borderId="4" xfId="0" applyNumberFormat="1" applyFont="1" applyFill="1" applyBorder="1" applyAlignment="1">
      <alignment horizontal="center" vertical="center"/>
    </xf>
    <xf numFmtId="14" fontId="30" fillId="21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1" fillId="0" borderId="4" xfId="0" applyNumberFormat="1" applyFont="1" applyBorder="1" applyAlignment="1">
      <alignment horizontal="center" vertical="center" wrapText="1"/>
    </xf>
    <xf numFmtId="0" fontId="31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0" fontId="29" fillId="0" borderId="0" xfId="0" applyFont="1"/>
    <xf numFmtId="49" fontId="31" fillId="0" borderId="4" xfId="0" applyNumberFormat="1" applyFont="1" applyFill="1" applyBorder="1" applyAlignment="1">
      <alignment horizontal="center" vertical="center"/>
    </xf>
    <xf numFmtId="0" fontId="30" fillId="21" borderId="4" xfId="0" applyNumberFormat="1" applyFont="1" applyFill="1" applyBorder="1" applyAlignment="1">
      <alignment horizontal="center" vertical="center" wrapText="1"/>
    </xf>
    <xf numFmtId="0" fontId="30" fillId="0" borderId="4" xfId="0" applyNumberFormat="1" applyFont="1" applyBorder="1" applyAlignment="1">
      <alignment horizontal="center" vertical="center"/>
    </xf>
    <xf numFmtId="49" fontId="31" fillId="0" borderId="4" xfId="0" applyNumberFormat="1" applyFon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9" fillId="0" borderId="0" xfId="0" applyFont="1" applyFill="1"/>
    <xf numFmtId="49" fontId="31" fillId="22" borderId="4" xfId="0" applyNumberFormat="1" applyFont="1" applyFill="1" applyBorder="1" applyAlignment="1">
      <alignment horizontal="center" vertical="center"/>
    </xf>
    <xf numFmtId="14" fontId="31" fillId="22" borderId="4" xfId="0" applyNumberFormat="1" applyFont="1" applyFill="1" applyBorder="1" applyAlignment="1">
      <alignment horizontal="center" vertical="center"/>
    </xf>
    <xf numFmtId="0" fontId="2" fillId="0" borderId="0" xfId="64"/>
    <xf numFmtId="0" fontId="3" fillId="0" borderId="0" xfId="64" applyFont="1"/>
    <xf numFmtId="172" fontId="3" fillId="0" borderId="38" xfId="64" applyNumberFormat="1" applyFont="1" applyBorder="1" applyAlignment="1">
      <alignment horizontal="center" vertical="center" wrapText="1"/>
    </xf>
    <xf numFmtId="172" fontId="3" fillId="0" borderId="0" xfId="64" applyNumberFormat="1" applyFont="1" applyBorder="1" applyAlignment="1">
      <alignment horizontal="center"/>
    </xf>
    <xf numFmtId="178" fontId="3" fillId="0" borderId="0" xfId="64" applyNumberFormat="1" applyFont="1" applyBorder="1" applyAlignment="1">
      <alignment horizontal="center" vertical="center" wrapText="1"/>
    </xf>
    <xf numFmtId="177" fontId="3" fillId="0" borderId="0" xfId="64" applyNumberFormat="1" applyFont="1" applyBorder="1" applyAlignment="1">
      <alignment horizontal="center" vertical="center" wrapText="1"/>
    </xf>
    <xf numFmtId="176" fontId="3" fillId="0" borderId="0" xfId="64" applyNumberFormat="1" applyFont="1" applyBorder="1" applyAlignment="1">
      <alignment horizontal="center" vertical="center" wrapText="1"/>
    </xf>
    <xf numFmtId="172" fontId="3" fillId="0" borderId="0" xfId="64" applyNumberFormat="1" applyFont="1"/>
    <xf numFmtId="0" fontId="6" fillId="0" borderId="0" xfId="64" applyFont="1" applyBorder="1"/>
    <xf numFmtId="0" fontId="5" fillId="0" borderId="0" xfId="64" applyFont="1" applyBorder="1"/>
    <xf numFmtId="0" fontId="32" fillId="0" borderId="0" xfId="64" applyFont="1" applyBorder="1"/>
    <xf numFmtId="16" fontId="33" fillId="0" borderId="0" xfId="64" applyNumberFormat="1" applyFont="1" applyBorder="1" applyAlignment="1">
      <alignment horizontal="center" vertical="center"/>
    </xf>
    <xf numFmtId="0" fontId="34" fillId="0" borderId="0" xfId="64" applyFont="1" applyBorder="1" applyAlignment="1">
      <alignment horizontal="center" vertical="center"/>
    </xf>
    <xf numFmtId="16" fontId="5" fillId="0" borderId="0" xfId="64" applyNumberFormat="1" applyFont="1" applyBorder="1" applyAlignment="1">
      <alignment horizontal="center" vertical="center"/>
    </xf>
    <xf numFmtId="0" fontId="5" fillId="0" borderId="0" xfId="64" applyFont="1" applyBorder="1" applyAlignment="1">
      <alignment horizontal="center" vertical="center"/>
    </xf>
    <xf numFmtId="0" fontId="5" fillId="0" borderId="0" xfId="64" applyFont="1" applyBorder="1" applyAlignment="1"/>
    <xf numFmtId="16" fontId="34" fillId="0" borderId="3" xfId="64" applyNumberFormat="1" applyFont="1" applyBorder="1" applyAlignment="1">
      <alignment horizontal="center" vertical="center"/>
    </xf>
    <xf numFmtId="0" fontId="1" fillId="0" borderId="0" xfId="64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/>
    </xf>
    <xf numFmtId="49" fontId="3" fillId="0" borderId="4" xfId="0" applyNumberFormat="1" applyFont="1" applyFill="1" applyBorder="1" applyAlignment="1">
      <alignment horizontal="center"/>
    </xf>
    <xf numFmtId="49" fontId="3" fillId="0" borderId="4" xfId="0" applyNumberFormat="1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left"/>
    </xf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/>
    <xf numFmtId="15" fontId="6" fillId="0" borderId="4" xfId="0" applyNumberFormat="1" applyFont="1" applyFill="1" applyBorder="1" applyAlignment="1">
      <alignment horizontal="center" vertical="center" wrapText="1"/>
    </xf>
    <xf numFmtId="15" fontId="3" fillId="0" borderId="4" xfId="0" applyNumberFormat="1" applyFont="1" applyFill="1" applyBorder="1" applyAlignment="1">
      <alignment horizontal="center"/>
    </xf>
    <xf numFmtId="15" fontId="3" fillId="0" borderId="4" xfId="0" applyNumberFormat="1" applyFont="1" applyFill="1" applyBorder="1" applyAlignment="1">
      <alignment vertical="center"/>
    </xf>
    <xf numFmtId="15" fontId="3" fillId="0" borderId="4" xfId="0" applyNumberFormat="1" applyFont="1" applyFill="1" applyBorder="1"/>
    <xf numFmtId="0" fontId="3" fillId="0" borderId="4" xfId="0" applyFont="1" applyFill="1" applyBorder="1" applyAlignment="1">
      <alignment vertical="center" wrapText="1"/>
    </xf>
    <xf numFmtId="3" fontId="6" fillId="0" borderId="4" xfId="0" applyNumberFormat="1" applyFont="1" applyFill="1" applyBorder="1" applyAlignment="1">
      <alignment horizontal="center" vertical="center" wrapText="1"/>
    </xf>
    <xf numFmtId="3" fontId="3" fillId="0" borderId="4" xfId="0" applyNumberFormat="1" applyFont="1" applyFill="1" applyBorder="1" applyAlignment="1">
      <alignment horizontal="center"/>
    </xf>
    <xf numFmtId="3" fontId="3" fillId="0" borderId="4" xfId="0" applyNumberFormat="1" applyFont="1" applyFill="1" applyBorder="1" applyAlignment="1">
      <alignment vertical="center"/>
    </xf>
    <xf numFmtId="3" fontId="3" fillId="0" borderId="4" xfId="0" applyNumberFormat="1" applyFont="1" applyFill="1" applyBorder="1"/>
    <xf numFmtId="3" fontId="3" fillId="24" borderId="4" xfId="0" applyNumberFormat="1" applyFont="1" applyFill="1" applyBorder="1" applyAlignment="1">
      <alignment horizontal="center"/>
    </xf>
    <xf numFmtId="164" fontId="6" fillId="3" borderId="9" xfId="1" applyNumberFormat="1" applyFont="1" applyFill="1" applyBorder="1"/>
    <xf numFmtId="181" fontId="6" fillId="0" borderId="29" xfId="2" applyNumberFormat="1" applyFont="1" applyBorder="1">
      <alignment horizontal="center" vertical="center"/>
    </xf>
    <xf numFmtId="181" fontId="6" fillId="0" borderId="4" xfId="2" applyNumberFormat="1" applyFont="1" applyBorder="1">
      <alignment horizontal="center" vertical="center"/>
    </xf>
    <xf numFmtId="181" fontId="6" fillId="0" borderId="6" xfId="2" applyNumberFormat="1" applyFont="1" applyFill="1" applyBorder="1">
      <alignment horizontal="center" vertical="center"/>
    </xf>
    <xf numFmtId="181" fontId="6" fillId="0" borderId="11" xfId="2" applyNumberFormat="1" applyFont="1" applyFill="1" applyBorder="1">
      <alignment horizontal="center" vertical="center"/>
    </xf>
    <xf numFmtId="181" fontId="6" fillId="0" borderId="13" xfId="2" applyNumberFormat="1" applyFont="1" applyFill="1" applyBorder="1">
      <alignment horizontal="center" vertical="center"/>
    </xf>
    <xf numFmtId="181" fontId="6" fillId="0" borderId="15" xfId="2" applyNumberFormat="1" applyFont="1" applyFill="1" applyBorder="1" applyAlignment="1">
      <alignment horizontal="center" vertical="center"/>
    </xf>
    <xf numFmtId="181" fontId="6" fillId="0" borderId="4" xfId="0" applyNumberFormat="1" applyFont="1" applyFill="1" applyBorder="1" applyAlignment="1">
      <alignment horizontal="center" vertical="center" wrapText="1"/>
    </xf>
    <xf numFmtId="181" fontId="3" fillId="0" borderId="4" xfId="0" applyNumberFormat="1" applyFont="1" applyFill="1" applyBorder="1" applyAlignment="1">
      <alignment horizontal="center"/>
    </xf>
    <xf numFmtId="181" fontId="3" fillId="0" borderId="4" xfId="0" applyNumberFormat="1" applyFont="1" applyFill="1" applyBorder="1"/>
    <xf numFmtId="181" fontId="3" fillId="0" borderId="4" xfId="0" applyNumberFormat="1" applyFont="1" applyFill="1" applyBorder="1" applyAlignment="1">
      <alignment vertical="center"/>
    </xf>
    <xf numFmtId="15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center" vertical="center"/>
    </xf>
    <xf numFmtId="49" fontId="3" fillId="25" borderId="4" xfId="0" applyNumberFormat="1" applyFont="1" applyFill="1" applyBorder="1" applyAlignment="1">
      <alignment horizontal="center"/>
    </xf>
    <xf numFmtId="49" fontId="3" fillId="25" borderId="4" xfId="0" applyNumberFormat="1" applyFont="1" applyFill="1" applyBorder="1" applyAlignment="1">
      <alignment horizontal="left"/>
    </xf>
    <xf numFmtId="181" fontId="3" fillId="25" borderId="4" xfId="0" applyNumberFormat="1" applyFont="1" applyFill="1" applyBorder="1" applyAlignment="1">
      <alignment horizontal="center"/>
    </xf>
    <xf numFmtId="3" fontId="3" fillId="26" borderId="4" xfId="0" applyNumberFormat="1" applyFont="1" applyFill="1" applyBorder="1" applyAlignment="1">
      <alignment horizontal="center"/>
    </xf>
    <xf numFmtId="0" fontId="3" fillId="25" borderId="4" xfId="0" applyFont="1" applyFill="1" applyBorder="1" applyAlignment="1">
      <alignment horizontal="center"/>
    </xf>
    <xf numFmtId="3" fontId="3" fillId="25" borderId="4" xfId="0" applyNumberFormat="1" applyFont="1" applyFill="1" applyBorder="1" applyAlignment="1">
      <alignment horizontal="center"/>
    </xf>
    <xf numFmtId="15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center" vertical="center"/>
    </xf>
    <xf numFmtId="49" fontId="3" fillId="22" borderId="4" xfId="0" applyNumberFormat="1" applyFont="1" applyFill="1" applyBorder="1" applyAlignment="1">
      <alignment horizontal="center"/>
    </xf>
    <xf numFmtId="49" fontId="3" fillId="22" borderId="4" xfId="0" applyNumberFormat="1" applyFont="1" applyFill="1" applyBorder="1" applyAlignment="1">
      <alignment horizontal="left"/>
    </xf>
    <xf numFmtId="181" fontId="3" fillId="22" borderId="4" xfId="0" applyNumberFormat="1" applyFont="1" applyFill="1" applyBorder="1" applyAlignment="1">
      <alignment horizontal="center"/>
    </xf>
    <xf numFmtId="3" fontId="3" fillId="27" borderId="4" xfId="0" applyNumberFormat="1" applyFont="1" applyFill="1" applyBorder="1" applyAlignment="1">
      <alignment horizontal="center"/>
    </xf>
    <xf numFmtId="0" fontId="3" fillId="22" borderId="4" xfId="0" applyFont="1" applyFill="1" applyBorder="1" applyAlignment="1">
      <alignment horizontal="center"/>
    </xf>
    <xf numFmtId="3" fontId="3" fillId="22" borderId="4" xfId="0" applyNumberFormat="1" applyFont="1" applyFill="1" applyBorder="1" applyAlignment="1">
      <alignment horizontal="center"/>
    </xf>
    <xf numFmtId="15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center" vertical="center"/>
    </xf>
    <xf numFmtId="49" fontId="6" fillId="22" borderId="4" xfId="0" applyNumberFormat="1" applyFont="1" applyFill="1" applyBorder="1" applyAlignment="1">
      <alignment horizontal="center"/>
    </xf>
    <xf numFmtId="49" fontId="6" fillId="22" borderId="4" xfId="0" applyNumberFormat="1" applyFont="1" applyFill="1" applyBorder="1" applyAlignment="1">
      <alignment horizontal="left"/>
    </xf>
    <xf numFmtId="181" fontId="6" fillId="22" borderId="4" xfId="0" applyNumberFormat="1" applyFont="1" applyFill="1" applyBorder="1" applyAlignment="1">
      <alignment horizontal="center"/>
    </xf>
    <xf numFmtId="3" fontId="6" fillId="27" borderId="4" xfId="0" applyNumberFormat="1" applyFont="1" applyFill="1" applyBorder="1" applyAlignment="1">
      <alignment horizontal="center"/>
    </xf>
    <xf numFmtId="0" fontId="6" fillId="22" borderId="4" xfId="0" applyFont="1" applyFill="1" applyBorder="1" applyAlignment="1">
      <alignment horizontal="center"/>
    </xf>
    <xf numFmtId="3" fontId="6" fillId="22" borderId="4" xfId="0" applyNumberFormat="1" applyFont="1" applyFill="1" applyBorder="1" applyAlignment="1">
      <alignment horizontal="center"/>
    </xf>
    <xf numFmtId="15" fontId="6" fillId="0" borderId="4" xfId="0" applyNumberFormat="1" applyFont="1" applyFill="1" applyBorder="1" applyAlignment="1">
      <alignment horizontal="center"/>
    </xf>
    <xf numFmtId="15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center" vertical="center"/>
    </xf>
    <xf numFmtId="49" fontId="3" fillId="28" borderId="4" xfId="0" applyNumberFormat="1" applyFont="1" applyFill="1" applyBorder="1" applyAlignment="1">
      <alignment horizontal="center"/>
    </xf>
    <xf numFmtId="49" fontId="3" fillId="28" borderId="4" xfId="0" applyNumberFormat="1" applyFont="1" applyFill="1" applyBorder="1" applyAlignment="1">
      <alignment horizontal="left"/>
    </xf>
    <xf numFmtId="181" fontId="3" fillId="28" borderId="4" xfId="0" applyNumberFormat="1" applyFont="1" applyFill="1" applyBorder="1" applyAlignment="1">
      <alignment horizontal="center"/>
    </xf>
    <xf numFmtId="3" fontId="3" fillId="29" borderId="4" xfId="0" applyNumberFormat="1" applyFont="1" applyFill="1" applyBorder="1" applyAlignment="1">
      <alignment horizontal="center"/>
    </xf>
    <xf numFmtId="0" fontId="3" fillId="28" borderId="4" xfId="0" applyFont="1" applyFill="1" applyBorder="1" applyAlignment="1">
      <alignment horizontal="center"/>
    </xf>
    <xf numFmtId="3" fontId="3" fillId="28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/>
    </xf>
    <xf numFmtId="49" fontId="6" fillId="0" borderId="4" xfId="0" applyNumberFormat="1" applyFont="1" applyFill="1" applyBorder="1" applyAlignment="1">
      <alignment horizontal="left"/>
    </xf>
    <xf numFmtId="181" fontId="6" fillId="0" borderId="4" xfId="0" applyNumberFormat="1" applyFont="1" applyFill="1" applyBorder="1" applyAlignment="1">
      <alignment horizontal="center"/>
    </xf>
    <xf numFmtId="3" fontId="6" fillId="24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3" fontId="6" fillId="0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vertical="center"/>
    </xf>
    <xf numFmtId="0" fontId="5" fillId="0" borderId="3" xfId="64" applyFont="1" applyBorder="1" applyAlignment="1">
      <alignment horizontal="center" vertical="center"/>
    </xf>
    <xf numFmtId="0" fontId="3" fillId="0" borderId="39" xfId="64" applyFont="1" applyBorder="1" applyAlignment="1">
      <alignment horizontal="center" vertical="center" wrapText="1"/>
    </xf>
    <xf numFmtId="0" fontId="3" fillId="0" borderId="41" xfId="64" applyFont="1" applyBorder="1" applyAlignment="1">
      <alignment horizontal="center" vertical="center" wrapText="1"/>
    </xf>
    <xf numFmtId="172" fontId="3" fillId="0" borderId="6" xfId="64" applyNumberFormat="1" applyFont="1" applyBorder="1" applyAlignment="1">
      <alignment horizontal="center" vertical="center" wrapText="1"/>
    </xf>
    <xf numFmtId="172" fontId="3" fillId="0" borderId="37" xfId="64" applyNumberFormat="1" applyFont="1" applyBorder="1" applyAlignment="1">
      <alignment horizontal="center" vertical="center" wrapText="1"/>
    </xf>
    <xf numFmtId="172" fontId="3" fillId="0" borderId="8" xfId="64" applyNumberFormat="1" applyFont="1" applyBorder="1" applyAlignment="1">
      <alignment horizontal="center" vertical="center" wrapText="1"/>
    </xf>
    <xf numFmtId="172" fontId="32" fillId="0" borderId="6" xfId="64" applyNumberFormat="1" applyFont="1" applyBorder="1" applyAlignment="1">
      <alignment horizontal="center" vertical="center" wrapText="1"/>
    </xf>
    <xf numFmtId="172" fontId="32" fillId="0" borderId="37" xfId="64" applyNumberFormat="1" applyFont="1" applyBorder="1" applyAlignment="1">
      <alignment horizontal="center" vertical="center" wrapText="1"/>
    </xf>
    <xf numFmtId="172" fontId="32" fillId="0" borderId="8" xfId="64" applyNumberFormat="1" applyFont="1" applyBorder="1" applyAlignment="1">
      <alignment horizontal="center" vertical="center" wrapText="1"/>
    </xf>
    <xf numFmtId="0" fontId="34" fillId="0" borderId="35" xfId="64" applyFont="1" applyBorder="1" applyAlignment="1">
      <alignment horizontal="center" vertical="center"/>
    </xf>
    <xf numFmtId="0" fontId="34" fillId="0" borderId="36" xfId="64" applyFont="1" applyBorder="1" applyAlignment="1">
      <alignment horizontal="center" vertical="center"/>
    </xf>
    <xf numFmtId="16" fontId="33" fillId="0" borderId="35" xfId="64" applyNumberFormat="1" applyFont="1" applyBorder="1" applyAlignment="1">
      <alignment horizontal="center" vertical="center"/>
    </xf>
    <xf numFmtId="16" fontId="33" fillId="0" borderId="36" xfId="64" applyNumberFormat="1" applyFont="1" applyBorder="1" applyAlignment="1">
      <alignment horizontal="center" vertical="center"/>
    </xf>
    <xf numFmtId="0" fontId="5" fillId="0" borderId="1" xfId="64" applyFont="1" applyBorder="1" applyAlignment="1">
      <alignment horizontal="center" vertical="center"/>
    </xf>
    <xf numFmtId="0" fontId="5" fillId="0" borderId="2" xfId="64" applyFont="1" applyBorder="1" applyAlignment="1">
      <alignment horizontal="center" vertical="center"/>
    </xf>
    <xf numFmtId="0" fontId="5" fillId="0" borderId="3" xfId="64" applyFont="1" applyBorder="1" applyAlignment="1">
      <alignment horizontal="center" vertical="center"/>
    </xf>
    <xf numFmtId="16" fontId="36" fillId="0" borderId="26" xfId="64" applyNumberFormat="1" applyFont="1" applyBorder="1" applyAlignment="1">
      <alignment horizontal="center" vertical="center" wrapText="1"/>
    </xf>
    <xf numFmtId="16" fontId="36" fillId="0" borderId="28" xfId="64" applyNumberFormat="1" applyFont="1" applyBorder="1" applyAlignment="1">
      <alignment horizontal="center" vertical="center" wrapText="1"/>
    </xf>
    <xf numFmtId="16" fontId="36" fillId="0" borderId="31" xfId="64" applyNumberFormat="1" applyFont="1" applyBorder="1" applyAlignment="1">
      <alignment horizontal="center" vertical="center" wrapText="1"/>
    </xf>
    <xf numFmtId="16" fontId="36" fillId="0" borderId="23" xfId="64" applyNumberFormat="1" applyFont="1" applyBorder="1" applyAlignment="1">
      <alignment horizontal="center" vertical="center" wrapText="1"/>
    </xf>
    <xf numFmtId="0" fontId="36" fillId="0" borderId="1" xfId="64" applyFont="1" applyBorder="1" applyAlignment="1">
      <alignment horizontal="center" vertical="center"/>
    </xf>
    <xf numFmtId="0" fontId="36" fillId="0" borderId="2" xfId="64" applyFont="1" applyBorder="1" applyAlignment="1">
      <alignment horizontal="center" vertical="center"/>
    </xf>
    <xf numFmtId="0" fontId="36" fillId="0" borderId="3" xfId="64" applyFont="1" applyBorder="1" applyAlignment="1">
      <alignment horizontal="center" vertical="center"/>
    </xf>
    <xf numFmtId="0" fontId="3" fillId="0" borderId="38" xfId="64" applyFont="1" applyBorder="1" applyAlignment="1">
      <alignment horizontal="center" vertical="center" wrapText="1"/>
    </xf>
    <xf numFmtId="0" fontId="3" fillId="0" borderId="43" xfId="64" applyFont="1" applyBorder="1" applyAlignment="1">
      <alignment horizontal="center" vertical="center" wrapText="1"/>
    </xf>
    <xf numFmtId="49" fontId="3" fillId="0" borderId="39" xfId="64" applyNumberFormat="1" applyFont="1" applyBorder="1" applyAlignment="1">
      <alignment horizontal="center" vertical="center" wrapText="1"/>
    </xf>
    <xf numFmtId="49" fontId="3" fillId="0" borderId="40" xfId="64" applyNumberFormat="1" applyFont="1" applyBorder="1" applyAlignment="1">
      <alignment horizontal="center" vertical="center" wrapText="1"/>
    </xf>
    <xf numFmtId="49" fontId="3" fillId="0" borderId="41" xfId="64" applyNumberFormat="1" applyFont="1" applyBorder="1" applyAlignment="1">
      <alignment horizontal="center" vertical="center" wrapText="1"/>
    </xf>
    <xf numFmtId="49" fontId="3" fillId="0" borderId="42" xfId="64" applyNumberFormat="1" applyFont="1" applyBorder="1" applyAlignment="1">
      <alignment horizontal="center" vertical="center" wrapText="1"/>
    </xf>
    <xf numFmtId="176" fontId="3" fillId="0" borderId="38" xfId="64" applyNumberFormat="1" applyFont="1" applyBorder="1" applyAlignment="1">
      <alignment horizontal="center" vertical="center" wrapText="1"/>
    </xf>
    <xf numFmtId="176" fontId="3" fillId="0" borderId="43" xfId="64" applyNumberFormat="1" applyFont="1" applyBorder="1" applyAlignment="1">
      <alignment horizontal="center" vertical="center" wrapText="1"/>
    </xf>
    <xf numFmtId="0" fontId="37" fillId="22" borderId="1" xfId="64" applyFont="1" applyFill="1" applyBorder="1" applyAlignment="1">
      <alignment horizontal="center" vertical="center" wrapText="1"/>
    </xf>
    <xf numFmtId="0" fontId="37" fillId="22" borderId="2" xfId="64" applyFont="1" applyFill="1" applyBorder="1" applyAlignment="1">
      <alignment horizontal="center" vertical="center" wrapText="1"/>
    </xf>
    <xf numFmtId="0" fontId="37" fillId="22" borderId="3" xfId="64" applyFont="1" applyFill="1" applyBorder="1" applyAlignment="1">
      <alignment horizontal="center" vertical="center" wrapText="1"/>
    </xf>
    <xf numFmtId="0" fontId="38" fillId="0" borderId="26" xfId="64" applyFont="1" applyBorder="1" applyAlignment="1">
      <alignment horizontal="center" vertical="center"/>
    </xf>
    <xf numFmtId="0" fontId="38" fillId="0" borderId="27" xfId="64" applyFont="1" applyBorder="1" applyAlignment="1">
      <alignment horizontal="center" vertical="center"/>
    </xf>
    <xf numFmtId="0" fontId="38" fillId="0" borderId="28" xfId="64" applyFont="1" applyBorder="1" applyAlignment="1">
      <alignment horizontal="center" vertical="center"/>
    </xf>
    <xf numFmtId="0" fontId="39" fillId="0" borderId="31" xfId="63" applyBorder="1" applyAlignment="1">
      <alignment horizontal="center" vertical="center"/>
    </xf>
    <xf numFmtId="0" fontId="38" fillId="0" borderId="32" xfId="64" applyFont="1" applyBorder="1" applyAlignment="1">
      <alignment horizontal="center" vertical="center"/>
    </xf>
    <xf numFmtId="0" fontId="38" fillId="0" borderId="23" xfId="64" applyFont="1" applyBorder="1" applyAlignment="1">
      <alignment horizontal="center" vertical="center"/>
    </xf>
    <xf numFmtId="0" fontId="8" fillId="0" borderId="26" xfId="64" applyFont="1" applyBorder="1" applyAlignment="1">
      <alignment horizontal="center" vertical="center" wrapText="1"/>
    </xf>
    <xf numFmtId="0" fontId="8" fillId="0" borderId="27" xfId="64" applyFont="1" applyBorder="1" applyAlignment="1">
      <alignment horizontal="center" vertical="center" wrapText="1"/>
    </xf>
    <xf numFmtId="0" fontId="8" fillId="0" borderId="28" xfId="64" applyFont="1" applyBorder="1" applyAlignment="1">
      <alignment horizontal="center" vertical="center" wrapText="1"/>
    </xf>
    <xf numFmtId="0" fontId="8" fillId="0" borderId="31" xfId="64" applyFont="1" applyBorder="1" applyAlignment="1">
      <alignment horizontal="center" vertical="center" wrapText="1"/>
    </xf>
    <xf numFmtId="0" fontId="8" fillId="0" borderId="32" xfId="64" applyFont="1" applyBorder="1" applyAlignment="1">
      <alignment horizontal="center" vertical="center" wrapText="1"/>
    </xf>
    <xf numFmtId="0" fontId="8" fillId="0" borderId="23" xfId="64" applyFont="1" applyBorder="1" applyAlignment="1">
      <alignment horizontal="center" vertical="center" wrapText="1"/>
    </xf>
    <xf numFmtId="179" fontId="3" fillId="0" borderId="38" xfId="64" applyNumberFormat="1" applyFont="1" applyBorder="1" applyAlignment="1">
      <alignment horizontal="center" vertical="center" wrapText="1"/>
    </xf>
    <xf numFmtId="179" fontId="3" fillId="0" borderId="43" xfId="64" applyNumberFormat="1" applyFont="1" applyBorder="1" applyAlignment="1">
      <alignment horizontal="center" vertical="center" wrapText="1"/>
    </xf>
    <xf numFmtId="180" fontId="3" fillId="0" borderId="38" xfId="64" applyNumberFormat="1" applyFont="1" applyBorder="1" applyAlignment="1">
      <alignment horizontal="center" vertical="center" wrapText="1"/>
    </xf>
    <xf numFmtId="180" fontId="3" fillId="0" borderId="43" xfId="64" applyNumberFormat="1" applyFont="1" applyBorder="1" applyAlignment="1">
      <alignment horizontal="center" vertical="center" wrapText="1"/>
    </xf>
    <xf numFmtId="0" fontId="39" fillId="0" borderId="9" xfId="63" applyBorder="1" applyAlignment="1">
      <alignment horizontal="center" vertical="center"/>
    </xf>
    <xf numFmtId="0" fontId="38" fillId="0" borderId="0" xfId="64" applyFont="1" applyBorder="1" applyAlignment="1">
      <alignment horizontal="center" vertical="center"/>
    </xf>
    <xf numFmtId="0" fontId="38" fillId="0" borderId="10" xfId="64" applyFont="1" applyBorder="1" applyAlignment="1">
      <alignment horizontal="center" vertical="center"/>
    </xf>
    <xf numFmtId="0" fontId="3" fillId="0" borderId="40" xfId="64" applyFont="1" applyBorder="1" applyAlignment="1">
      <alignment horizontal="center" vertical="center" wrapText="1"/>
    </xf>
    <xf numFmtId="0" fontId="3" fillId="0" borderId="42" xfId="64" applyFont="1" applyBorder="1" applyAlignment="1">
      <alignment horizontal="center" vertical="center" wrapText="1"/>
    </xf>
    <xf numFmtId="164" fontId="6" fillId="3" borderId="1" xfId="1" applyNumberFormat="1" applyFont="1" applyFill="1" applyBorder="1" applyAlignment="1">
      <alignment horizontal="center"/>
    </xf>
    <xf numFmtId="164" fontId="6" fillId="3" borderId="2" xfId="1" applyNumberFormat="1" applyFont="1" applyFill="1" applyBorder="1" applyAlignment="1">
      <alignment horizontal="center"/>
    </xf>
    <xf numFmtId="164" fontId="6" fillId="3" borderId="3" xfId="1" applyNumberFormat="1" applyFont="1" applyFill="1" applyBorder="1" applyAlignment="1">
      <alignment horizontal="center"/>
    </xf>
    <xf numFmtId="164" fontId="6" fillId="5" borderId="33" xfId="1" applyNumberFormat="1" applyFont="1" applyFill="1" applyBorder="1" applyAlignment="1">
      <alignment horizontal="center" vertical="center"/>
    </xf>
    <xf numFmtId="164" fontId="6" fillId="5" borderId="34" xfId="1" applyNumberFormat="1" applyFont="1" applyFill="1" applyBorder="1" applyAlignment="1">
      <alignment horizontal="center" vertical="center"/>
    </xf>
    <xf numFmtId="164" fontId="6" fillId="5" borderId="11" xfId="1" applyNumberFormat="1" applyFont="1" applyFill="1" applyBorder="1" applyAlignment="1">
      <alignment horizontal="center" vertical="center"/>
    </xf>
    <xf numFmtId="164" fontId="6" fillId="5" borderId="8" xfId="1" applyNumberFormat="1" applyFont="1" applyFill="1" applyBorder="1" applyAlignment="1">
      <alignment horizontal="center" vertical="center"/>
    </xf>
    <xf numFmtId="164" fontId="11" fillId="18" borderId="11" xfId="1" applyNumberFormat="1" applyFont="1" applyFill="1" applyBorder="1" applyAlignment="1">
      <alignment horizontal="center" vertical="center"/>
    </xf>
    <xf numFmtId="164" fontId="11" fillId="18" borderId="8" xfId="1" applyNumberFormat="1" applyFont="1" applyFill="1" applyBorder="1" applyAlignment="1">
      <alignment horizontal="center" vertical="center"/>
    </xf>
    <xf numFmtId="164" fontId="13" fillId="19" borderId="6" xfId="1" applyNumberFormat="1" applyFont="1" applyFill="1" applyBorder="1" applyAlignment="1">
      <alignment horizontal="center" vertical="center"/>
    </xf>
    <xf numFmtId="164" fontId="13" fillId="19" borderId="12" xfId="1" applyNumberFormat="1" applyFont="1" applyFill="1" applyBorder="1" applyAlignment="1">
      <alignment horizontal="center" vertical="center"/>
    </xf>
    <xf numFmtId="164" fontId="13" fillId="6" borderId="11" xfId="1" applyNumberFormat="1" applyFont="1" applyFill="1" applyBorder="1" applyAlignment="1">
      <alignment horizontal="center" vertical="center"/>
    </xf>
    <xf numFmtId="164" fontId="13" fillId="6" borderId="8" xfId="1" applyNumberFormat="1" applyFont="1" applyFill="1" applyBorder="1" applyAlignment="1">
      <alignment horizontal="center" vertical="center"/>
    </xf>
    <xf numFmtId="164" fontId="14" fillId="20" borderId="6" xfId="1" applyNumberFormat="1" applyFont="1" applyFill="1" applyBorder="1" applyAlignment="1">
      <alignment horizontal="center" vertical="center"/>
    </xf>
    <xf numFmtId="164" fontId="14" fillId="20" borderId="12" xfId="1" applyNumberFormat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6" fillId="3" borderId="3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175" fontId="5" fillId="3" borderId="2" xfId="1" applyNumberFormat="1" applyFont="1" applyFill="1" applyBorder="1" applyAlignment="1">
      <alignment horizontal="center" vertical="center"/>
    </xf>
    <xf numFmtId="175" fontId="5" fillId="3" borderId="3" xfId="1" applyNumberFormat="1" applyFont="1" applyFill="1" applyBorder="1" applyAlignment="1">
      <alignment horizontal="center" vertical="center"/>
    </xf>
    <xf numFmtId="164" fontId="8" fillId="0" borderId="1" xfId="1" applyNumberFormat="1" applyFont="1" applyFill="1" applyBorder="1" applyAlignment="1">
      <alignment horizontal="center" vertical="center"/>
    </xf>
    <xf numFmtId="164" fontId="8" fillId="0" borderId="5" xfId="1" applyNumberFormat="1" applyFont="1" applyFill="1" applyBorder="1" applyAlignment="1">
      <alignment horizontal="center" vertical="center"/>
    </xf>
    <xf numFmtId="181" fontId="28" fillId="0" borderId="7" xfId="2" applyNumberFormat="1" applyFont="1" applyFill="1" applyBorder="1" applyAlignment="1">
      <alignment horizontal="center" vertical="center"/>
    </xf>
    <xf numFmtId="181" fontId="28" fillId="0" borderId="3" xfId="2" applyNumberFormat="1" applyFont="1" applyFill="1" applyBorder="1" applyAlignment="1">
      <alignment horizontal="center" vertical="center"/>
    </xf>
    <xf numFmtId="49" fontId="35" fillId="23" borderId="6" xfId="0" applyNumberFormat="1" applyFont="1" applyFill="1" applyBorder="1" applyAlignment="1">
      <alignment horizontal="center" vertical="center"/>
    </xf>
    <xf numFmtId="49" fontId="35" fillId="23" borderId="37" xfId="0" applyNumberFormat="1" applyFont="1" applyFill="1" applyBorder="1" applyAlignment="1">
      <alignment horizontal="center" vertical="center"/>
    </xf>
    <xf numFmtId="49" fontId="35" fillId="23" borderId="8" xfId="0" applyNumberFormat="1" applyFont="1" applyFill="1" applyBorder="1" applyAlignment="1">
      <alignment horizontal="center" vertical="center"/>
    </xf>
  </cellXfs>
  <cellStyles count="65">
    <cellStyle name="Accent1 - 20%" xfId="6" xr:uid="{00000000-0005-0000-0000-000000000000}"/>
    <cellStyle name="Accent1 - 40%" xfId="7" xr:uid="{00000000-0005-0000-0000-000001000000}"/>
    <cellStyle name="Accent1 - 60%" xfId="8" xr:uid="{00000000-0005-0000-0000-000002000000}"/>
    <cellStyle name="Accent2 - 20%" xfId="9" xr:uid="{00000000-0005-0000-0000-000003000000}"/>
    <cellStyle name="Accent2 - 40%" xfId="10" xr:uid="{00000000-0005-0000-0000-000004000000}"/>
    <cellStyle name="Accent2 - 60%" xfId="11" xr:uid="{00000000-0005-0000-0000-000005000000}"/>
    <cellStyle name="Accent3 - 20%" xfId="12" xr:uid="{00000000-0005-0000-0000-000006000000}"/>
    <cellStyle name="Accent3 - 40%" xfId="13" xr:uid="{00000000-0005-0000-0000-000007000000}"/>
    <cellStyle name="Accent3 - 60%" xfId="14" xr:uid="{00000000-0005-0000-0000-000008000000}"/>
    <cellStyle name="Accent4 - 20%" xfId="15" xr:uid="{00000000-0005-0000-0000-000009000000}"/>
    <cellStyle name="Accent4 - 40%" xfId="16" xr:uid="{00000000-0005-0000-0000-00000A000000}"/>
    <cellStyle name="Accent4 - 60%" xfId="17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1" xr:uid="{00000000-0005-0000-0000-00000F000000}"/>
    <cellStyle name="Accent6 - 40%" xfId="22" xr:uid="{00000000-0005-0000-0000-000010000000}"/>
    <cellStyle name="Accent6 - 60%" xfId="23" xr:uid="{00000000-0005-0000-0000-000011000000}"/>
    <cellStyle name="Body - %" xfId="24" xr:uid="{00000000-0005-0000-0000-000012000000}"/>
    <cellStyle name="Body - £000" xfId="25" xr:uid="{00000000-0005-0000-0000-000013000000}"/>
    <cellStyle name="Body - £m" xfId="26" xr:uid="{00000000-0005-0000-0000-000014000000}"/>
    <cellStyle name="Body - whole no." xfId="5" xr:uid="{00000000-0005-0000-0000-000015000000}"/>
    <cellStyle name="Body - whole no. 2dp" xfId="27" xr:uid="{00000000-0005-0000-0000-000016000000}"/>
    <cellStyle name="Body - whole no. Bold" xfId="28" xr:uid="{00000000-0005-0000-0000-000017000000}"/>
    <cellStyle name="Body - whole no._GBD_Nov10" xfId="29" xr:uid="{00000000-0005-0000-0000-000018000000}"/>
    <cellStyle name="Body - whole no.2" xfId="30" xr:uid="{00000000-0005-0000-0000-000019000000}"/>
    <cellStyle name="Date - mmmyy" xfId="31" xr:uid="{00000000-0005-0000-0000-00001A000000}"/>
    <cellStyle name="Emphasis 1" xfId="32" xr:uid="{00000000-0005-0000-0000-00001B000000}"/>
    <cellStyle name="Emphasis 2" xfId="33" xr:uid="{00000000-0005-0000-0000-00001C000000}"/>
    <cellStyle name="Emphasis 3" xfId="34" xr:uid="{00000000-0005-0000-0000-00001D000000}"/>
    <cellStyle name="EUR" xfId="35" xr:uid="{00000000-0005-0000-0000-00001E000000}"/>
    <cellStyle name="EUR2" xfId="36" xr:uid="{00000000-0005-0000-0000-00001F000000}"/>
    <cellStyle name="GBP" xfId="37" xr:uid="{00000000-0005-0000-0000-000020000000}"/>
    <cellStyle name="GBP2" xfId="38" xr:uid="{00000000-0005-0000-0000-000021000000}"/>
    <cellStyle name="GenCurr2" xfId="2" xr:uid="{00000000-0005-0000-0000-000022000000}"/>
    <cellStyle name="GenPerc" xfId="3" xr:uid="{00000000-0005-0000-0000-000023000000}"/>
    <cellStyle name="Hyperlink" xfId="63" builtinId="8"/>
    <cellStyle name="Input - %" xfId="39" xr:uid="{00000000-0005-0000-0000-000025000000}"/>
    <cellStyle name="Input - £000" xfId="40" xr:uid="{00000000-0005-0000-0000-000026000000}"/>
    <cellStyle name="Input - £m" xfId="41" xr:uid="{00000000-0005-0000-0000-000027000000}"/>
    <cellStyle name="Input - whole no." xfId="42" xr:uid="{00000000-0005-0000-0000-000028000000}"/>
    <cellStyle name="KR" xfId="43" xr:uid="{00000000-0005-0000-0000-000029000000}"/>
    <cellStyle name="KR2" xfId="44" xr:uid="{00000000-0005-0000-0000-00002A000000}"/>
    <cellStyle name="Normal" xfId="0" builtinId="0"/>
    <cellStyle name="Normal 2" xfId="45" xr:uid="{00000000-0005-0000-0000-00002C000000}"/>
    <cellStyle name="Normal 3" xfId="1" xr:uid="{00000000-0005-0000-0000-00002D000000}"/>
    <cellStyle name="Normal 4" xfId="64" xr:uid="{00000000-0005-0000-0000-00002E000000}"/>
    <cellStyle name="Normal_GBD_Nov10" xfId="4" xr:uid="{00000000-0005-0000-0000-00002F000000}"/>
    <cellStyle name="Sheet Title" xfId="46" xr:uid="{00000000-0005-0000-0000-000030000000}"/>
    <cellStyle name="Sub-total - %" xfId="47" xr:uid="{00000000-0005-0000-0000-000031000000}"/>
    <cellStyle name="Sub-total - £000" xfId="48" xr:uid="{00000000-0005-0000-0000-000032000000}"/>
    <cellStyle name="Sub-total - £m" xfId="49" xr:uid="{00000000-0005-0000-0000-000033000000}"/>
    <cellStyle name="Sub-total - Whole no." xfId="50" xr:uid="{00000000-0005-0000-0000-000034000000}"/>
    <cellStyle name="Text - Wrap" xfId="51" xr:uid="{00000000-0005-0000-0000-000035000000}"/>
    <cellStyle name="Text - Wrap 2" xfId="61" xr:uid="{00000000-0005-0000-0000-000036000000}"/>
    <cellStyle name="Total - %" xfId="52" xr:uid="{00000000-0005-0000-0000-000037000000}"/>
    <cellStyle name="Total - £000" xfId="53" xr:uid="{00000000-0005-0000-0000-000038000000}"/>
    <cellStyle name="Total - £m" xfId="54" xr:uid="{00000000-0005-0000-0000-000039000000}"/>
    <cellStyle name="Total - whole no." xfId="55" xr:uid="{00000000-0005-0000-0000-00003A000000}"/>
    <cellStyle name="USD" xfId="56" xr:uid="{00000000-0005-0000-0000-00003B000000}"/>
    <cellStyle name="USD2" xfId="57" xr:uid="{00000000-0005-0000-0000-00003C000000}"/>
    <cellStyle name="WrapText" xfId="58" xr:uid="{00000000-0005-0000-0000-00003D000000}"/>
    <cellStyle name="WrapText 2" xfId="62" xr:uid="{00000000-0005-0000-0000-00003E000000}"/>
    <cellStyle name="ZL" xfId="59" xr:uid="{00000000-0005-0000-0000-00003F000000}"/>
    <cellStyle name="ZL2" xfId="60" xr:uid="{00000000-0005-0000-0000-000040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C0C0C0"/>
      <rgbColor rgb="00000000"/>
      <rgbColor rgb="0000008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  <color rgb="FFA51F1F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9523</xdr:colOff>
      <xdr:row>22</xdr:row>
      <xdr:rowOff>9523</xdr:rowOff>
    </xdr:from>
    <xdr:to>
      <xdr:col>18</xdr:col>
      <xdr:colOff>466724</xdr:colOff>
      <xdr:row>33</xdr:row>
      <xdr:rowOff>190499</xdr:rowOff>
    </xdr:to>
    <xdr:pic>
      <xdr:nvPicPr>
        <xdr:cNvPr id="2" name="Picture 1" descr="https://www.warhammer-community.com/wp-content/uploads/2020/03/f6cd29e9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3" y="4857748"/>
          <a:ext cx="2286001" cy="2286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10</xdr:row>
      <xdr:rowOff>200024</xdr:rowOff>
    </xdr:from>
    <xdr:to>
      <xdr:col>18</xdr:col>
      <xdr:colOff>104774</xdr:colOff>
      <xdr:row>21</xdr:row>
      <xdr:rowOff>19049</xdr:rowOff>
    </xdr:to>
    <xdr:pic>
      <xdr:nvPicPr>
        <xdr:cNvPr id="3" name="Picture 2" descr="https://www.warhammer-community.com/wp-content/uploads/2020/03/0efaf474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2733674"/>
          <a:ext cx="19335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34</xdr:row>
      <xdr:rowOff>200024</xdr:rowOff>
    </xdr:from>
    <xdr:to>
      <xdr:col>18</xdr:col>
      <xdr:colOff>85724</xdr:colOff>
      <xdr:row>44</xdr:row>
      <xdr:rowOff>190499</xdr:rowOff>
    </xdr:to>
    <xdr:pic>
      <xdr:nvPicPr>
        <xdr:cNvPr id="4" name="Picture 3" descr="https://www.warhammer-community.com/wp-content/uploads/2020/03/b1bcd50c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7343774"/>
          <a:ext cx="1914525" cy="1914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46</xdr:row>
      <xdr:rowOff>0</xdr:rowOff>
    </xdr:from>
    <xdr:to>
      <xdr:col>18</xdr:col>
      <xdr:colOff>95250</xdr:colOff>
      <xdr:row>56</xdr:row>
      <xdr:rowOff>9525</xdr:rowOff>
    </xdr:to>
    <xdr:pic>
      <xdr:nvPicPr>
        <xdr:cNvPr id="5" name="Picture 4" descr="https://www.warhammer-community.com/wp-content/uploads/2020/03/4d027028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94583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609599</xdr:colOff>
      <xdr:row>56</xdr:row>
      <xdr:rowOff>200024</xdr:rowOff>
    </xdr:from>
    <xdr:to>
      <xdr:col>18</xdr:col>
      <xdr:colOff>257174</xdr:colOff>
      <xdr:row>67</xdr:row>
      <xdr:rowOff>171449</xdr:rowOff>
    </xdr:to>
    <xdr:pic>
      <xdr:nvPicPr>
        <xdr:cNvPr id="6" name="Picture 5" descr="https://www.warhammer-community.com/wp-content/uploads/2020/03/d4fd50fe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399" y="11572874"/>
          <a:ext cx="2085975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69</xdr:row>
      <xdr:rowOff>0</xdr:rowOff>
    </xdr:from>
    <xdr:to>
      <xdr:col>18</xdr:col>
      <xdr:colOff>95250</xdr:colOff>
      <xdr:row>79</xdr:row>
      <xdr:rowOff>9525</xdr:rowOff>
    </xdr:to>
    <xdr:pic>
      <xdr:nvPicPr>
        <xdr:cNvPr id="7" name="Picture 6" descr="https://www.warhammer-community.com/wp-content/uploads/2020/03/272dde56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0" y="13877925"/>
          <a:ext cx="1924050" cy="192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ckPg1KAxS8" TargetMode="External"/><Relationship Id="rId2" Type="http://schemas.openxmlformats.org/officeDocument/2006/relationships/hyperlink" Target="https://www.warhammer-community.com/2020/03/15/sunday-preview-beasts-vs-other-beasts/" TargetMode="External"/><Relationship Id="rId1" Type="http://schemas.openxmlformats.org/officeDocument/2006/relationships/hyperlink" Target="https://www.warhammer-community.com/2020/03/09/the-fight-of-the-millenniumgw-homepage-post-1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-qHwM7GvMl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tel:03040202004" TargetMode="External"/><Relationship Id="rId13" Type="http://schemas.openxmlformats.org/officeDocument/2006/relationships/hyperlink" Target="tel:03030104008" TargetMode="External"/><Relationship Id="rId3" Type="http://schemas.openxmlformats.org/officeDocument/2006/relationships/hyperlink" Target="tel:03040199023" TargetMode="External"/><Relationship Id="rId7" Type="http://schemas.openxmlformats.org/officeDocument/2006/relationships/hyperlink" Target="tel:03040199024" TargetMode="External"/><Relationship Id="rId12" Type="http://schemas.openxmlformats.org/officeDocument/2006/relationships/hyperlink" Target="tel:03030112003" TargetMode="External"/><Relationship Id="rId2" Type="http://schemas.openxmlformats.org/officeDocument/2006/relationships/hyperlink" Target="tel:03030215002" TargetMode="External"/><Relationship Id="rId1" Type="http://schemas.openxmlformats.org/officeDocument/2006/relationships/hyperlink" Target="tel:03030115002" TargetMode="External"/><Relationship Id="rId6" Type="http://schemas.openxmlformats.org/officeDocument/2006/relationships/hyperlink" Target="tel:03040199017" TargetMode="External"/><Relationship Id="rId11" Type="http://schemas.openxmlformats.org/officeDocument/2006/relationships/hyperlink" Target="tel:03030103004" TargetMode="External"/><Relationship Id="rId5" Type="http://schemas.openxmlformats.org/officeDocument/2006/relationships/hyperlink" Target="tel:03040199026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tel:03040199028" TargetMode="External"/><Relationship Id="rId4" Type="http://schemas.openxmlformats.org/officeDocument/2006/relationships/hyperlink" Target="tel:03041499035" TargetMode="External"/><Relationship Id="rId9" Type="http://schemas.openxmlformats.org/officeDocument/2006/relationships/hyperlink" Target="tel:03040206002" TargetMode="External"/><Relationship Id="rId14" Type="http://schemas.openxmlformats.org/officeDocument/2006/relationships/hyperlink" Target="tel:030401990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79"/>
  <sheetViews>
    <sheetView workbookViewId="0">
      <selection activeCell="B27" sqref="B27:N27"/>
    </sheetView>
  </sheetViews>
  <sheetFormatPr defaultColWidth="9.140625" defaultRowHeight="15" x14ac:dyDescent="0.25"/>
  <cols>
    <col min="1" max="1" width="3.28515625" style="90" customWidth="1"/>
    <col min="2" max="2" width="11.7109375" style="90" customWidth="1"/>
    <col min="3" max="3" width="15.5703125" style="90" customWidth="1"/>
    <col min="4" max="4" width="11.7109375" style="90" customWidth="1"/>
    <col min="5" max="5" width="11.5703125" style="90" customWidth="1"/>
    <col min="6" max="6" width="15.28515625" style="90" customWidth="1"/>
    <col min="7" max="7" width="12.7109375" style="90" customWidth="1"/>
    <col min="8" max="8" width="16.5703125" style="90" customWidth="1"/>
    <col min="9" max="9" width="12.42578125" style="90" customWidth="1"/>
    <col min="10" max="11" width="11.7109375" style="90" customWidth="1"/>
    <col min="12" max="12" width="12.42578125" style="90" bestFit="1" customWidth="1"/>
    <col min="13" max="13" width="12.28515625" style="90" bestFit="1" customWidth="1"/>
    <col min="14" max="14" width="11.140625" style="90" customWidth="1"/>
    <col min="15" max="16384" width="9.140625" style="89"/>
  </cols>
  <sheetData>
    <row r="1" spans="2:19" ht="16.5" thickBot="1" x14ac:dyDescent="0.3">
      <c r="B1" s="186" t="s">
        <v>0</v>
      </c>
      <c r="C1" s="188">
        <v>43911</v>
      </c>
      <c r="E1" s="104"/>
      <c r="F1" s="190" t="s">
        <v>1</v>
      </c>
      <c r="G1" s="191"/>
      <c r="H1" s="192"/>
      <c r="I1" s="177" t="s">
        <v>2</v>
      </c>
      <c r="J1" s="98"/>
      <c r="K1" s="98"/>
      <c r="L1" s="186" t="s">
        <v>3</v>
      </c>
      <c r="M1" s="193">
        <v>43918</v>
      </c>
      <c r="N1" s="194"/>
    </row>
    <row r="2" spans="2:19" ht="18.75" thickBot="1" x14ac:dyDescent="0.3">
      <c r="B2" s="187"/>
      <c r="C2" s="189"/>
      <c r="E2" s="104"/>
      <c r="F2" s="197" t="s">
        <v>4</v>
      </c>
      <c r="G2" s="198"/>
      <c r="H2" s="199"/>
      <c r="I2" s="105">
        <f>C1</f>
        <v>43911</v>
      </c>
      <c r="J2" s="98"/>
      <c r="K2" s="98"/>
      <c r="L2" s="187"/>
      <c r="M2" s="195"/>
      <c r="N2" s="196"/>
    </row>
    <row r="3" spans="2:19" ht="21" thickBot="1" x14ac:dyDescent="0.3">
      <c r="B3" s="101"/>
      <c r="C3" s="100"/>
      <c r="E3" s="104"/>
      <c r="F3" s="103"/>
      <c r="G3" s="103"/>
      <c r="H3" s="103"/>
      <c r="I3" s="102"/>
      <c r="J3" s="98"/>
      <c r="K3" s="98"/>
      <c r="L3" s="101"/>
      <c r="M3" s="100"/>
      <c r="N3" s="100"/>
    </row>
    <row r="4" spans="2:19" ht="36" thickBot="1" x14ac:dyDescent="0.3">
      <c r="B4" s="208" t="s">
        <v>5</v>
      </c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10"/>
    </row>
    <row r="5" spans="2:19" ht="16.5" thickBot="1" x14ac:dyDescent="0.3">
      <c r="B5" s="99"/>
      <c r="C5" s="99"/>
      <c r="E5" s="98"/>
      <c r="F5" s="98"/>
      <c r="G5" s="98"/>
      <c r="H5" s="98"/>
      <c r="I5" s="98"/>
      <c r="J5" s="98"/>
      <c r="K5" s="98"/>
      <c r="L5" s="98"/>
      <c r="N5" s="97"/>
    </row>
    <row r="6" spans="2:19" ht="18" x14ac:dyDescent="0.25">
      <c r="B6" s="211" t="s">
        <v>6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19" ht="18" x14ac:dyDescent="0.25">
      <c r="B7" s="227" t="s">
        <v>7</v>
      </c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9"/>
      <c r="R7" s="106"/>
    </row>
    <row r="8" spans="2:19" ht="18" x14ac:dyDescent="0.25">
      <c r="B8" s="227" t="s">
        <v>8</v>
      </c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9"/>
      <c r="R8" s="106"/>
    </row>
    <row r="9" spans="2:19" ht="18" x14ac:dyDescent="0.25">
      <c r="B9" s="227" t="s">
        <v>9</v>
      </c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9"/>
      <c r="R9" s="106"/>
    </row>
    <row r="10" spans="2:19" ht="18.75" thickBot="1" x14ac:dyDescent="0.3">
      <c r="B10" s="214" t="s">
        <v>10</v>
      </c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6"/>
    </row>
    <row r="11" spans="2:19" ht="15.75" thickBot="1" x14ac:dyDescent="0.3"/>
    <row r="12" spans="2:19" x14ac:dyDescent="0.25">
      <c r="C12" s="96"/>
      <c r="D12" s="96"/>
      <c r="E12" s="217" t="s">
        <v>11</v>
      </c>
      <c r="F12" s="218"/>
      <c r="G12" s="218"/>
      <c r="H12" s="218"/>
      <c r="I12" s="218"/>
      <c r="J12" s="218"/>
      <c r="K12" s="219"/>
      <c r="P12"/>
      <c r="S12"/>
    </row>
    <row r="13" spans="2:19" ht="15.75" thickBot="1" x14ac:dyDescent="0.3">
      <c r="E13" s="220"/>
      <c r="F13" s="221"/>
      <c r="G13" s="221"/>
      <c r="H13" s="221"/>
      <c r="I13" s="221"/>
      <c r="J13" s="221"/>
      <c r="K13" s="222"/>
    </row>
    <row r="14" spans="2:19" x14ac:dyDescent="0.25">
      <c r="I14" s="95"/>
      <c r="J14" s="94"/>
      <c r="K14" s="93"/>
      <c r="L14" s="95"/>
      <c r="M14" s="94"/>
      <c r="N14" s="93"/>
    </row>
    <row r="15" spans="2:19" x14ac:dyDescent="0.25">
      <c r="B15" s="180" t="s">
        <v>12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2"/>
    </row>
    <row r="16" spans="2:19" x14ac:dyDescent="0.25">
      <c r="B16" s="180" t="s">
        <v>13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2"/>
    </row>
    <row r="17" spans="2:14" x14ac:dyDescent="0.25">
      <c r="B17" s="180" t="s">
        <v>14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2"/>
    </row>
    <row r="18" spans="2:14" x14ac:dyDescent="0.25"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</row>
    <row r="19" spans="2:14" x14ac:dyDescent="0.25">
      <c r="D19" s="180" t="s">
        <v>15</v>
      </c>
      <c r="E19" s="182"/>
      <c r="F19" s="91" t="s">
        <v>16</v>
      </c>
      <c r="G19" s="91" t="s">
        <v>17</v>
      </c>
      <c r="H19" s="91" t="s">
        <v>18</v>
      </c>
      <c r="I19" s="180" t="s">
        <v>19</v>
      </c>
      <c r="J19" s="182"/>
      <c r="K19" s="180" t="s">
        <v>20</v>
      </c>
      <c r="L19" s="181"/>
      <c r="M19" s="182"/>
    </row>
    <row r="20" spans="2:14" x14ac:dyDescent="0.25">
      <c r="D20" s="178" t="s">
        <v>21</v>
      </c>
      <c r="E20" s="230"/>
      <c r="F20" s="178" t="s">
        <v>22</v>
      </c>
      <c r="G20" s="200" t="s">
        <v>23</v>
      </c>
      <c r="H20" s="200" t="s">
        <v>24</v>
      </c>
      <c r="I20" s="202" t="s">
        <v>25</v>
      </c>
      <c r="J20" s="203"/>
      <c r="K20" s="206">
        <v>25</v>
      </c>
      <c r="L20" s="223">
        <v>155</v>
      </c>
      <c r="M20" s="225">
        <v>64</v>
      </c>
    </row>
    <row r="21" spans="2:14" x14ac:dyDescent="0.25">
      <c r="D21" s="179"/>
      <c r="E21" s="231"/>
      <c r="F21" s="179"/>
      <c r="G21" s="201"/>
      <c r="H21" s="201"/>
      <c r="I21" s="204"/>
      <c r="J21" s="205"/>
      <c r="K21" s="207"/>
      <c r="L21" s="224"/>
      <c r="M21" s="226"/>
    </row>
    <row r="22" spans="2:14" ht="15.75" thickBot="1" x14ac:dyDescent="0.3"/>
    <row r="23" spans="2:14" x14ac:dyDescent="0.25">
      <c r="C23" s="96"/>
      <c r="D23" s="96"/>
      <c r="E23" s="217" t="s">
        <v>26</v>
      </c>
      <c r="F23" s="218"/>
      <c r="G23" s="218"/>
      <c r="H23" s="218"/>
      <c r="I23" s="218"/>
      <c r="J23" s="218"/>
      <c r="K23" s="219"/>
    </row>
    <row r="24" spans="2:14" ht="15.75" thickBot="1" x14ac:dyDescent="0.3">
      <c r="E24" s="220"/>
      <c r="F24" s="221"/>
      <c r="G24" s="221"/>
      <c r="H24" s="221"/>
      <c r="I24" s="221"/>
      <c r="J24" s="221"/>
      <c r="K24" s="222"/>
    </row>
    <row r="25" spans="2:14" x14ac:dyDescent="0.25">
      <c r="I25" s="95"/>
      <c r="J25" s="94"/>
      <c r="K25" s="93"/>
      <c r="L25" s="95"/>
      <c r="M25" s="94"/>
      <c r="N25" s="93"/>
    </row>
    <row r="26" spans="2:14" x14ac:dyDescent="0.25">
      <c r="B26" s="183" t="s">
        <v>27</v>
      </c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5"/>
    </row>
    <row r="27" spans="2:14" x14ac:dyDescent="0.25">
      <c r="B27" s="183" t="s">
        <v>28</v>
      </c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5"/>
    </row>
    <row r="28" spans="2:14" x14ac:dyDescent="0.25">
      <c r="B28" s="180" t="s">
        <v>29</v>
      </c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2"/>
    </row>
    <row r="29" spans="2:14" x14ac:dyDescent="0.25">
      <c r="B29" s="183" t="s">
        <v>30</v>
      </c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5"/>
    </row>
    <row r="30" spans="2:14" x14ac:dyDescent="0.25">
      <c r="B30" s="180" t="s">
        <v>31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2"/>
    </row>
    <row r="31" spans="2:14" x14ac:dyDescent="0.25"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</row>
    <row r="32" spans="2:14" x14ac:dyDescent="0.25">
      <c r="D32" s="180" t="s">
        <v>15</v>
      </c>
      <c r="E32" s="182"/>
      <c r="F32" s="91" t="s">
        <v>16</v>
      </c>
      <c r="G32" s="91" t="s">
        <v>17</v>
      </c>
      <c r="H32" s="91" t="s">
        <v>18</v>
      </c>
      <c r="I32" s="180" t="s">
        <v>19</v>
      </c>
      <c r="J32" s="182"/>
      <c r="K32" s="180" t="s">
        <v>20</v>
      </c>
      <c r="L32" s="181"/>
      <c r="M32" s="182"/>
    </row>
    <row r="33" spans="2:16" x14ac:dyDescent="0.25">
      <c r="D33" s="178" t="s">
        <v>32</v>
      </c>
      <c r="E33" s="230"/>
      <c r="F33" s="178" t="s">
        <v>22</v>
      </c>
      <c r="G33" s="200" t="s">
        <v>23</v>
      </c>
      <c r="H33" s="200" t="s">
        <v>24</v>
      </c>
      <c r="I33" s="202" t="s">
        <v>33</v>
      </c>
      <c r="J33" s="203"/>
      <c r="K33" s="206">
        <v>105</v>
      </c>
      <c r="L33" s="223">
        <v>650</v>
      </c>
      <c r="M33" s="225">
        <v>256</v>
      </c>
    </row>
    <row r="34" spans="2:16" x14ac:dyDescent="0.25">
      <c r="D34" s="179"/>
      <c r="E34" s="231"/>
      <c r="F34" s="179"/>
      <c r="G34" s="201"/>
      <c r="H34" s="201"/>
      <c r="I34" s="204"/>
      <c r="J34" s="205"/>
      <c r="K34" s="207"/>
      <c r="L34" s="224"/>
      <c r="M34" s="226"/>
    </row>
    <row r="35" spans="2:16" ht="15.75" thickBot="1" x14ac:dyDescent="0.3"/>
    <row r="36" spans="2:16" x14ac:dyDescent="0.25">
      <c r="C36" s="96"/>
      <c r="D36" s="96"/>
      <c r="E36" s="217" t="s">
        <v>34</v>
      </c>
      <c r="F36" s="218"/>
      <c r="G36" s="218"/>
      <c r="H36" s="218"/>
      <c r="I36" s="218"/>
      <c r="J36" s="218"/>
      <c r="K36" s="219"/>
      <c r="P36"/>
    </row>
    <row r="37" spans="2:16" ht="15.75" thickBot="1" x14ac:dyDescent="0.3">
      <c r="E37" s="220"/>
      <c r="F37" s="221"/>
      <c r="G37" s="221"/>
      <c r="H37" s="221"/>
      <c r="I37" s="221"/>
      <c r="J37" s="221"/>
      <c r="K37" s="222"/>
    </row>
    <row r="38" spans="2:16" x14ac:dyDescent="0.25">
      <c r="I38" s="95"/>
      <c r="J38" s="94"/>
      <c r="K38" s="93"/>
      <c r="L38" s="95"/>
      <c r="M38" s="94"/>
      <c r="N38" s="93"/>
    </row>
    <row r="39" spans="2:16" ht="15" customHeight="1" x14ac:dyDescent="0.25">
      <c r="B39" s="180" t="s">
        <v>35</v>
      </c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</row>
    <row r="40" spans="2:16" ht="15" customHeight="1" x14ac:dyDescent="0.25">
      <c r="B40" s="180" t="s">
        <v>36</v>
      </c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</row>
    <row r="41" spans="2:16" ht="15" customHeight="1" x14ac:dyDescent="0.25">
      <c r="B41" s="180" t="s">
        <v>37</v>
      </c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</row>
    <row r="42" spans="2:16" x14ac:dyDescent="0.25"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</row>
    <row r="43" spans="2:16" x14ac:dyDescent="0.25">
      <c r="D43" s="180" t="s">
        <v>15</v>
      </c>
      <c r="E43" s="182"/>
      <c r="F43" s="91" t="s">
        <v>16</v>
      </c>
      <c r="G43" s="91" t="s">
        <v>17</v>
      </c>
      <c r="H43" s="91" t="s">
        <v>18</v>
      </c>
      <c r="I43" s="180" t="s">
        <v>19</v>
      </c>
      <c r="J43" s="182"/>
      <c r="K43" s="180" t="s">
        <v>20</v>
      </c>
      <c r="L43" s="181"/>
      <c r="M43" s="182"/>
    </row>
    <row r="44" spans="2:16" x14ac:dyDescent="0.25">
      <c r="D44" s="178" t="s">
        <v>38</v>
      </c>
      <c r="E44" s="230"/>
      <c r="F44" s="178" t="s">
        <v>22</v>
      </c>
      <c r="G44" s="200" t="s">
        <v>23</v>
      </c>
      <c r="H44" s="200" t="s">
        <v>24</v>
      </c>
      <c r="I44" s="202" t="s">
        <v>39</v>
      </c>
      <c r="J44" s="203"/>
      <c r="K44" s="206">
        <v>35</v>
      </c>
      <c r="L44" s="223">
        <v>220</v>
      </c>
      <c r="M44" s="225">
        <v>86</v>
      </c>
    </row>
    <row r="45" spans="2:16" x14ac:dyDescent="0.25">
      <c r="D45" s="179"/>
      <c r="E45" s="231"/>
      <c r="F45" s="179"/>
      <c r="G45" s="201"/>
      <c r="H45" s="201"/>
      <c r="I45" s="204"/>
      <c r="J45" s="205"/>
      <c r="K45" s="207"/>
      <c r="L45" s="224"/>
      <c r="M45" s="226"/>
    </row>
    <row r="46" spans="2:16" ht="15.75" thickBot="1" x14ac:dyDescent="0.3"/>
    <row r="47" spans="2:16" x14ac:dyDescent="0.25">
      <c r="C47" s="96"/>
      <c r="D47" s="96"/>
      <c r="E47" s="217" t="s">
        <v>40</v>
      </c>
      <c r="F47" s="218"/>
      <c r="G47" s="218"/>
      <c r="H47" s="218"/>
      <c r="I47" s="218"/>
      <c r="J47" s="218"/>
      <c r="K47" s="219"/>
      <c r="P47"/>
    </row>
    <row r="48" spans="2:16" ht="15.75" thickBot="1" x14ac:dyDescent="0.3">
      <c r="E48" s="220"/>
      <c r="F48" s="221"/>
      <c r="G48" s="221"/>
      <c r="H48" s="221"/>
      <c r="I48" s="221"/>
      <c r="J48" s="221"/>
      <c r="K48" s="222"/>
    </row>
    <row r="49" spans="2:16" x14ac:dyDescent="0.25">
      <c r="I49" s="95"/>
      <c r="J49" s="94"/>
      <c r="K49" s="93"/>
      <c r="L49" s="95"/>
      <c r="M49" s="94"/>
      <c r="N49" s="93"/>
    </row>
    <row r="50" spans="2:16" x14ac:dyDescent="0.25">
      <c r="B50" s="180" t="s">
        <v>41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2"/>
    </row>
    <row r="51" spans="2:16" x14ac:dyDescent="0.25">
      <c r="B51" s="180" t="s">
        <v>42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2"/>
    </row>
    <row r="52" spans="2:16" x14ac:dyDescent="0.25">
      <c r="B52" s="180" t="s">
        <v>43</v>
      </c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2"/>
    </row>
    <row r="53" spans="2:16" x14ac:dyDescent="0.25"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</row>
    <row r="54" spans="2:16" x14ac:dyDescent="0.25">
      <c r="D54" s="180" t="s">
        <v>15</v>
      </c>
      <c r="E54" s="182"/>
      <c r="F54" s="91" t="s">
        <v>16</v>
      </c>
      <c r="G54" s="91" t="s">
        <v>17</v>
      </c>
      <c r="H54" s="91" t="s">
        <v>18</v>
      </c>
      <c r="I54" s="180" t="s">
        <v>19</v>
      </c>
      <c r="J54" s="182"/>
      <c r="K54" s="180" t="s">
        <v>20</v>
      </c>
      <c r="L54" s="181"/>
      <c r="M54" s="182"/>
    </row>
    <row r="55" spans="2:16" x14ac:dyDescent="0.25">
      <c r="D55" s="178" t="s">
        <v>44</v>
      </c>
      <c r="E55" s="230"/>
      <c r="F55" s="178" t="s">
        <v>22</v>
      </c>
      <c r="G55" s="200" t="s">
        <v>23</v>
      </c>
      <c r="H55" s="200" t="s">
        <v>45</v>
      </c>
      <c r="I55" s="202" t="s">
        <v>46</v>
      </c>
      <c r="J55" s="203"/>
      <c r="K55" s="206">
        <v>15</v>
      </c>
      <c r="L55" s="223">
        <v>95</v>
      </c>
      <c r="M55" s="225">
        <v>37</v>
      </c>
    </row>
    <row r="56" spans="2:16" x14ac:dyDescent="0.25">
      <c r="D56" s="179"/>
      <c r="E56" s="231"/>
      <c r="F56" s="179"/>
      <c r="G56" s="201"/>
      <c r="H56" s="201"/>
      <c r="I56" s="204"/>
      <c r="J56" s="205"/>
      <c r="K56" s="207"/>
      <c r="L56" s="224"/>
      <c r="M56" s="226"/>
    </row>
    <row r="57" spans="2:16" ht="15.75" thickBot="1" x14ac:dyDescent="0.3"/>
    <row r="58" spans="2:16" x14ac:dyDescent="0.25">
      <c r="C58" s="96"/>
      <c r="D58" s="96"/>
      <c r="E58" s="217" t="s">
        <v>47</v>
      </c>
      <c r="F58" s="218"/>
      <c r="G58" s="218"/>
      <c r="H58" s="218"/>
      <c r="I58" s="218"/>
      <c r="J58" s="218"/>
      <c r="K58" s="219"/>
      <c r="P58"/>
    </row>
    <row r="59" spans="2:16" ht="15.75" thickBot="1" x14ac:dyDescent="0.3">
      <c r="E59" s="220"/>
      <c r="F59" s="221"/>
      <c r="G59" s="221"/>
      <c r="H59" s="221"/>
      <c r="I59" s="221"/>
      <c r="J59" s="221"/>
      <c r="K59" s="222"/>
    </row>
    <row r="60" spans="2:16" x14ac:dyDescent="0.25">
      <c r="I60" s="95"/>
      <c r="J60" s="94"/>
      <c r="K60" s="93"/>
      <c r="L60" s="95"/>
      <c r="M60" s="94"/>
      <c r="N60" s="93"/>
    </row>
    <row r="61" spans="2:16" x14ac:dyDescent="0.25">
      <c r="B61" s="180" t="s">
        <v>48</v>
      </c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2"/>
    </row>
    <row r="62" spans="2:16" x14ac:dyDescent="0.25">
      <c r="B62" s="180" t="s">
        <v>49</v>
      </c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2"/>
    </row>
    <row r="63" spans="2:16" x14ac:dyDescent="0.25">
      <c r="B63" s="180" t="s">
        <v>50</v>
      </c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2"/>
    </row>
    <row r="64" spans="2:16" x14ac:dyDescent="0.25">
      <c r="B64" s="180" t="s">
        <v>51</v>
      </c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2"/>
    </row>
    <row r="65" spans="2:16" x14ac:dyDescent="0.25"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</row>
    <row r="66" spans="2:16" x14ac:dyDescent="0.25">
      <c r="D66" s="180" t="s">
        <v>15</v>
      </c>
      <c r="E66" s="182"/>
      <c r="F66" s="91" t="s">
        <v>16</v>
      </c>
      <c r="G66" s="91" t="s">
        <v>17</v>
      </c>
      <c r="H66" s="91" t="s">
        <v>18</v>
      </c>
      <c r="I66" s="180" t="s">
        <v>19</v>
      </c>
      <c r="J66" s="182"/>
      <c r="K66" s="180" t="s">
        <v>20</v>
      </c>
      <c r="L66" s="181"/>
      <c r="M66" s="182"/>
    </row>
    <row r="67" spans="2:16" x14ac:dyDescent="0.25">
      <c r="D67" s="178" t="s">
        <v>52</v>
      </c>
      <c r="E67" s="230"/>
      <c r="F67" s="178" t="s">
        <v>22</v>
      </c>
      <c r="G67" s="200" t="s">
        <v>53</v>
      </c>
      <c r="H67" s="200" t="s">
        <v>24</v>
      </c>
      <c r="I67" s="202" t="s">
        <v>54</v>
      </c>
      <c r="J67" s="203"/>
      <c r="K67" s="206">
        <v>12.99</v>
      </c>
      <c r="L67" s="223">
        <v>80</v>
      </c>
      <c r="M67" s="225">
        <v>32</v>
      </c>
    </row>
    <row r="68" spans="2:16" x14ac:dyDescent="0.25">
      <c r="D68" s="179"/>
      <c r="E68" s="231"/>
      <c r="F68" s="179"/>
      <c r="G68" s="201"/>
      <c r="H68" s="201"/>
      <c r="I68" s="204"/>
      <c r="J68" s="205"/>
      <c r="K68" s="207"/>
      <c r="L68" s="224"/>
      <c r="M68" s="226"/>
    </row>
    <row r="69" spans="2:16" ht="15.75" thickBot="1" x14ac:dyDescent="0.3"/>
    <row r="70" spans="2:16" x14ac:dyDescent="0.25">
      <c r="C70" s="96"/>
      <c r="D70" s="96"/>
      <c r="E70" s="217" t="s">
        <v>55</v>
      </c>
      <c r="F70" s="218"/>
      <c r="G70" s="218"/>
      <c r="H70" s="218"/>
      <c r="I70" s="218"/>
      <c r="J70" s="218"/>
      <c r="K70" s="219"/>
      <c r="P70"/>
    </row>
    <row r="71" spans="2:16" ht="15.75" thickBot="1" x14ac:dyDescent="0.3">
      <c r="E71" s="220"/>
      <c r="F71" s="221"/>
      <c r="G71" s="221"/>
      <c r="H71" s="221"/>
      <c r="I71" s="221"/>
      <c r="J71" s="221"/>
      <c r="K71" s="222"/>
    </row>
    <row r="72" spans="2:16" x14ac:dyDescent="0.25">
      <c r="I72" s="95"/>
      <c r="J72" s="94"/>
      <c r="K72" s="93"/>
      <c r="L72" s="95"/>
      <c r="M72" s="94"/>
      <c r="N72" s="93"/>
    </row>
    <row r="73" spans="2:16" x14ac:dyDescent="0.25">
      <c r="B73" s="180" t="s">
        <v>48</v>
      </c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2"/>
    </row>
    <row r="74" spans="2:16" x14ac:dyDescent="0.25">
      <c r="B74" s="180" t="s">
        <v>56</v>
      </c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2"/>
    </row>
    <row r="75" spans="2:16" x14ac:dyDescent="0.25">
      <c r="B75" s="180" t="s">
        <v>57</v>
      </c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2"/>
    </row>
    <row r="76" spans="2:16" x14ac:dyDescent="0.25"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</row>
    <row r="77" spans="2:16" x14ac:dyDescent="0.25">
      <c r="D77" s="180" t="s">
        <v>15</v>
      </c>
      <c r="E77" s="182"/>
      <c r="F77" s="91" t="s">
        <v>16</v>
      </c>
      <c r="G77" s="91" t="s">
        <v>17</v>
      </c>
      <c r="H77" s="91" t="s">
        <v>18</v>
      </c>
      <c r="I77" s="180" t="s">
        <v>19</v>
      </c>
      <c r="J77" s="182"/>
      <c r="K77" s="180" t="s">
        <v>20</v>
      </c>
      <c r="L77" s="181"/>
      <c r="M77" s="182"/>
    </row>
    <row r="78" spans="2:16" x14ac:dyDescent="0.25">
      <c r="D78" s="178" t="s">
        <v>58</v>
      </c>
      <c r="E78" s="230"/>
      <c r="F78" s="178" t="s">
        <v>22</v>
      </c>
      <c r="G78" s="200" t="s">
        <v>59</v>
      </c>
      <c r="H78" s="200" t="s">
        <v>60</v>
      </c>
      <c r="I78" s="202" t="s">
        <v>61</v>
      </c>
      <c r="J78" s="203"/>
      <c r="K78" s="206">
        <v>8.99</v>
      </c>
      <c r="L78" s="223">
        <v>56</v>
      </c>
      <c r="M78" s="225">
        <v>24</v>
      </c>
    </row>
    <row r="79" spans="2:16" x14ac:dyDescent="0.25">
      <c r="D79" s="179"/>
      <c r="E79" s="231"/>
      <c r="F79" s="179"/>
      <c r="G79" s="201"/>
      <c r="H79" s="201"/>
      <c r="I79" s="204"/>
      <c r="J79" s="205"/>
      <c r="K79" s="207"/>
      <c r="L79" s="224"/>
      <c r="M79" s="226"/>
    </row>
  </sheetData>
  <mergeCells count="105">
    <mergeCell ref="E47:K48"/>
    <mergeCell ref="B51:N51"/>
    <mergeCell ref="D32:E32"/>
    <mergeCell ref="I32:J32"/>
    <mergeCell ref="K32:M32"/>
    <mergeCell ref="D33:E34"/>
    <mergeCell ref="F33:F34"/>
    <mergeCell ref="G33:G34"/>
    <mergeCell ref="H33:H34"/>
    <mergeCell ref="I33:J34"/>
    <mergeCell ref="K33:K34"/>
    <mergeCell ref="L33:L34"/>
    <mergeCell ref="M33:M34"/>
    <mergeCell ref="B74:N74"/>
    <mergeCell ref="B75:N75"/>
    <mergeCell ref="G78:G79"/>
    <mergeCell ref="H78:H79"/>
    <mergeCell ref="I78:J79"/>
    <mergeCell ref="K78:K79"/>
    <mergeCell ref="L78:L79"/>
    <mergeCell ref="M78:M79"/>
    <mergeCell ref="D77:E77"/>
    <mergeCell ref="I77:J77"/>
    <mergeCell ref="K77:M77"/>
    <mergeCell ref="D78:E79"/>
    <mergeCell ref="F78:F79"/>
    <mergeCell ref="E70:K71"/>
    <mergeCell ref="B73:N73"/>
    <mergeCell ref="B63:N63"/>
    <mergeCell ref="B64:N64"/>
    <mergeCell ref="D54:E54"/>
    <mergeCell ref="I54:J54"/>
    <mergeCell ref="K54:M54"/>
    <mergeCell ref="L55:L56"/>
    <mergeCell ref="M55:M56"/>
    <mergeCell ref="B62:N62"/>
    <mergeCell ref="D66:E66"/>
    <mergeCell ref="I66:J66"/>
    <mergeCell ref="K66:M66"/>
    <mergeCell ref="D67:E68"/>
    <mergeCell ref="F67:F68"/>
    <mergeCell ref="G67:G68"/>
    <mergeCell ref="H67:H68"/>
    <mergeCell ref="I67:J68"/>
    <mergeCell ref="K67:K68"/>
    <mergeCell ref="L67:L68"/>
    <mergeCell ref="M67:M68"/>
    <mergeCell ref="B52:N52"/>
    <mergeCell ref="B50:N50"/>
    <mergeCell ref="E58:K59"/>
    <mergeCell ref="B61:N61"/>
    <mergeCell ref="D55:E56"/>
    <mergeCell ref="F55:F56"/>
    <mergeCell ref="G55:G56"/>
    <mergeCell ref="H55:H56"/>
    <mergeCell ref="I55:J56"/>
    <mergeCell ref="K55:K56"/>
    <mergeCell ref="B16:N16"/>
    <mergeCell ref="B17:N17"/>
    <mergeCell ref="B8:N8"/>
    <mergeCell ref="B9:N9"/>
    <mergeCell ref="D20:E21"/>
    <mergeCell ref="D44:E45"/>
    <mergeCell ref="F44:F45"/>
    <mergeCell ref="G44:G45"/>
    <mergeCell ref="H44:H45"/>
    <mergeCell ref="I44:J45"/>
    <mergeCell ref="K44:K45"/>
    <mergeCell ref="L44:L45"/>
    <mergeCell ref="M44:M45"/>
    <mergeCell ref="E23:K24"/>
    <mergeCell ref="B26:N26"/>
    <mergeCell ref="B27:N27"/>
    <mergeCell ref="B30:N30"/>
    <mergeCell ref="E36:K37"/>
    <mergeCell ref="B39:N39"/>
    <mergeCell ref="B40:N40"/>
    <mergeCell ref="B41:N41"/>
    <mergeCell ref="D43:E43"/>
    <mergeCell ref="I43:J43"/>
    <mergeCell ref="K43:M43"/>
    <mergeCell ref="F20:F21"/>
    <mergeCell ref="B28:N28"/>
    <mergeCell ref="B29:N29"/>
    <mergeCell ref="I19:J19"/>
    <mergeCell ref="K19:M19"/>
    <mergeCell ref="B1:B2"/>
    <mergeCell ref="C1:C2"/>
    <mergeCell ref="F1:H1"/>
    <mergeCell ref="L1:L2"/>
    <mergeCell ref="M1:N2"/>
    <mergeCell ref="F2:H2"/>
    <mergeCell ref="G20:G21"/>
    <mergeCell ref="H20:H21"/>
    <mergeCell ref="I20:J21"/>
    <mergeCell ref="K20:K21"/>
    <mergeCell ref="B4:N4"/>
    <mergeCell ref="B6:N6"/>
    <mergeCell ref="B10:N10"/>
    <mergeCell ref="E12:K13"/>
    <mergeCell ref="B15:N15"/>
    <mergeCell ref="D19:E19"/>
    <mergeCell ref="L20:L21"/>
    <mergeCell ref="M20:M21"/>
    <mergeCell ref="B7:N7"/>
  </mergeCells>
  <hyperlinks>
    <hyperlink ref="B7" r:id="rId1" xr:uid="{00000000-0004-0000-0000-000000000000}"/>
    <hyperlink ref="B8" r:id="rId2" xr:uid="{00000000-0004-0000-0000-000001000000}"/>
    <hyperlink ref="B9" r:id="rId3" xr:uid="{00000000-0004-0000-0000-000002000000}"/>
    <hyperlink ref="B10" r:id="rId4" xr:uid="{00000000-0004-0000-0000-000003000000}"/>
  </hyperlinks>
  <pageMargins left="0.7" right="0.7" top="0.75" bottom="0.75" header="0.3" footer="0.3"/>
  <pageSetup paperSize="9" orientation="portrait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Z65"/>
  <sheetViews>
    <sheetView zoomScaleNormal="130" zoomScaleSheetLayoutView="130" workbookViewId="0">
      <selection activeCell="C22" sqref="C22"/>
    </sheetView>
  </sheetViews>
  <sheetFormatPr defaultColWidth="0" defaultRowHeight="12.75" customHeight="1" zeroHeight="1" x14ac:dyDescent="0.2"/>
  <cols>
    <col min="1" max="1" width="25.7109375" style="3" customWidth="1"/>
    <col min="2" max="2" width="14.42578125" style="3" customWidth="1"/>
    <col min="3" max="3" width="25.7109375" style="3" customWidth="1"/>
    <col min="4" max="4" width="15.42578125" style="3" customWidth="1"/>
    <col min="5" max="5" width="3.7109375" style="2" hidden="1" customWidth="1"/>
    <col min="6" max="6" width="3.7109375" style="3" hidden="1" customWidth="1"/>
    <col min="7" max="7" width="6.140625" style="3" hidden="1" customWidth="1"/>
    <col min="8" max="22" width="3.7109375" style="3" hidden="1" customWidth="1"/>
    <col min="23" max="25" width="5.7109375" style="3" hidden="1" customWidth="1"/>
    <col min="26" max="26" width="5.7109375" style="3" customWidth="1"/>
    <col min="27" max="16384" width="9.140625" style="3" hidden="1"/>
  </cols>
  <sheetData>
    <row r="1" spans="1:25" s="1" customFormat="1" ht="13.5" thickBot="1" x14ac:dyDescent="0.25">
      <c r="A1" s="9"/>
      <c r="B1" s="9"/>
      <c r="C1" s="9"/>
      <c r="D1" s="9"/>
      <c r="E1" s="1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s="1" customFormat="1" ht="21.75" customHeight="1" thickBot="1" x14ac:dyDescent="0.25">
      <c r="A2" s="250" t="str">
        <f>B25&amp;" ORDER FORM"</f>
        <v xml:space="preserve"> ORDER FORM</v>
      </c>
      <c r="B2" s="251"/>
      <c r="C2" s="252">
        <v>43906</v>
      </c>
      <c r="D2" s="253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s="1" customFormat="1" x14ac:dyDescent="0.2">
      <c r="A3" s="13"/>
      <c r="B3" s="13"/>
      <c r="C3" s="13"/>
      <c r="D3" s="13"/>
      <c r="E3" s="12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s="1" customFormat="1" ht="32.25" customHeight="1" x14ac:dyDescent="0.2">
      <c r="A4" s="14" t="s">
        <v>62</v>
      </c>
      <c r="B4" s="43"/>
      <c r="C4" s="14" t="s">
        <v>63</v>
      </c>
      <c r="D4" s="50"/>
      <c r="E4" s="15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s="1" customFormat="1" ht="13.5" thickBot="1" x14ac:dyDescent="0.25">
      <c r="A5" s="9"/>
      <c r="B5" s="9"/>
      <c r="C5" s="9"/>
      <c r="D5" s="9"/>
      <c r="E5" s="10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s="1" customFormat="1" ht="24" customHeight="1" thickBot="1" x14ac:dyDescent="0.25">
      <c r="A6" s="254" t="s">
        <v>64</v>
      </c>
      <c r="B6" s="255"/>
      <c r="C6" s="256">
        <f>SUM(GBD_Asia!I:I)</f>
        <v>0</v>
      </c>
      <c r="D6" s="257"/>
      <c r="E6" s="16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s="1" customFormat="1" ht="13.5" thickBot="1" x14ac:dyDescent="0.25">
      <c r="A7" s="9"/>
      <c r="B7" s="9"/>
      <c r="C7" s="9"/>
      <c r="D7" s="9"/>
      <c r="E7" s="10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s="1" customFormat="1" ht="13.5" thickBot="1" x14ac:dyDescent="0.25">
      <c r="A8" s="247" t="s">
        <v>65</v>
      </c>
      <c r="B8" s="248"/>
      <c r="C8" s="248"/>
      <c r="D8" s="249"/>
      <c r="E8" s="10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s="1" customFormat="1" ht="24" customHeight="1" x14ac:dyDescent="0.2">
      <c r="A9" s="235" t="s">
        <v>66</v>
      </c>
      <c r="B9" s="236"/>
      <c r="C9" s="126">
        <f>SUMIF(GBD_Asia!B:B,"BS:F",GBD_Asia!I:I)</f>
        <v>0</v>
      </c>
      <c r="D9" s="44">
        <f>IF(ISERR(C9/$C$6),0,C9/$C$6)</f>
        <v>0</v>
      </c>
      <c r="E9" s="16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s="1" customFormat="1" ht="24" customHeight="1" x14ac:dyDescent="0.2">
      <c r="A10" s="237" t="s">
        <v>67</v>
      </c>
      <c r="B10" s="238"/>
      <c r="C10" s="127">
        <f>SUMIF(GBD_Asia!B:B,"E:B200a",GBD_Asia!I:I)</f>
        <v>0</v>
      </c>
      <c r="D10" s="45">
        <f t="shared" ref="D10:D15" si="0">IF(ISERR(C10/$C$6),0,C10/$C$6)</f>
        <v>0</v>
      </c>
      <c r="E10" s="16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s="9" customFormat="1" ht="24" customHeight="1" x14ac:dyDescent="0.2">
      <c r="A11" s="237" t="s">
        <v>68</v>
      </c>
      <c r="B11" s="238"/>
      <c r="C11" s="127">
        <f>SUMIF(GBD_Asia!B:B,"E:B200b",GBD_Asia!I:I)</f>
        <v>0</v>
      </c>
      <c r="D11" s="45">
        <f t="shared" si="0"/>
        <v>0</v>
      </c>
      <c r="E11" s="16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s="9" customFormat="1" ht="24" customHeight="1" x14ac:dyDescent="0.2">
      <c r="A12" s="237" t="s">
        <v>69</v>
      </c>
      <c r="B12" s="238"/>
      <c r="C12" s="127">
        <f>SUMIF(GBD_Asia!B:B,"BS:A",GBD_Asia!I:I)</f>
        <v>0</v>
      </c>
      <c r="D12" s="45">
        <f t="shared" si="0"/>
        <v>0</v>
      </c>
      <c r="E12" s="16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 s="1" customFormat="1" ht="24" customHeight="1" x14ac:dyDescent="0.2">
      <c r="A13" s="237" t="s">
        <v>70</v>
      </c>
      <c r="B13" s="238"/>
      <c r="C13" s="127">
        <f>SUMIF(GBD_Asia!B:B,"E:P210",GBD_Asia!I:I)</f>
        <v>0</v>
      </c>
      <c r="D13" s="45">
        <f>IF(ISERR(C13/$C$6),0,C13/$C$6)</f>
        <v>0</v>
      </c>
      <c r="E13" s="16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 s="9" customFormat="1" ht="24" customHeight="1" x14ac:dyDescent="0.2">
      <c r="A14" s="237" t="s">
        <v>71</v>
      </c>
      <c r="B14" s="238"/>
      <c r="C14" s="127">
        <f>SUMIF(GBD_Asia!B:B,"E:P360",GBD_Asia!I:I)</f>
        <v>0</v>
      </c>
      <c r="D14" s="45">
        <f t="shared" si="0"/>
        <v>0</v>
      </c>
      <c r="E14" s="1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 s="1" customFormat="1" ht="24" customHeight="1" x14ac:dyDescent="0.2">
      <c r="A15" s="237" t="s">
        <v>72</v>
      </c>
      <c r="B15" s="238"/>
      <c r="C15" s="127">
        <f>SUM(C9:C14)</f>
        <v>0</v>
      </c>
      <c r="D15" s="45">
        <f t="shared" si="0"/>
        <v>0</v>
      </c>
      <c r="E15" s="16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 s="1" customFormat="1" x14ac:dyDescent="0.2">
      <c r="A16" s="51"/>
      <c r="B16" s="52"/>
      <c r="C16" s="52"/>
      <c r="D16" s="17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 s="1" customFormat="1" x14ac:dyDescent="0.2">
      <c r="A17" s="125" t="s">
        <v>73</v>
      </c>
      <c r="B17" s="52"/>
      <c r="C17" s="5"/>
      <c r="D17" s="17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 s="1" customFormat="1" ht="24" customHeight="1" x14ac:dyDescent="0.2">
      <c r="A18" s="239" t="s">
        <v>74</v>
      </c>
      <c r="B18" s="240"/>
      <c r="C18" s="241" t="s">
        <v>75</v>
      </c>
      <c r="D18" s="242"/>
      <c r="E18" s="19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 s="1" customFormat="1" ht="24" customHeight="1" x14ac:dyDescent="0.2">
      <c r="A19" s="129">
        <f>SUMIF(GBD_Asia!K:K,"Warhammer 40,000",GBD_Asia!I:I)</f>
        <v>0</v>
      </c>
      <c r="B19" s="20">
        <f>IF(ISERR(A19/$C$6),0,A19/$C$6)</f>
        <v>0</v>
      </c>
      <c r="C19" s="128">
        <f>SUMIF(GBD_Asia!K:K,"Warhammer",GBD_Asia!I:I)</f>
        <v>0</v>
      </c>
      <c r="D19" s="18">
        <f>IF(ISERR(C19/$C$6),0,C19/$C$6)</f>
        <v>0</v>
      </c>
      <c r="E19" s="16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 s="1" customFormat="1" ht="15" customHeight="1" x14ac:dyDescent="0.2">
      <c r="A20" s="21"/>
      <c r="B20" s="22"/>
      <c r="C20" s="22"/>
      <c r="D20" s="23"/>
      <c r="E20" s="24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 s="1" customFormat="1" ht="24" customHeight="1" x14ac:dyDescent="0.2">
      <c r="A21" s="243" t="s">
        <v>76</v>
      </c>
      <c r="B21" s="244"/>
      <c r="C21" s="245" t="s">
        <v>77</v>
      </c>
      <c r="D21" s="246"/>
      <c r="E21" s="2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 s="1" customFormat="1" ht="24" customHeight="1" thickBot="1" x14ac:dyDescent="0.25">
      <c r="A22" s="130">
        <f>SUMIF(GBD_Asia!K:K,"LOTR/The Hobbit",GBD_Asia!I:I)</f>
        <v>0</v>
      </c>
      <c r="B22" s="26">
        <f>IF(ISERR(A22/$C$6),0,A22/$C$6)</f>
        <v>0</v>
      </c>
      <c r="C22" s="131">
        <f>SUMIF(GBD_Asia!K:K,"Generic",GBD_Asia!I:I)</f>
        <v>0</v>
      </c>
      <c r="D22" s="27">
        <f>IF(ISERR(C22/$C$6),0,C22/$C$6)</f>
        <v>0</v>
      </c>
      <c r="E22" s="28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 s="1" customFormat="1" ht="18" customHeight="1" thickBot="1" x14ac:dyDescent="0.25">
      <c r="A23" s="29"/>
      <c r="B23" s="29" t="s">
        <v>78</v>
      </c>
      <c r="C23" s="29"/>
      <c r="D23" s="29" t="s">
        <v>79</v>
      </c>
      <c r="E23" s="24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 s="1" customFormat="1" ht="13.5" thickBot="1" x14ac:dyDescent="0.25">
      <c r="A24" s="247" t="s">
        <v>79</v>
      </c>
      <c r="B24" s="248"/>
      <c r="C24" s="248"/>
      <c r="D24" s="249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 s="1" customFormat="1" ht="15.95" customHeight="1" x14ac:dyDescent="0.2">
      <c r="A25" s="30" t="s">
        <v>80</v>
      </c>
      <c r="B25" s="31"/>
      <c r="C25" s="32" t="s">
        <v>81</v>
      </c>
      <c r="D25" s="33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 s="1" customFormat="1" ht="15.95" customHeight="1" x14ac:dyDescent="0.2">
      <c r="A26" s="30" t="s">
        <v>82</v>
      </c>
      <c r="B26" s="53" t="e">
        <f>SUM(GBD_Asia!S:S)</f>
        <v>#VALUE!</v>
      </c>
      <c r="C26" s="34"/>
      <c r="D26" s="35"/>
      <c r="E26" s="10"/>
      <c r="F26" s="11" t="s">
        <v>83</v>
      </c>
      <c r="G26" s="11"/>
      <c r="H26" s="59">
        <f>SUM(GBD_Asia!I:I)</f>
        <v>0</v>
      </c>
      <c r="I26" s="11" t="s">
        <v>84</v>
      </c>
      <c r="J26" s="11">
        <v>1.25</v>
      </c>
      <c r="K26" s="11" t="s">
        <v>85</v>
      </c>
      <c r="L26" s="11">
        <f>H26*J26</f>
        <v>0</v>
      </c>
      <c r="M26" s="11" t="s">
        <v>86</v>
      </c>
      <c r="N26" s="11">
        <v>103680</v>
      </c>
      <c r="O26" s="11" t="s">
        <v>87</v>
      </c>
      <c r="P26" s="11">
        <f>L26/N26</f>
        <v>0</v>
      </c>
      <c r="Q26" s="11" t="s">
        <v>88</v>
      </c>
      <c r="R26" s="11">
        <f>N26/5000</f>
        <v>20.736000000000001</v>
      </c>
      <c r="S26" s="11" t="s">
        <v>89</v>
      </c>
      <c r="T26" s="11">
        <f>P26*R26</f>
        <v>0</v>
      </c>
      <c r="U26" s="11"/>
      <c r="V26" s="11"/>
      <c r="W26" s="11"/>
      <c r="X26" s="11"/>
      <c r="Y26" s="11"/>
    </row>
    <row r="27" spans="1:25" s="1" customFormat="1" ht="15.95" customHeight="1" x14ac:dyDescent="0.2">
      <c r="A27" s="30" t="s">
        <v>90</v>
      </c>
      <c r="B27" s="54" t="e">
        <f>J28</f>
        <v>#VALUE!</v>
      </c>
      <c r="C27" s="46" t="s">
        <v>91</v>
      </c>
      <c r="D27" s="47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 s="1" customFormat="1" ht="15.95" customHeight="1" thickBot="1" x14ac:dyDescent="0.25">
      <c r="A28" s="36" t="s">
        <v>92</v>
      </c>
      <c r="B28" s="55" t="e">
        <f>SUM(GBD_Asia!S:S)</f>
        <v>#VALUE!</v>
      </c>
      <c r="C28" s="48" t="s">
        <v>91</v>
      </c>
      <c r="D28" s="49"/>
      <c r="E28" s="10"/>
      <c r="F28" s="11"/>
      <c r="G28" s="11"/>
      <c r="H28" s="37" t="s">
        <v>93</v>
      </c>
      <c r="I28" s="38"/>
      <c r="J28" s="11" t="e">
        <f>MAX(ROUNDUP(B26/R26,0),ROUNDUP(P26,0))</f>
        <v>#VALUE!</v>
      </c>
      <c r="K28" s="39" t="s">
        <v>94</v>
      </c>
      <c r="L28" s="10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 s="1" customFormat="1" x14ac:dyDescent="0.2">
      <c r="A29" s="9"/>
      <c r="B29" s="9"/>
      <c r="C29" s="9"/>
      <c r="D29" s="9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 s="1" customFormat="1" ht="13.5" thickBot="1" x14ac:dyDescent="0.25">
      <c r="A30" s="9"/>
      <c r="B30" s="41"/>
      <c r="C30" s="9"/>
      <c r="D30" s="41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 s="1" customFormat="1" ht="15.95" customHeight="1" thickBot="1" x14ac:dyDescent="0.25">
      <c r="A31" s="232" t="s">
        <v>95</v>
      </c>
      <c r="B31" s="233"/>
      <c r="C31" s="233"/>
      <c r="D31" s="234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 s="1" customFormat="1" ht="15.95" customHeight="1" x14ac:dyDescent="0.2">
      <c r="A32" s="57" t="s">
        <v>96</v>
      </c>
      <c r="B32" s="4">
        <f>SUMIF(GBD_Asia!P:P,A32,GBD_Asia!I:I)</f>
        <v>0</v>
      </c>
      <c r="C32" s="58" t="s">
        <v>97</v>
      </c>
      <c r="D32" s="6">
        <f>SUMIF(GBD_Asia!P:P,C32,GBD_Asia!I:I)</f>
        <v>0</v>
      </c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 s="1" customFormat="1" ht="15.95" customHeight="1" x14ac:dyDescent="0.2">
      <c r="A33" s="51" t="s">
        <v>98</v>
      </c>
      <c r="B33" s="5">
        <f>SUMIF(GBD_Asia!P:P,A33,GBD_Asia!I:I)</f>
        <v>0</v>
      </c>
      <c r="C33" s="52" t="s">
        <v>99</v>
      </c>
      <c r="D33" s="7">
        <f>SUMIF(GBD_Asia!P:P,C33,GBD_Asia!I:I)</f>
        <v>0</v>
      </c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 s="1" customFormat="1" ht="15.95" customHeight="1" x14ac:dyDescent="0.2">
      <c r="A34" s="51" t="s">
        <v>100</v>
      </c>
      <c r="B34" s="5">
        <f>SUMIF(GBD_Asia!P:P,A34,GBD_Asia!I:I)</f>
        <v>0</v>
      </c>
      <c r="C34" s="52" t="s">
        <v>101</v>
      </c>
      <c r="D34" s="7">
        <f>SUMIF(GBD_Asia!P:P,C34,GBD_Asia!I:I)</f>
        <v>0</v>
      </c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 s="1" customFormat="1" ht="15.95" customHeight="1" thickBot="1" x14ac:dyDescent="0.25">
      <c r="A35" s="56" t="s">
        <v>102</v>
      </c>
      <c r="B35" s="60">
        <f>SUMIF(GBD_Asia!P:P,A35,GBD_Asia!I:I)</f>
        <v>0</v>
      </c>
      <c r="C35" s="60"/>
      <c r="D35" s="8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s="1" customFormat="1" x14ac:dyDescent="0.2">
      <c r="A36" s="9"/>
      <c r="B36" s="9"/>
      <c r="C36" s="9"/>
      <c r="D36" s="9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25" s="1" customFormat="1" ht="3.95" customHeight="1" x14ac:dyDescent="0.2">
      <c r="A37" s="9"/>
      <c r="B37" s="9"/>
      <c r="C37" s="9"/>
      <c r="D37" s="9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</row>
    <row r="38" spans="1:25" s="1" customFormat="1" ht="3.95" customHeight="1" x14ac:dyDescent="0.2">
      <c r="A38" s="9"/>
      <c r="B38" s="9"/>
      <c r="C38" s="9"/>
      <c r="D38" s="9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spans="1:25" s="1" customFormat="1" ht="3.95" customHeight="1" x14ac:dyDescent="0.2">
      <c r="A39" s="9"/>
      <c r="B39" s="9"/>
      <c r="C39" s="9"/>
      <c r="D39" s="9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</row>
    <row r="40" spans="1:25" s="1" customFormat="1" x14ac:dyDescent="0.2">
      <c r="A40" s="40" t="s">
        <v>103</v>
      </c>
      <c r="B40" s="41"/>
      <c r="C40" s="41"/>
      <c r="D40" s="41"/>
      <c r="E40" s="42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</row>
    <row r="41" spans="1:25" s="1" customFormat="1" x14ac:dyDescent="0.2">
      <c r="A41" s="40" t="s">
        <v>104</v>
      </c>
      <c r="B41" s="41"/>
      <c r="C41" s="41"/>
      <c r="D41" s="41"/>
      <c r="E41" s="42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s="1" customFormat="1" x14ac:dyDescent="0.2">
      <c r="A42" s="40" t="s">
        <v>105</v>
      </c>
      <c r="B42" s="41"/>
      <c r="C42" s="41"/>
      <c r="D42" s="41"/>
      <c r="E42" s="42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s="1" customFormat="1" x14ac:dyDescent="0.2">
      <c r="A43" s="40" t="s">
        <v>106</v>
      </c>
      <c r="B43" s="41"/>
      <c r="C43" s="41"/>
      <c r="D43" s="41"/>
      <c r="E43" s="42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s="1" customFormat="1" x14ac:dyDescent="0.2">
      <c r="A44" s="9"/>
      <c r="B44" s="9"/>
      <c r="C44" s="9"/>
      <c r="D44" s="9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</row>
    <row r="45" spans="1:25" ht="12.75" hidden="1" customHeight="1" x14ac:dyDescent="0.2">
      <c r="A45" s="11"/>
      <c r="B45" s="11"/>
      <c r="C45" s="11"/>
      <c r="D45" s="11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</row>
    <row r="46" spans="1:25" ht="12.75" hidden="1" customHeight="1" x14ac:dyDescent="0.2">
      <c r="A46" s="11"/>
      <c r="B46" s="11"/>
      <c r="C46" s="11"/>
      <c r="D46" s="11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</row>
    <row r="47" spans="1:25" ht="12.75" hidden="1" customHeight="1" x14ac:dyDescent="0.2">
      <c r="A47" s="11"/>
      <c r="B47" s="11"/>
      <c r="C47" s="11"/>
      <c r="D47" s="11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</row>
    <row r="48" spans="1:25" ht="12.75" hidden="1" customHeight="1" x14ac:dyDescent="0.2">
      <c r="A48" s="11"/>
      <c r="B48" s="11"/>
      <c r="C48" s="11"/>
      <c r="D48" s="11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</row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customHeight="1" x14ac:dyDescent="0.2"/>
    <row r="64" ht="12.75" customHeight="1" x14ac:dyDescent="0.2"/>
    <row r="65" ht="12.75" customHeight="1" x14ac:dyDescent="0.2"/>
  </sheetData>
  <mergeCells count="18">
    <mergeCell ref="A8:D8"/>
    <mergeCell ref="A10:B10"/>
    <mergeCell ref="A12:B12"/>
    <mergeCell ref="A2:B2"/>
    <mergeCell ref="C2:D2"/>
    <mergeCell ref="A6:B6"/>
    <mergeCell ref="C6:D6"/>
    <mergeCell ref="A11:B11"/>
    <mergeCell ref="A31:D31"/>
    <mergeCell ref="A9:B9"/>
    <mergeCell ref="A13:B13"/>
    <mergeCell ref="A15:B15"/>
    <mergeCell ref="A18:B18"/>
    <mergeCell ref="C18:D18"/>
    <mergeCell ref="A21:B21"/>
    <mergeCell ref="C21:D21"/>
    <mergeCell ref="A24:D24"/>
    <mergeCell ref="A14:B14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2000"/>
  <sheetViews>
    <sheetView tabSelected="1" topLeftCell="D1" zoomScale="90" zoomScaleNormal="90" workbookViewId="0">
      <pane ySplit="1" topLeftCell="A1642" activePane="bottomLeft" state="frozen"/>
      <selection activeCell="D1" sqref="D1"/>
      <selection pane="bottomLeft" activeCell="D231" sqref="D231"/>
    </sheetView>
  </sheetViews>
  <sheetFormatPr defaultRowHeight="12.75" x14ac:dyDescent="0.2"/>
  <cols>
    <col min="1" max="1" width="14.85546875" style="118" bestFit="1" customWidth="1"/>
    <col min="2" max="2" width="7.7109375" style="114" bestFit="1" customWidth="1"/>
    <col min="3" max="3" width="9.85546875" style="114" bestFit="1" customWidth="1"/>
    <col min="4" max="4" width="14.140625" style="114" customWidth="1"/>
    <col min="5" max="5" width="48.28515625" style="114" bestFit="1" customWidth="1"/>
    <col min="6" max="6" width="4.42578125" style="114" bestFit="1" customWidth="1"/>
    <col min="7" max="7" width="13.140625" style="134" bestFit="1" customWidth="1"/>
    <col min="8" max="8" width="13.5703125" style="123" bestFit="1" customWidth="1"/>
    <col min="9" max="9" width="11.42578125" style="134" bestFit="1" customWidth="1"/>
    <col min="10" max="10" width="11.42578125" style="114" bestFit="1" customWidth="1"/>
    <col min="11" max="11" width="16.85546875" style="114" bestFit="1" customWidth="1"/>
    <col min="12" max="12" width="26.7109375" style="114" bestFit="1" customWidth="1"/>
    <col min="13" max="13" width="7.85546875" style="114" customWidth="1"/>
    <col min="14" max="14" width="6" style="114" bestFit="1" customWidth="1"/>
    <col min="15" max="15" width="15.140625" style="114" bestFit="1" customWidth="1"/>
    <col min="16" max="16" width="11.28515625" style="114" bestFit="1" customWidth="1"/>
    <col min="17" max="17" width="8.5703125" style="114" bestFit="1" customWidth="1"/>
    <col min="18" max="18" width="8.140625" style="123" bestFit="1" customWidth="1"/>
    <col min="19" max="20" width="8.140625" style="114" bestFit="1" customWidth="1"/>
    <col min="21" max="254" width="9.140625" style="114"/>
    <col min="255" max="255" width="11.140625" style="114" customWidth="1"/>
    <col min="256" max="256" width="8" style="114" customWidth="1"/>
    <col min="257" max="257" width="17" style="114" customWidth="1"/>
    <col min="258" max="258" width="0.28515625" style="114" customWidth="1"/>
    <col min="259" max="259" width="26.85546875" style="114" customWidth="1"/>
    <col min="260" max="260" width="7.85546875" style="114" customWidth="1"/>
    <col min="261" max="261" width="10.28515625" style="114" customWidth="1"/>
    <col min="262" max="262" width="14.140625" style="114" customWidth="1"/>
    <col min="263" max="263" width="49.28515625" style="114" customWidth="1"/>
    <col min="264" max="264" width="4.5703125" style="114" customWidth="1"/>
    <col min="265" max="265" width="5.42578125" style="114" customWidth="1"/>
    <col min="266" max="266" width="15" style="114" customWidth="1"/>
    <col min="267" max="267" width="10.7109375" style="114" customWidth="1"/>
    <col min="268" max="268" width="8" style="114" customWidth="1"/>
    <col min="269" max="269" width="7.140625" style="114" customWidth="1"/>
    <col min="270" max="270" width="9.140625" style="114"/>
    <col min="271" max="271" width="8.85546875" style="114" customWidth="1"/>
    <col min="272" max="272" width="7.42578125" style="114" customWidth="1"/>
    <col min="273" max="273" width="4.7109375" style="114" customWidth="1"/>
    <col min="274" max="510" width="9.140625" style="114"/>
    <col min="511" max="511" width="11.140625" style="114" customWidth="1"/>
    <col min="512" max="512" width="8" style="114" customWidth="1"/>
    <col min="513" max="513" width="17" style="114" customWidth="1"/>
    <col min="514" max="514" width="0.28515625" style="114" customWidth="1"/>
    <col min="515" max="515" width="26.85546875" style="114" customWidth="1"/>
    <col min="516" max="516" width="7.85546875" style="114" customWidth="1"/>
    <col min="517" max="517" width="10.28515625" style="114" customWidth="1"/>
    <col min="518" max="518" width="14.140625" style="114" customWidth="1"/>
    <col min="519" max="519" width="49.28515625" style="114" customWidth="1"/>
    <col min="520" max="520" width="4.5703125" style="114" customWidth="1"/>
    <col min="521" max="521" width="5.42578125" style="114" customWidth="1"/>
    <col min="522" max="522" width="15" style="114" customWidth="1"/>
    <col min="523" max="523" width="10.7109375" style="114" customWidth="1"/>
    <col min="524" max="524" width="8" style="114" customWidth="1"/>
    <col min="525" max="525" width="7.140625" style="114" customWidth="1"/>
    <col min="526" max="526" width="9.140625" style="114"/>
    <col min="527" max="527" width="8.85546875" style="114" customWidth="1"/>
    <col min="528" max="528" width="7.42578125" style="114" customWidth="1"/>
    <col min="529" max="529" width="4.7109375" style="114" customWidth="1"/>
    <col min="530" max="766" width="9.140625" style="114"/>
    <col min="767" max="767" width="11.140625" style="114" customWidth="1"/>
    <col min="768" max="768" width="8" style="114" customWidth="1"/>
    <col min="769" max="769" width="17" style="114" customWidth="1"/>
    <col min="770" max="770" width="0.28515625" style="114" customWidth="1"/>
    <col min="771" max="771" width="26.85546875" style="114" customWidth="1"/>
    <col min="772" max="772" width="7.85546875" style="114" customWidth="1"/>
    <col min="773" max="773" width="10.28515625" style="114" customWidth="1"/>
    <col min="774" max="774" width="14.140625" style="114" customWidth="1"/>
    <col min="775" max="775" width="49.28515625" style="114" customWidth="1"/>
    <col min="776" max="776" width="4.5703125" style="114" customWidth="1"/>
    <col min="777" max="777" width="5.42578125" style="114" customWidth="1"/>
    <col min="778" max="778" width="15" style="114" customWidth="1"/>
    <col min="779" max="779" width="10.7109375" style="114" customWidth="1"/>
    <col min="780" max="780" width="8" style="114" customWidth="1"/>
    <col min="781" max="781" width="7.140625" style="114" customWidth="1"/>
    <col min="782" max="782" width="9.140625" style="114"/>
    <col min="783" max="783" width="8.85546875" style="114" customWidth="1"/>
    <col min="784" max="784" width="7.42578125" style="114" customWidth="1"/>
    <col min="785" max="785" width="4.7109375" style="114" customWidth="1"/>
    <col min="786" max="1022" width="9.140625" style="114"/>
    <col min="1023" max="1023" width="11.140625" style="114" customWidth="1"/>
    <col min="1024" max="1024" width="8" style="114" customWidth="1"/>
    <col min="1025" max="1025" width="17" style="114" customWidth="1"/>
    <col min="1026" max="1026" width="0.28515625" style="114" customWidth="1"/>
    <col min="1027" max="1027" width="26.85546875" style="114" customWidth="1"/>
    <col min="1028" max="1028" width="7.85546875" style="114" customWidth="1"/>
    <col min="1029" max="1029" width="10.28515625" style="114" customWidth="1"/>
    <col min="1030" max="1030" width="14.140625" style="114" customWidth="1"/>
    <col min="1031" max="1031" width="49.28515625" style="114" customWidth="1"/>
    <col min="1032" max="1032" width="4.5703125" style="114" customWidth="1"/>
    <col min="1033" max="1033" width="5.42578125" style="114" customWidth="1"/>
    <col min="1034" max="1034" width="15" style="114" customWidth="1"/>
    <col min="1035" max="1035" width="10.7109375" style="114" customWidth="1"/>
    <col min="1036" max="1036" width="8" style="114" customWidth="1"/>
    <col min="1037" max="1037" width="7.140625" style="114" customWidth="1"/>
    <col min="1038" max="1038" width="9.140625" style="114"/>
    <col min="1039" max="1039" width="8.85546875" style="114" customWidth="1"/>
    <col min="1040" max="1040" width="7.42578125" style="114" customWidth="1"/>
    <col min="1041" max="1041" width="4.7109375" style="114" customWidth="1"/>
    <col min="1042" max="1278" width="9.140625" style="114"/>
    <col min="1279" max="1279" width="11.140625" style="114" customWidth="1"/>
    <col min="1280" max="1280" width="8" style="114" customWidth="1"/>
    <col min="1281" max="1281" width="17" style="114" customWidth="1"/>
    <col min="1282" max="1282" width="0.28515625" style="114" customWidth="1"/>
    <col min="1283" max="1283" width="26.85546875" style="114" customWidth="1"/>
    <col min="1284" max="1284" width="7.85546875" style="114" customWidth="1"/>
    <col min="1285" max="1285" width="10.28515625" style="114" customWidth="1"/>
    <col min="1286" max="1286" width="14.140625" style="114" customWidth="1"/>
    <col min="1287" max="1287" width="49.28515625" style="114" customWidth="1"/>
    <col min="1288" max="1288" width="4.5703125" style="114" customWidth="1"/>
    <col min="1289" max="1289" width="5.42578125" style="114" customWidth="1"/>
    <col min="1290" max="1290" width="15" style="114" customWidth="1"/>
    <col min="1291" max="1291" width="10.7109375" style="114" customWidth="1"/>
    <col min="1292" max="1292" width="8" style="114" customWidth="1"/>
    <col min="1293" max="1293" width="7.140625" style="114" customWidth="1"/>
    <col min="1294" max="1294" width="9.140625" style="114"/>
    <col min="1295" max="1295" width="8.85546875" style="114" customWidth="1"/>
    <col min="1296" max="1296" width="7.42578125" style="114" customWidth="1"/>
    <col min="1297" max="1297" width="4.7109375" style="114" customWidth="1"/>
    <col min="1298" max="1534" width="9.140625" style="114"/>
    <col min="1535" max="1535" width="11.140625" style="114" customWidth="1"/>
    <col min="1536" max="1536" width="8" style="114" customWidth="1"/>
    <col min="1537" max="1537" width="17" style="114" customWidth="1"/>
    <col min="1538" max="1538" width="0.28515625" style="114" customWidth="1"/>
    <col min="1539" max="1539" width="26.85546875" style="114" customWidth="1"/>
    <col min="1540" max="1540" width="7.85546875" style="114" customWidth="1"/>
    <col min="1541" max="1541" width="10.28515625" style="114" customWidth="1"/>
    <col min="1542" max="1542" width="14.140625" style="114" customWidth="1"/>
    <col min="1543" max="1543" width="49.28515625" style="114" customWidth="1"/>
    <col min="1544" max="1544" width="4.5703125" style="114" customWidth="1"/>
    <col min="1545" max="1545" width="5.42578125" style="114" customWidth="1"/>
    <col min="1546" max="1546" width="15" style="114" customWidth="1"/>
    <col min="1547" max="1547" width="10.7109375" style="114" customWidth="1"/>
    <col min="1548" max="1548" width="8" style="114" customWidth="1"/>
    <col min="1549" max="1549" width="7.140625" style="114" customWidth="1"/>
    <col min="1550" max="1550" width="9.140625" style="114"/>
    <col min="1551" max="1551" width="8.85546875" style="114" customWidth="1"/>
    <col min="1552" max="1552" width="7.42578125" style="114" customWidth="1"/>
    <col min="1553" max="1553" width="4.7109375" style="114" customWidth="1"/>
    <col min="1554" max="1790" width="9.140625" style="114"/>
    <col min="1791" max="1791" width="11.140625" style="114" customWidth="1"/>
    <col min="1792" max="1792" width="8" style="114" customWidth="1"/>
    <col min="1793" max="1793" width="17" style="114" customWidth="1"/>
    <col min="1794" max="1794" width="0.28515625" style="114" customWidth="1"/>
    <col min="1795" max="1795" width="26.85546875" style="114" customWidth="1"/>
    <col min="1796" max="1796" width="7.85546875" style="114" customWidth="1"/>
    <col min="1797" max="1797" width="10.28515625" style="114" customWidth="1"/>
    <col min="1798" max="1798" width="14.140625" style="114" customWidth="1"/>
    <col min="1799" max="1799" width="49.28515625" style="114" customWidth="1"/>
    <col min="1800" max="1800" width="4.5703125" style="114" customWidth="1"/>
    <col min="1801" max="1801" width="5.42578125" style="114" customWidth="1"/>
    <col min="1802" max="1802" width="15" style="114" customWidth="1"/>
    <col min="1803" max="1803" width="10.7109375" style="114" customWidth="1"/>
    <col min="1804" max="1804" width="8" style="114" customWidth="1"/>
    <col min="1805" max="1805" width="7.140625" style="114" customWidth="1"/>
    <col min="1806" max="1806" width="9.140625" style="114"/>
    <col min="1807" max="1807" width="8.85546875" style="114" customWidth="1"/>
    <col min="1808" max="1808" width="7.42578125" style="114" customWidth="1"/>
    <col min="1809" max="1809" width="4.7109375" style="114" customWidth="1"/>
    <col min="1810" max="2046" width="9.140625" style="114"/>
    <col min="2047" max="2047" width="11.140625" style="114" customWidth="1"/>
    <col min="2048" max="2048" width="8" style="114" customWidth="1"/>
    <col min="2049" max="2049" width="17" style="114" customWidth="1"/>
    <col min="2050" max="2050" width="0.28515625" style="114" customWidth="1"/>
    <col min="2051" max="2051" width="26.85546875" style="114" customWidth="1"/>
    <col min="2052" max="2052" width="7.85546875" style="114" customWidth="1"/>
    <col min="2053" max="2053" width="10.28515625" style="114" customWidth="1"/>
    <col min="2054" max="2054" width="14.140625" style="114" customWidth="1"/>
    <col min="2055" max="2055" width="49.28515625" style="114" customWidth="1"/>
    <col min="2056" max="2056" width="4.5703125" style="114" customWidth="1"/>
    <col min="2057" max="2057" width="5.42578125" style="114" customWidth="1"/>
    <col min="2058" max="2058" width="15" style="114" customWidth="1"/>
    <col min="2059" max="2059" width="10.7109375" style="114" customWidth="1"/>
    <col min="2060" max="2060" width="8" style="114" customWidth="1"/>
    <col min="2061" max="2061" width="7.140625" style="114" customWidth="1"/>
    <col min="2062" max="2062" width="9.140625" style="114"/>
    <col min="2063" max="2063" width="8.85546875" style="114" customWidth="1"/>
    <col min="2064" max="2064" width="7.42578125" style="114" customWidth="1"/>
    <col min="2065" max="2065" width="4.7109375" style="114" customWidth="1"/>
    <col min="2066" max="2302" width="9.140625" style="114"/>
    <col min="2303" max="2303" width="11.140625" style="114" customWidth="1"/>
    <col min="2304" max="2304" width="8" style="114" customWidth="1"/>
    <col min="2305" max="2305" width="17" style="114" customWidth="1"/>
    <col min="2306" max="2306" width="0.28515625" style="114" customWidth="1"/>
    <col min="2307" max="2307" width="26.85546875" style="114" customWidth="1"/>
    <col min="2308" max="2308" width="7.85546875" style="114" customWidth="1"/>
    <col min="2309" max="2309" width="10.28515625" style="114" customWidth="1"/>
    <col min="2310" max="2310" width="14.140625" style="114" customWidth="1"/>
    <col min="2311" max="2311" width="49.28515625" style="114" customWidth="1"/>
    <col min="2312" max="2312" width="4.5703125" style="114" customWidth="1"/>
    <col min="2313" max="2313" width="5.42578125" style="114" customWidth="1"/>
    <col min="2314" max="2314" width="15" style="114" customWidth="1"/>
    <col min="2315" max="2315" width="10.7109375" style="114" customWidth="1"/>
    <col min="2316" max="2316" width="8" style="114" customWidth="1"/>
    <col min="2317" max="2317" width="7.140625" style="114" customWidth="1"/>
    <col min="2318" max="2318" width="9.140625" style="114"/>
    <col min="2319" max="2319" width="8.85546875" style="114" customWidth="1"/>
    <col min="2320" max="2320" width="7.42578125" style="114" customWidth="1"/>
    <col min="2321" max="2321" width="4.7109375" style="114" customWidth="1"/>
    <col min="2322" max="2558" width="9.140625" style="114"/>
    <col min="2559" max="2559" width="11.140625" style="114" customWidth="1"/>
    <col min="2560" max="2560" width="8" style="114" customWidth="1"/>
    <col min="2561" max="2561" width="17" style="114" customWidth="1"/>
    <col min="2562" max="2562" width="0.28515625" style="114" customWidth="1"/>
    <col min="2563" max="2563" width="26.85546875" style="114" customWidth="1"/>
    <col min="2564" max="2564" width="7.85546875" style="114" customWidth="1"/>
    <col min="2565" max="2565" width="10.28515625" style="114" customWidth="1"/>
    <col min="2566" max="2566" width="14.140625" style="114" customWidth="1"/>
    <col min="2567" max="2567" width="49.28515625" style="114" customWidth="1"/>
    <col min="2568" max="2568" width="4.5703125" style="114" customWidth="1"/>
    <col min="2569" max="2569" width="5.42578125" style="114" customWidth="1"/>
    <col min="2570" max="2570" width="15" style="114" customWidth="1"/>
    <col min="2571" max="2571" width="10.7109375" style="114" customWidth="1"/>
    <col min="2572" max="2572" width="8" style="114" customWidth="1"/>
    <col min="2573" max="2573" width="7.140625" style="114" customWidth="1"/>
    <col min="2574" max="2574" width="9.140625" style="114"/>
    <col min="2575" max="2575" width="8.85546875" style="114" customWidth="1"/>
    <col min="2576" max="2576" width="7.42578125" style="114" customWidth="1"/>
    <col min="2577" max="2577" width="4.7109375" style="114" customWidth="1"/>
    <col min="2578" max="2814" width="9.140625" style="114"/>
    <col min="2815" max="2815" width="11.140625" style="114" customWidth="1"/>
    <col min="2816" max="2816" width="8" style="114" customWidth="1"/>
    <col min="2817" max="2817" width="17" style="114" customWidth="1"/>
    <col min="2818" max="2818" width="0.28515625" style="114" customWidth="1"/>
    <col min="2819" max="2819" width="26.85546875" style="114" customWidth="1"/>
    <col min="2820" max="2820" width="7.85546875" style="114" customWidth="1"/>
    <col min="2821" max="2821" width="10.28515625" style="114" customWidth="1"/>
    <col min="2822" max="2822" width="14.140625" style="114" customWidth="1"/>
    <col min="2823" max="2823" width="49.28515625" style="114" customWidth="1"/>
    <col min="2824" max="2824" width="4.5703125" style="114" customWidth="1"/>
    <col min="2825" max="2825" width="5.42578125" style="114" customWidth="1"/>
    <col min="2826" max="2826" width="15" style="114" customWidth="1"/>
    <col min="2827" max="2827" width="10.7109375" style="114" customWidth="1"/>
    <col min="2828" max="2828" width="8" style="114" customWidth="1"/>
    <col min="2829" max="2829" width="7.140625" style="114" customWidth="1"/>
    <col min="2830" max="2830" width="9.140625" style="114"/>
    <col min="2831" max="2831" width="8.85546875" style="114" customWidth="1"/>
    <col min="2832" max="2832" width="7.42578125" style="114" customWidth="1"/>
    <col min="2833" max="2833" width="4.7109375" style="114" customWidth="1"/>
    <col min="2834" max="3070" width="9.140625" style="114"/>
    <col min="3071" max="3071" width="11.140625" style="114" customWidth="1"/>
    <col min="3072" max="3072" width="8" style="114" customWidth="1"/>
    <col min="3073" max="3073" width="17" style="114" customWidth="1"/>
    <col min="3074" max="3074" width="0.28515625" style="114" customWidth="1"/>
    <col min="3075" max="3075" width="26.85546875" style="114" customWidth="1"/>
    <col min="3076" max="3076" width="7.85546875" style="114" customWidth="1"/>
    <col min="3077" max="3077" width="10.28515625" style="114" customWidth="1"/>
    <col min="3078" max="3078" width="14.140625" style="114" customWidth="1"/>
    <col min="3079" max="3079" width="49.28515625" style="114" customWidth="1"/>
    <col min="3080" max="3080" width="4.5703125" style="114" customWidth="1"/>
    <col min="3081" max="3081" width="5.42578125" style="114" customWidth="1"/>
    <col min="3082" max="3082" width="15" style="114" customWidth="1"/>
    <col min="3083" max="3083" width="10.7109375" style="114" customWidth="1"/>
    <col min="3084" max="3084" width="8" style="114" customWidth="1"/>
    <col min="3085" max="3085" width="7.140625" style="114" customWidth="1"/>
    <col min="3086" max="3086" width="9.140625" style="114"/>
    <col min="3087" max="3087" width="8.85546875" style="114" customWidth="1"/>
    <col min="3088" max="3088" width="7.42578125" style="114" customWidth="1"/>
    <col min="3089" max="3089" width="4.7109375" style="114" customWidth="1"/>
    <col min="3090" max="3326" width="9.140625" style="114"/>
    <col min="3327" max="3327" width="11.140625" style="114" customWidth="1"/>
    <col min="3328" max="3328" width="8" style="114" customWidth="1"/>
    <col min="3329" max="3329" width="17" style="114" customWidth="1"/>
    <col min="3330" max="3330" width="0.28515625" style="114" customWidth="1"/>
    <col min="3331" max="3331" width="26.85546875" style="114" customWidth="1"/>
    <col min="3332" max="3332" width="7.85546875" style="114" customWidth="1"/>
    <col min="3333" max="3333" width="10.28515625" style="114" customWidth="1"/>
    <col min="3334" max="3334" width="14.140625" style="114" customWidth="1"/>
    <col min="3335" max="3335" width="49.28515625" style="114" customWidth="1"/>
    <col min="3336" max="3336" width="4.5703125" style="114" customWidth="1"/>
    <col min="3337" max="3337" width="5.42578125" style="114" customWidth="1"/>
    <col min="3338" max="3338" width="15" style="114" customWidth="1"/>
    <col min="3339" max="3339" width="10.7109375" style="114" customWidth="1"/>
    <col min="3340" max="3340" width="8" style="114" customWidth="1"/>
    <col min="3341" max="3341" width="7.140625" style="114" customWidth="1"/>
    <col min="3342" max="3342" width="9.140625" style="114"/>
    <col min="3343" max="3343" width="8.85546875" style="114" customWidth="1"/>
    <col min="3344" max="3344" width="7.42578125" style="114" customWidth="1"/>
    <col min="3345" max="3345" width="4.7109375" style="114" customWidth="1"/>
    <col min="3346" max="3582" width="9.140625" style="114"/>
    <col min="3583" max="3583" width="11.140625" style="114" customWidth="1"/>
    <col min="3584" max="3584" width="8" style="114" customWidth="1"/>
    <col min="3585" max="3585" width="17" style="114" customWidth="1"/>
    <col min="3586" max="3586" width="0.28515625" style="114" customWidth="1"/>
    <col min="3587" max="3587" width="26.85546875" style="114" customWidth="1"/>
    <col min="3588" max="3588" width="7.85546875" style="114" customWidth="1"/>
    <col min="3589" max="3589" width="10.28515625" style="114" customWidth="1"/>
    <col min="3590" max="3590" width="14.140625" style="114" customWidth="1"/>
    <col min="3591" max="3591" width="49.28515625" style="114" customWidth="1"/>
    <col min="3592" max="3592" width="4.5703125" style="114" customWidth="1"/>
    <col min="3593" max="3593" width="5.42578125" style="114" customWidth="1"/>
    <col min="3594" max="3594" width="15" style="114" customWidth="1"/>
    <col min="3595" max="3595" width="10.7109375" style="114" customWidth="1"/>
    <col min="3596" max="3596" width="8" style="114" customWidth="1"/>
    <col min="3597" max="3597" width="7.140625" style="114" customWidth="1"/>
    <col min="3598" max="3598" width="9.140625" style="114"/>
    <col min="3599" max="3599" width="8.85546875" style="114" customWidth="1"/>
    <col min="3600" max="3600" width="7.42578125" style="114" customWidth="1"/>
    <col min="3601" max="3601" width="4.7109375" style="114" customWidth="1"/>
    <col min="3602" max="3838" width="9.140625" style="114"/>
    <col min="3839" max="3839" width="11.140625" style="114" customWidth="1"/>
    <col min="3840" max="3840" width="8" style="114" customWidth="1"/>
    <col min="3841" max="3841" width="17" style="114" customWidth="1"/>
    <col min="3842" max="3842" width="0.28515625" style="114" customWidth="1"/>
    <col min="3843" max="3843" width="26.85546875" style="114" customWidth="1"/>
    <col min="3844" max="3844" width="7.85546875" style="114" customWidth="1"/>
    <col min="3845" max="3845" width="10.28515625" style="114" customWidth="1"/>
    <col min="3846" max="3846" width="14.140625" style="114" customWidth="1"/>
    <col min="3847" max="3847" width="49.28515625" style="114" customWidth="1"/>
    <col min="3848" max="3848" width="4.5703125" style="114" customWidth="1"/>
    <col min="3849" max="3849" width="5.42578125" style="114" customWidth="1"/>
    <col min="3850" max="3850" width="15" style="114" customWidth="1"/>
    <col min="3851" max="3851" width="10.7109375" style="114" customWidth="1"/>
    <col min="3852" max="3852" width="8" style="114" customWidth="1"/>
    <col min="3853" max="3853" width="7.140625" style="114" customWidth="1"/>
    <col min="3854" max="3854" width="9.140625" style="114"/>
    <col min="3855" max="3855" width="8.85546875" style="114" customWidth="1"/>
    <col min="3856" max="3856" width="7.42578125" style="114" customWidth="1"/>
    <col min="3857" max="3857" width="4.7109375" style="114" customWidth="1"/>
    <col min="3858" max="4094" width="9.140625" style="114"/>
    <col min="4095" max="4095" width="11.140625" style="114" customWidth="1"/>
    <col min="4096" max="4096" width="8" style="114" customWidth="1"/>
    <col min="4097" max="4097" width="17" style="114" customWidth="1"/>
    <col min="4098" max="4098" width="0.28515625" style="114" customWidth="1"/>
    <col min="4099" max="4099" width="26.85546875" style="114" customWidth="1"/>
    <col min="4100" max="4100" width="7.85546875" style="114" customWidth="1"/>
    <col min="4101" max="4101" width="10.28515625" style="114" customWidth="1"/>
    <col min="4102" max="4102" width="14.140625" style="114" customWidth="1"/>
    <col min="4103" max="4103" width="49.28515625" style="114" customWidth="1"/>
    <col min="4104" max="4104" width="4.5703125" style="114" customWidth="1"/>
    <col min="4105" max="4105" width="5.42578125" style="114" customWidth="1"/>
    <col min="4106" max="4106" width="15" style="114" customWidth="1"/>
    <col min="4107" max="4107" width="10.7109375" style="114" customWidth="1"/>
    <col min="4108" max="4108" width="8" style="114" customWidth="1"/>
    <col min="4109" max="4109" width="7.140625" style="114" customWidth="1"/>
    <col min="4110" max="4110" width="9.140625" style="114"/>
    <col min="4111" max="4111" width="8.85546875" style="114" customWidth="1"/>
    <col min="4112" max="4112" width="7.42578125" style="114" customWidth="1"/>
    <col min="4113" max="4113" width="4.7109375" style="114" customWidth="1"/>
    <col min="4114" max="4350" width="9.140625" style="114"/>
    <col min="4351" max="4351" width="11.140625" style="114" customWidth="1"/>
    <col min="4352" max="4352" width="8" style="114" customWidth="1"/>
    <col min="4353" max="4353" width="17" style="114" customWidth="1"/>
    <col min="4354" max="4354" width="0.28515625" style="114" customWidth="1"/>
    <col min="4355" max="4355" width="26.85546875" style="114" customWidth="1"/>
    <col min="4356" max="4356" width="7.85546875" style="114" customWidth="1"/>
    <col min="4357" max="4357" width="10.28515625" style="114" customWidth="1"/>
    <col min="4358" max="4358" width="14.140625" style="114" customWidth="1"/>
    <col min="4359" max="4359" width="49.28515625" style="114" customWidth="1"/>
    <col min="4360" max="4360" width="4.5703125" style="114" customWidth="1"/>
    <col min="4361" max="4361" width="5.42578125" style="114" customWidth="1"/>
    <col min="4362" max="4362" width="15" style="114" customWidth="1"/>
    <col min="4363" max="4363" width="10.7109375" style="114" customWidth="1"/>
    <col min="4364" max="4364" width="8" style="114" customWidth="1"/>
    <col min="4365" max="4365" width="7.140625" style="114" customWidth="1"/>
    <col min="4366" max="4366" width="9.140625" style="114"/>
    <col min="4367" max="4367" width="8.85546875" style="114" customWidth="1"/>
    <col min="4368" max="4368" width="7.42578125" style="114" customWidth="1"/>
    <col min="4369" max="4369" width="4.7109375" style="114" customWidth="1"/>
    <col min="4370" max="4606" width="9.140625" style="114"/>
    <col min="4607" max="4607" width="11.140625" style="114" customWidth="1"/>
    <col min="4608" max="4608" width="8" style="114" customWidth="1"/>
    <col min="4609" max="4609" width="17" style="114" customWidth="1"/>
    <col min="4610" max="4610" width="0.28515625" style="114" customWidth="1"/>
    <col min="4611" max="4611" width="26.85546875" style="114" customWidth="1"/>
    <col min="4612" max="4612" width="7.85546875" style="114" customWidth="1"/>
    <col min="4613" max="4613" width="10.28515625" style="114" customWidth="1"/>
    <col min="4614" max="4614" width="14.140625" style="114" customWidth="1"/>
    <col min="4615" max="4615" width="49.28515625" style="114" customWidth="1"/>
    <col min="4616" max="4616" width="4.5703125" style="114" customWidth="1"/>
    <col min="4617" max="4617" width="5.42578125" style="114" customWidth="1"/>
    <col min="4618" max="4618" width="15" style="114" customWidth="1"/>
    <col min="4619" max="4619" width="10.7109375" style="114" customWidth="1"/>
    <col min="4620" max="4620" width="8" style="114" customWidth="1"/>
    <col min="4621" max="4621" width="7.140625" style="114" customWidth="1"/>
    <col min="4622" max="4622" width="9.140625" style="114"/>
    <col min="4623" max="4623" width="8.85546875" style="114" customWidth="1"/>
    <col min="4624" max="4624" width="7.42578125" style="114" customWidth="1"/>
    <col min="4625" max="4625" width="4.7109375" style="114" customWidth="1"/>
    <col min="4626" max="4862" width="9.140625" style="114"/>
    <col min="4863" max="4863" width="11.140625" style="114" customWidth="1"/>
    <col min="4864" max="4864" width="8" style="114" customWidth="1"/>
    <col min="4865" max="4865" width="17" style="114" customWidth="1"/>
    <col min="4866" max="4866" width="0.28515625" style="114" customWidth="1"/>
    <col min="4867" max="4867" width="26.85546875" style="114" customWidth="1"/>
    <col min="4868" max="4868" width="7.85546875" style="114" customWidth="1"/>
    <col min="4869" max="4869" width="10.28515625" style="114" customWidth="1"/>
    <col min="4870" max="4870" width="14.140625" style="114" customWidth="1"/>
    <col min="4871" max="4871" width="49.28515625" style="114" customWidth="1"/>
    <col min="4872" max="4872" width="4.5703125" style="114" customWidth="1"/>
    <col min="4873" max="4873" width="5.42578125" style="114" customWidth="1"/>
    <col min="4874" max="4874" width="15" style="114" customWidth="1"/>
    <col min="4875" max="4875" width="10.7109375" style="114" customWidth="1"/>
    <col min="4876" max="4876" width="8" style="114" customWidth="1"/>
    <col min="4877" max="4877" width="7.140625" style="114" customWidth="1"/>
    <col min="4878" max="4878" width="9.140625" style="114"/>
    <col min="4879" max="4879" width="8.85546875" style="114" customWidth="1"/>
    <col min="4880" max="4880" width="7.42578125" style="114" customWidth="1"/>
    <col min="4881" max="4881" width="4.7109375" style="114" customWidth="1"/>
    <col min="4882" max="5118" width="9.140625" style="114"/>
    <col min="5119" max="5119" width="11.140625" style="114" customWidth="1"/>
    <col min="5120" max="5120" width="8" style="114" customWidth="1"/>
    <col min="5121" max="5121" width="17" style="114" customWidth="1"/>
    <col min="5122" max="5122" width="0.28515625" style="114" customWidth="1"/>
    <col min="5123" max="5123" width="26.85546875" style="114" customWidth="1"/>
    <col min="5124" max="5124" width="7.85546875" style="114" customWidth="1"/>
    <col min="5125" max="5125" width="10.28515625" style="114" customWidth="1"/>
    <col min="5126" max="5126" width="14.140625" style="114" customWidth="1"/>
    <col min="5127" max="5127" width="49.28515625" style="114" customWidth="1"/>
    <col min="5128" max="5128" width="4.5703125" style="114" customWidth="1"/>
    <col min="5129" max="5129" width="5.42578125" style="114" customWidth="1"/>
    <col min="5130" max="5130" width="15" style="114" customWidth="1"/>
    <col min="5131" max="5131" width="10.7109375" style="114" customWidth="1"/>
    <col min="5132" max="5132" width="8" style="114" customWidth="1"/>
    <col min="5133" max="5133" width="7.140625" style="114" customWidth="1"/>
    <col min="5134" max="5134" width="9.140625" style="114"/>
    <col min="5135" max="5135" width="8.85546875" style="114" customWidth="1"/>
    <col min="5136" max="5136" width="7.42578125" style="114" customWidth="1"/>
    <col min="5137" max="5137" width="4.7109375" style="114" customWidth="1"/>
    <col min="5138" max="5374" width="9.140625" style="114"/>
    <col min="5375" max="5375" width="11.140625" style="114" customWidth="1"/>
    <col min="5376" max="5376" width="8" style="114" customWidth="1"/>
    <col min="5377" max="5377" width="17" style="114" customWidth="1"/>
    <col min="5378" max="5378" width="0.28515625" style="114" customWidth="1"/>
    <col min="5379" max="5379" width="26.85546875" style="114" customWidth="1"/>
    <col min="5380" max="5380" width="7.85546875" style="114" customWidth="1"/>
    <col min="5381" max="5381" width="10.28515625" style="114" customWidth="1"/>
    <col min="5382" max="5382" width="14.140625" style="114" customWidth="1"/>
    <col min="5383" max="5383" width="49.28515625" style="114" customWidth="1"/>
    <col min="5384" max="5384" width="4.5703125" style="114" customWidth="1"/>
    <col min="5385" max="5385" width="5.42578125" style="114" customWidth="1"/>
    <col min="5386" max="5386" width="15" style="114" customWidth="1"/>
    <col min="5387" max="5387" width="10.7109375" style="114" customWidth="1"/>
    <col min="5388" max="5388" width="8" style="114" customWidth="1"/>
    <col min="5389" max="5389" width="7.140625" style="114" customWidth="1"/>
    <col min="5390" max="5390" width="9.140625" style="114"/>
    <col min="5391" max="5391" width="8.85546875" style="114" customWidth="1"/>
    <col min="5392" max="5392" width="7.42578125" style="114" customWidth="1"/>
    <col min="5393" max="5393" width="4.7109375" style="114" customWidth="1"/>
    <col min="5394" max="5630" width="9.140625" style="114"/>
    <col min="5631" max="5631" width="11.140625" style="114" customWidth="1"/>
    <col min="5632" max="5632" width="8" style="114" customWidth="1"/>
    <col min="5633" max="5633" width="17" style="114" customWidth="1"/>
    <col min="5634" max="5634" width="0.28515625" style="114" customWidth="1"/>
    <col min="5635" max="5635" width="26.85546875" style="114" customWidth="1"/>
    <col min="5636" max="5636" width="7.85546875" style="114" customWidth="1"/>
    <col min="5637" max="5637" width="10.28515625" style="114" customWidth="1"/>
    <col min="5638" max="5638" width="14.140625" style="114" customWidth="1"/>
    <col min="5639" max="5639" width="49.28515625" style="114" customWidth="1"/>
    <col min="5640" max="5640" width="4.5703125" style="114" customWidth="1"/>
    <col min="5641" max="5641" width="5.42578125" style="114" customWidth="1"/>
    <col min="5642" max="5642" width="15" style="114" customWidth="1"/>
    <col min="5643" max="5643" width="10.7109375" style="114" customWidth="1"/>
    <col min="5644" max="5644" width="8" style="114" customWidth="1"/>
    <col min="5645" max="5645" width="7.140625" style="114" customWidth="1"/>
    <col min="5646" max="5646" width="9.140625" style="114"/>
    <col min="5647" max="5647" width="8.85546875" style="114" customWidth="1"/>
    <col min="5648" max="5648" width="7.42578125" style="114" customWidth="1"/>
    <col min="5649" max="5649" width="4.7109375" style="114" customWidth="1"/>
    <col min="5650" max="5886" width="9.140625" style="114"/>
    <col min="5887" max="5887" width="11.140625" style="114" customWidth="1"/>
    <col min="5888" max="5888" width="8" style="114" customWidth="1"/>
    <col min="5889" max="5889" width="17" style="114" customWidth="1"/>
    <col min="5890" max="5890" width="0.28515625" style="114" customWidth="1"/>
    <col min="5891" max="5891" width="26.85546875" style="114" customWidth="1"/>
    <col min="5892" max="5892" width="7.85546875" style="114" customWidth="1"/>
    <col min="5893" max="5893" width="10.28515625" style="114" customWidth="1"/>
    <col min="5894" max="5894" width="14.140625" style="114" customWidth="1"/>
    <col min="5895" max="5895" width="49.28515625" style="114" customWidth="1"/>
    <col min="5896" max="5896" width="4.5703125" style="114" customWidth="1"/>
    <col min="5897" max="5897" width="5.42578125" style="114" customWidth="1"/>
    <col min="5898" max="5898" width="15" style="114" customWidth="1"/>
    <col min="5899" max="5899" width="10.7109375" style="114" customWidth="1"/>
    <col min="5900" max="5900" width="8" style="114" customWidth="1"/>
    <col min="5901" max="5901" width="7.140625" style="114" customWidth="1"/>
    <col min="5902" max="5902" width="9.140625" style="114"/>
    <col min="5903" max="5903" width="8.85546875" style="114" customWidth="1"/>
    <col min="5904" max="5904" width="7.42578125" style="114" customWidth="1"/>
    <col min="5905" max="5905" width="4.7109375" style="114" customWidth="1"/>
    <col min="5906" max="6142" width="9.140625" style="114"/>
    <col min="6143" max="6143" width="11.140625" style="114" customWidth="1"/>
    <col min="6144" max="6144" width="8" style="114" customWidth="1"/>
    <col min="6145" max="6145" width="17" style="114" customWidth="1"/>
    <col min="6146" max="6146" width="0.28515625" style="114" customWidth="1"/>
    <col min="6147" max="6147" width="26.85546875" style="114" customWidth="1"/>
    <col min="6148" max="6148" width="7.85546875" style="114" customWidth="1"/>
    <col min="6149" max="6149" width="10.28515625" style="114" customWidth="1"/>
    <col min="6150" max="6150" width="14.140625" style="114" customWidth="1"/>
    <col min="6151" max="6151" width="49.28515625" style="114" customWidth="1"/>
    <col min="6152" max="6152" width="4.5703125" style="114" customWidth="1"/>
    <col min="6153" max="6153" width="5.42578125" style="114" customWidth="1"/>
    <col min="6154" max="6154" width="15" style="114" customWidth="1"/>
    <col min="6155" max="6155" width="10.7109375" style="114" customWidth="1"/>
    <col min="6156" max="6156" width="8" style="114" customWidth="1"/>
    <col min="6157" max="6157" width="7.140625" style="114" customWidth="1"/>
    <col min="6158" max="6158" width="9.140625" style="114"/>
    <col min="6159" max="6159" width="8.85546875" style="114" customWidth="1"/>
    <col min="6160" max="6160" width="7.42578125" style="114" customWidth="1"/>
    <col min="6161" max="6161" width="4.7109375" style="114" customWidth="1"/>
    <col min="6162" max="6398" width="9.140625" style="114"/>
    <col min="6399" max="6399" width="11.140625" style="114" customWidth="1"/>
    <col min="6400" max="6400" width="8" style="114" customWidth="1"/>
    <col min="6401" max="6401" width="17" style="114" customWidth="1"/>
    <col min="6402" max="6402" width="0.28515625" style="114" customWidth="1"/>
    <col min="6403" max="6403" width="26.85546875" style="114" customWidth="1"/>
    <col min="6404" max="6404" width="7.85546875" style="114" customWidth="1"/>
    <col min="6405" max="6405" width="10.28515625" style="114" customWidth="1"/>
    <col min="6406" max="6406" width="14.140625" style="114" customWidth="1"/>
    <col min="6407" max="6407" width="49.28515625" style="114" customWidth="1"/>
    <col min="6408" max="6408" width="4.5703125" style="114" customWidth="1"/>
    <col min="6409" max="6409" width="5.42578125" style="114" customWidth="1"/>
    <col min="6410" max="6410" width="15" style="114" customWidth="1"/>
    <col min="6411" max="6411" width="10.7109375" style="114" customWidth="1"/>
    <col min="6412" max="6412" width="8" style="114" customWidth="1"/>
    <col min="6413" max="6413" width="7.140625" style="114" customWidth="1"/>
    <col min="6414" max="6414" width="9.140625" style="114"/>
    <col min="6415" max="6415" width="8.85546875" style="114" customWidth="1"/>
    <col min="6416" max="6416" width="7.42578125" style="114" customWidth="1"/>
    <col min="6417" max="6417" width="4.7109375" style="114" customWidth="1"/>
    <col min="6418" max="6654" width="9.140625" style="114"/>
    <col min="6655" max="6655" width="11.140625" style="114" customWidth="1"/>
    <col min="6656" max="6656" width="8" style="114" customWidth="1"/>
    <col min="6657" max="6657" width="17" style="114" customWidth="1"/>
    <col min="6658" max="6658" width="0.28515625" style="114" customWidth="1"/>
    <col min="6659" max="6659" width="26.85546875" style="114" customWidth="1"/>
    <col min="6660" max="6660" width="7.85546875" style="114" customWidth="1"/>
    <col min="6661" max="6661" width="10.28515625" style="114" customWidth="1"/>
    <col min="6662" max="6662" width="14.140625" style="114" customWidth="1"/>
    <col min="6663" max="6663" width="49.28515625" style="114" customWidth="1"/>
    <col min="6664" max="6664" width="4.5703125" style="114" customWidth="1"/>
    <col min="6665" max="6665" width="5.42578125" style="114" customWidth="1"/>
    <col min="6666" max="6666" width="15" style="114" customWidth="1"/>
    <col min="6667" max="6667" width="10.7109375" style="114" customWidth="1"/>
    <col min="6668" max="6668" width="8" style="114" customWidth="1"/>
    <col min="6669" max="6669" width="7.140625" style="114" customWidth="1"/>
    <col min="6670" max="6670" width="9.140625" style="114"/>
    <col min="6671" max="6671" width="8.85546875" style="114" customWidth="1"/>
    <col min="6672" max="6672" width="7.42578125" style="114" customWidth="1"/>
    <col min="6673" max="6673" width="4.7109375" style="114" customWidth="1"/>
    <col min="6674" max="6910" width="9.140625" style="114"/>
    <col min="6911" max="6911" width="11.140625" style="114" customWidth="1"/>
    <col min="6912" max="6912" width="8" style="114" customWidth="1"/>
    <col min="6913" max="6913" width="17" style="114" customWidth="1"/>
    <col min="6914" max="6914" width="0.28515625" style="114" customWidth="1"/>
    <col min="6915" max="6915" width="26.85546875" style="114" customWidth="1"/>
    <col min="6916" max="6916" width="7.85546875" style="114" customWidth="1"/>
    <col min="6917" max="6917" width="10.28515625" style="114" customWidth="1"/>
    <col min="6918" max="6918" width="14.140625" style="114" customWidth="1"/>
    <col min="6919" max="6919" width="49.28515625" style="114" customWidth="1"/>
    <col min="6920" max="6920" width="4.5703125" style="114" customWidth="1"/>
    <col min="6921" max="6921" width="5.42578125" style="114" customWidth="1"/>
    <col min="6922" max="6922" width="15" style="114" customWidth="1"/>
    <col min="6923" max="6923" width="10.7109375" style="114" customWidth="1"/>
    <col min="6924" max="6924" width="8" style="114" customWidth="1"/>
    <col min="6925" max="6925" width="7.140625" style="114" customWidth="1"/>
    <col min="6926" max="6926" width="9.140625" style="114"/>
    <col min="6927" max="6927" width="8.85546875" style="114" customWidth="1"/>
    <col min="6928" max="6928" width="7.42578125" style="114" customWidth="1"/>
    <col min="6929" max="6929" width="4.7109375" style="114" customWidth="1"/>
    <col min="6930" max="7166" width="9.140625" style="114"/>
    <col min="7167" max="7167" width="11.140625" style="114" customWidth="1"/>
    <col min="7168" max="7168" width="8" style="114" customWidth="1"/>
    <col min="7169" max="7169" width="17" style="114" customWidth="1"/>
    <col min="7170" max="7170" width="0.28515625" style="114" customWidth="1"/>
    <col min="7171" max="7171" width="26.85546875" style="114" customWidth="1"/>
    <col min="7172" max="7172" width="7.85546875" style="114" customWidth="1"/>
    <col min="7173" max="7173" width="10.28515625" style="114" customWidth="1"/>
    <col min="7174" max="7174" width="14.140625" style="114" customWidth="1"/>
    <col min="7175" max="7175" width="49.28515625" style="114" customWidth="1"/>
    <col min="7176" max="7176" width="4.5703125" style="114" customWidth="1"/>
    <col min="7177" max="7177" width="5.42578125" style="114" customWidth="1"/>
    <col min="7178" max="7178" width="15" style="114" customWidth="1"/>
    <col min="7179" max="7179" width="10.7109375" style="114" customWidth="1"/>
    <col min="7180" max="7180" width="8" style="114" customWidth="1"/>
    <col min="7181" max="7181" width="7.140625" style="114" customWidth="1"/>
    <col min="7182" max="7182" width="9.140625" style="114"/>
    <col min="7183" max="7183" width="8.85546875" style="114" customWidth="1"/>
    <col min="7184" max="7184" width="7.42578125" style="114" customWidth="1"/>
    <col min="7185" max="7185" width="4.7109375" style="114" customWidth="1"/>
    <col min="7186" max="7422" width="9.140625" style="114"/>
    <col min="7423" max="7423" width="11.140625" style="114" customWidth="1"/>
    <col min="7424" max="7424" width="8" style="114" customWidth="1"/>
    <col min="7425" max="7425" width="17" style="114" customWidth="1"/>
    <col min="7426" max="7426" width="0.28515625" style="114" customWidth="1"/>
    <col min="7427" max="7427" width="26.85546875" style="114" customWidth="1"/>
    <col min="7428" max="7428" width="7.85546875" style="114" customWidth="1"/>
    <col min="7429" max="7429" width="10.28515625" style="114" customWidth="1"/>
    <col min="7430" max="7430" width="14.140625" style="114" customWidth="1"/>
    <col min="7431" max="7431" width="49.28515625" style="114" customWidth="1"/>
    <col min="7432" max="7432" width="4.5703125" style="114" customWidth="1"/>
    <col min="7433" max="7433" width="5.42578125" style="114" customWidth="1"/>
    <col min="7434" max="7434" width="15" style="114" customWidth="1"/>
    <col min="7435" max="7435" width="10.7109375" style="114" customWidth="1"/>
    <col min="7436" max="7436" width="8" style="114" customWidth="1"/>
    <col min="7437" max="7437" width="7.140625" style="114" customWidth="1"/>
    <col min="7438" max="7438" width="9.140625" style="114"/>
    <col min="7439" max="7439" width="8.85546875" style="114" customWidth="1"/>
    <col min="7440" max="7440" width="7.42578125" style="114" customWidth="1"/>
    <col min="7441" max="7441" width="4.7109375" style="114" customWidth="1"/>
    <col min="7442" max="7678" width="9.140625" style="114"/>
    <col min="7679" max="7679" width="11.140625" style="114" customWidth="1"/>
    <col min="7680" max="7680" width="8" style="114" customWidth="1"/>
    <col min="7681" max="7681" width="17" style="114" customWidth="1"/>
    <col min="7682" max="7682" width="0.28515625" style="114" customWidth="1"/>
    <col min="7683" max="7683" width="26.85546875" style="114" customWidth="1"/>
    <col min="7684" max="7684" width="7.85546875" style="114" customWidth="1"/>
    <col min="7685" max="7685" width="10.28515625" style="114" customWidth="1"/>
    <col min="7686" max="7686" width="14.140625" style="114" customWidth="1"/>
    <col min="7687" max="7687" width="49.28515625" style="114" customWidth="1"/>
    <col min="7688" max="7688" width="4.5703125" style="114" customWidth="1"/>
    <col min="7689" max="7689" width="5.42578125" style="114" customWidth="1"/>
    <col min="7690" max="7690" width="15" style="114" customWidth="1"/>
    <col min="7691" max="7691" width="10.7109375" style="114" customWidth="1"/>
    <col min="7692" max="7692" width="8" style="114" customWidth="1"/>
    <col min="7693" max="7693" width="7.140625" style="114" customWidth="1"/>
    <col min="7694" max="7694" width="9.140625" style="114"/>
    <col min="7695" max="7695" width="8.85546875" style="114" customWidth="1"/>
    <col min="7696" max="7696" width="7.42578125" style="114" customWidth="1"/>
    <col min="7697" max="7697" width="4.7109375" style="114" customWidth="1"/>
    <col min="7698" max="7934" width="9.140625" style="114"/>
    <col min="7935" max="7935" width="11.140625" style="114" customWidth="1"/>
    <col min="7936" max="7936" width="8" style="114" customWidth="1"/>
    <col min="7937" max="7937" width="17" style="114" customWidth="1"/>
    <col min="7938" max="7938" width="0.28515625" style="114" customWidth="1"/>
    <col min="7939" max="7939" width="26.85546875" style="114" customWidth="1"/>
    <col min="7940" max="7940" width="7.85546875" style="114" customWidth="1"/>
    <col min="7941" max="7941" width="10.28515625" style="114" customWidth="1"/>
    <col min="7942" max="7942" width="14.140625" style="114" customWidth="1"/>
    <col min="7943" max="7943" width="49.28515625" style="114" customWidth="1"/>
    <col min="7944" max="7944" width="4.5703125" style="114" customWidth="1"/>
    <col min="7945" max="7945" width="5.42578125" style="114" customWidth="1"/>
    <col min="7946" max="7946" width="15" style="114" customWidth="1"/>
    <col min="7947" max="7947" width="10.7109375" style="114" customWidth="1"/>
    <col min="7948" max="7948" width="8" style="114" customWidth="1"/>
    <col min="7949" max="7949" width="7.140625" style="114" customWidth="1"/>
    <col min="7950" max="7950" width="9.140625" style="114"/>
    <col min="7951" max="7951" width="8.85546875" style="114" customWidth="1"/>
    <col min="7952" max="7952" width="7.42578125" style="114" customWidth="1"/>
    <col min="7953" max="7953" width="4.7109375" style="114" customWidth="1"/>
    <col min="7954" max="8190" width="9.140625" style="114"/>
    <col min="8191" max="8191" width="11.140625" style="114" customWidth="1"/>
    <col min="8192" max="8192" width="8" style="114" customWidth="1"/>
    <col min="8193" max="8193" width="17" style="114" customWidth="1"/>
    <col min="8194" max="8194" width="0.28515625" style="114" customWidth="1"/>
    <col min="8195" max="8195" width="26.85546875" style="114" customWidth="1"/>
    <col min="8196" max="8196" width="7.85546875" style="114" customWidth="1"/>
    <col min="8197" max="8197" width="10.28515625" style="114" customWidth="1"/>
    <col min="8198" max="8198" width="14.140625" style="114" customWidth="1"/>
    <col min="8199" max="8199" width="49.28515625" style="114" customWidth="1"/>
    <col min="8200" max="8200" width="4.5703125" style="114" customWidth="1"/>
    <col min="8201" max="8201" width="5.42578125" style="114" customWidth="1"/>
    <col min="8202" max="8202" width="15" style="114" customWidth="1"/>
    <col min="8203" max="8203" width="10.7109375" style="114" customWidth="1"/>
    <col min="8204" max="8204" width="8" style="114" customWidth="1"/>
    <col min="8205" max="8205" width="7.140625" style="114" customWidth="1"/>
    <col min="8206" max="8206" width="9.140625" style="114"/>
    <col min="8207" max="8207" width="8.85546875" style="114" customWidth="1"/>
    <col min="8208" max="8208" width="7.42578125" style="114" customWidth="1"/>
    <col min="8209" max="8209" width="4.7109375" style="114" customWidth="1"/>
    <col min="8210" max="8446" width="9.140625" style="114"/>
    <col min="8447" max="8447" width="11.140625" style="114" customWidth="1"/>
    <col min="8448" max="8448" width="8" style="114" customWidth="1"/>
    <col min="8449" max="8449" width="17" style="114" customWidth="1"/>
    <col min="8450" max="8450" width="0.28515625" style="114" customWidth="1"/>
    <col min="8451" max="8451" width="26.85546875" style="114" customWidth="1"/>
    <col min="8452" max="8452" width="7.85546875" style="114" customWidth="1"/>
    <col min="8453" max="8453" width="10.28515625" style="114" customWidth="1"/>
    <col min="8454" max="8454" width="14.140625" style="114" customWidth="1"/>
    <col min="8455" max="8455" width="49.28515625" style="114" customWidth="1"/>
    <col min="8456" max="8456" width="4.5703125" style="114" customWidth="1"/>
    <col min="8457" max="8457" width="5.42578125" style="114" customWidth="1"/>
    <col min="8458" max="8458" width="15" style="114" customWidth="1"/>
    <col min="8459" max="8459" width="10.7109375" style="114" customWidth="1"/>
    <col min="8460" max="8460" width="8" style="114" customWidth="1"/>
    <col min="8461" max="8461" width="7.140625" style="114" customWidth="1"/>
    <col min="8462" max="8462" width="9.140625" style="114"/>
    <col min="8463" max="8463" width="8.85546875" style="114" customWidth="1"/>
    <col min="8464" max="8464" width="7.42578125" style="114" customWidth="1"/>
    <col min="8465" max="8465" width="4.7109375" style="114" customWidth="1"/>
    <col min="8466" max="8702" width="9.140625" style="114"/>
    <col min="8703" max="8703" width="11.140625" style="114" customWidth="1"/>
    <col min="8704" max="8704" width="8" style="114" customWidth="1"/>
    <col min="8705" max="8705" width="17" style="114" customWidth="1"/>
    <col min="8706" max="8706" width="0.28515625" style="114" customWidth="1"/>
    <col min="8707" max="8707" width="26.85546875" style="114" customWidth="1"/>
    <col min="8708" max="8708" width="7.85546875" style="114" customWidth="1"/>
    <col min="8709" max="8709" width="10.28515625" style="114" customWidth="1"/>
    <col min="8710" max="8710" width="14.140625" style="114" customWidth="1"/>
    <col min="8711" max="8711" width="49.28515625" style="114" customWidth="1"/>
    <col min="8712" max="8712" width="4.5703125" style="114" customWidth="1"/>
    <col min="8713" max="8713" width="5.42578125" style="114" customWidth="1"/>
    <col min="8714" max="8714" width="15" style="114" customWidth="1"/>
    <col min="8715" max="8715" width="10.7109375" style="114" customWidth="1"/>
    <col min="8716" max="8716" width="8" style="114" customWidth="1"/>
    <col min="8717" max="8717" width="7.140625" style="114" customWidth="1"/>
    <col min="8718" max="8718" width="9.140625" style="114"/>
    <col min="8719" max="8719" width="8.85546875" style="114" customWidth="1"/>
    <col min="8720" max="8720" width="7.42578125" style="114" customWidth="1"/>
    <col min="8721" max="8721" width="4.7109375" style="114" customWidth="1"/>
    <col min="8722" max="8958" width="9.140625" style="114"/>
    <col min="8959" max="8959" width="11.140625" style="114" customWidth="1"/>
    <col min="8960" max="8960" width="8" style="114" customWidth="1"/>
    <col min="8961" max="8961" width="17" style="114" customWidth="1"/>
    <col min="8962" max="8962" width="0.28515625" style="114" customWidth="1"/>
    <col min="8963" max="8963" width="26.85546875" style="114" customWidth="1"/>
    <col min="8964" max="8964" width="7.85546875" style="114" customWidth="1"/>
    <col min="8965" max="8965" width="10.28515625" style="114" customWidth="1"/>
    <col min="8966" max="8966" width="14.140625" style="114" customWidth="1"/>
    <col min="8967" max="8967" width="49.28515625" style="114" customWidth="1"/>
    <col min="8968" max="8968" width="4.5703125" style="114" customWidth="1"/>
    <col min="8969" max="8969" width="5.42578125" style="114" customWidth="1"/>
    <col min="8970" max="8970" width="15" style="114" customWidth="1"/>
    <col min="8971" max="8971" width="10.7109375" style="114" customWidth="1"/>
    <col min="8972" max="8972" width="8" style="114" customWidth="1"/>
    <col min="8973" max="8973" width="7.140625" style="114" customWidth="1"/>
    <col min="8974" max="8974" width="9.140625" style="114"/>
    <col min="8975" max="8975" width="8.85546875" style="114" customWidth="1"/>
    <col min="8976" max="8976" width="7.42578125" style="114" customWidth="1"/>
    <col min="8977" max="8977" width="4.7109375" style="114" customWidth="1"/>
    <col min="8978" max="9214" width="9.140625" style="114"/>
    <col min="9215" max="9215" width="11.140625" style="114" customWidth="1"/>
    <col min="9216" max="9216" width="8" style="114" customWidth="1"/>
    <col min="9217" max="9217" width="17" style="114" customWidth="1"/>
    <col min="9218" max="9218" width="0.28515625" style="114" customWidth="1"/>
    <col min="9219" max="9219" width="26.85546875" style="114" customWidth="1"/>
    <col min="9220" max="9220" width="7.85546875" style="114" customWidth="1"/>
    <col min="9221" max="9221" width="10.28515625" style="114" customWidth="1"/>
    <col min="9222" max="9222" width="14.140625" style="114" customWidth="1"/>
    <col min="9223" max="9223" width="49.28515625" style="114" customWidth="1"/>
    <col min="9224" max="9224" width="4.5703125" style="114" customWidth="1"/>
    <col min="9225" max="9225" width="5.42578125" style="114" customWidth="1"/>
    <col min="9226" max="9226" width="15" style="114" customWidth="1"/>
    <col min="9227" max="9227" width="10.7109375" style="114" customWidth="1"/>
    <col min="9228" max="9228" width="8" style="114" customWidth="1"/>
    <col min="9229" max="9229" width="7.140625" style="114" customWidth="1"/>
    <col min="9230" max="9230" width="9.140625" style="114"/>
    <col min="9231" max="9231" width="8.85546875" style="114" customWidth="1"/>
    <col min="9232" max="9232" width="7.42578125" style="114" customWidth="1"/>
    <col min="9233" max="9233" width="4.7109375" style="114" customWidth="1"/>
    <col min="9234" max="9470" width="9.140625" style="114"/>
    <col min="9471" max="9471" width="11.140625" style="114" customWidth="1"/>
    <col min="9472" max="9472" width="8" style="114" customWidth="1"/>
    <col min="9473" max="9473" width="17" style="114" customWidth="1"/>
    <col min="9474" max="9474" width="0.28515625" style="114" customWidth="1"/>
    <col min="9475" max="9475" width="26.85546875" style="114" customWidth="1"/>
    <col min="9476" max="9476" width="7.85546875" style="114" customWidth="1"/>
    <col min="9477" max="9477" width="10.28515625" style="114" customWidth="1"/>
    <col min="9478" max="9478" width="14.140625" style="114" customWidth="1"/>
    <col min="9479" max="9479" width="49.28515625" style="114" customWidth="1"/>
    <col min="9480" max="9480" width="4.5703125" style="114" customWidth="1"/>
    <col min="9481" max="9481" width="5.42578125" style="114" customWidth="1"/>
    <col min="9482" max="9482" width="15" style="114" customWidth="1"/>
    <col min="9483" max="9483" width="10.7109375" style="114" customWidth="1"/>
    <col min="9484" max="9484" width="8" style="114" customWidth="1"/>
    <col min="9485" max="9485" width="7.140625" style="114" customWidth="1"/>
    <col min="9486" max="9486" width="9.140625" style="114"/>
    <col min="9487" max="9487" width="8.85546875" style="114" customWidth="1"/>
    <col min="9488" max="9488" width="7.42578125" style="114" customWidth="1"/>
    <col min="9489" max="9489" width="4.7109375" style="114" customWidth="1"/>
    <col min="9490" max="9726" width="9.140625" style="114"/>
    <col min="9727" max="9727" width="11.140625" style="114" customWidth="1"/>
    <col min="9728" max="9728" width="8" style="114" customWidth="1"/>
    <col min="9729" max="9729" width="17" style="114" customWidth="1"/>
    <col min="9730" max="9730" width="0.28515625" style="114" customWidth="1"/>
    <col min="9731" max="9731" width="26.85546875" style="114" customWidth="1"/>
    <col min="9732" max="9732" width="7.85546875" style="114" customWidth="1"/>
    <col min="9733" max="9733" width="10.28515625" style="114" customWidth="1"/>
    <col min="9734" max="9734" width="14.140625" style="114" customWidth="1"/>
    <col min="9735" max="9735" width="49.28515625" style="114" customWidth="1"/>
    <col min="9736" max="9736" width="4.5703125" style="114" customWidth="1"/>
    <col min="9737" max="9737" width="5.42578125" style="114" customWidth="1"/>
    <col min="9738" max="9738" width="15" style="114" customWidth="1"/>
    <col min="9739" max="9739" width="10.7109375" style="114" customWidth="1"/>
    <col min="9740" max="9740" width="8" style="114" customWidth="1"/>
    <col min="9741" max="9741" width="7.140625" style="114" customWidth="1"/>
    <col min="9742" max="9742" width="9.140625" style="114"/>
    <col min="9743" max="9743" width="8.85546875" style="114" customWidth="1"/>
    <col min="9744" max="9744" width="7.42578125" style="114" customWidth="1"/>
    <col min="9745" max="9745" width="4.7109375" style="114" customWidth="1"/>
    <col min="9746" max="9982" width="9.140625" style="114"/>
    <col min="9983" max="9983" width="11.140625" style="114" customWidth="1"/>
    <col min="9984" max="9984" width="8" style="114" customWidth="1"/>
    <col min="9985" max="9985" width="17" style="114" customWidth="1"/>
    <col min="9986" max="9986" width="0.28515625" style="114" customWidth="1"/>
    <col min="9987" max="9987" width="26.85546875" style="114" customWidth="1"/>
    <col min="9988" max="9988" width="7.85546875" style="114" customWidth="1"/>
    <col min="9989" max="9989" width="10.28515625" style="114" customWidth="1"/>
    <col min="9990" max="9990" width="14.140625" style="114" customWidth="1"/>
    <col min="9991" max="9991" width="49.28515625" style="114" customWidth="1"/>
    <col min="9992" max="9992" width="4.5703125" style="114" customWidth="1"/>
    <col min="9993" max="9993" width="5.42578125" style="114" customWidth="1"/>
    <col min="9994" max="9994" width="15" style="114" customWidth="1"/>
    <col min="9995" max="9995" width="10.7109375" style="114" customWidth="1"/>
    <col min="9996" max="9996" width="8" style="114" customWidth="1"/>
    <col min="9997" max="9997" width="7.140625" style="114" customWidth="1"/>
    <col min="9998" max="9998" width="9.140625" style="114"/>
    <col min="9999" max="9999" width="8.85546875" style="114" customWidth="1"/>
    <col min="10000" max="10000" width="7.42578125" style="114" customWidth="1"/>
    <col min="10001" max="10001" width="4.7109375" style="114" customWidth="1"/>
    <col min="10002" max="10238" width="9.140625" style="114"/>
    <col min="10239" max="10239" width="11.140625" style="114" customWidth="1"/>
    <col min="10240" max="10240" width="8" style="114" customWidth="1"/>
    <col min="10241" max="10241" width="17" style="114" customWidth="1"/>
    <col min="10242" max="10242" width="0.28515625" style="114" customWidth="1"/>
    <col min="10243" max="10243" width="26.85546875" style="114" customWidth="1"/>
    <col min="10244" max="10244" width="7.85546875" style="114" customWidth="1"/>
    <col min="10245" max="10245" width="10.28515625" style="114" customWidth="1"/>
    <col min="10246" max="10246" width="14.140625" style="114" customWidth="1"/>
    <col min="10247" max="10247" width="49.28515625" style="114" customWidth="1"/>
    <col min="10248" max="10248" width="4.5703125" style="114" customWidth="1"/>
    <col min="10249" max="10249" width="5.42578125" style="114" customWidth="1"/>
    <col min="10250" max="10250" width="15" style="114" customWidth="1"/>
    <col min="10251" max="10251" width="10.7109375" style="114" customWidth="1"/>
    <col min="10252" max="10252" width="8" style="114" customWidth="1"/>
    <col min="10253" max="10253" width="7.140625" style="114" customWidth="1"/>
    <col min="10254" max="10254" width="9.140625" style="114"/>
    <col min="10255" max="10255" width="8.85546875" style="114" customWidth="1"/>
    <col min="10256" max="10256" width="7.42578125" style="114" customWidth="1"/>
    <col min="10257" max="10257" width="4.7109375" style="114" customWidth="1"/>
    <col min="10258" max="10494" width="9.140625" style="114"/>
    <col min="10495" max="10495" width="11.140625" style="114" customWidth="1"/>
    <col min="10496" max="10496" width="8" style="114" customWidth="1"/>
    <col min="10497" max="10497" width="17" style="114" customWidth="1"/>
    <col min="10498" max="10498" width="0.28515625" style="114" customWidth="1"/>
    <col min="10499" max="10499" width="26.85546875" style="114" customWidth="1"/>
    <col min="10500" max="10500" width="7.85546875" style="114" customWidth="1"/>
    <col min="10501" max="10501" width="10.28515625" style="114" customWidth="1"/>
    <col min="10502" max="10502" width="14.140625" style="114" customWidth="1"/>
    <col min="10503" max="10503" width="49.28515625" style="114" customWidth="1"/>
    <col min="10504" max="10504" width="4.5703125" style="114" customWidth="1"/>
    <col min="10505" max="10505" width="5.42578125" style="114" customWidth="1"/>
    <col min="10506" max="10506" width="15" style="114" customWidth="1"/>
    <col min="10507" max="10507" width="10.7109375" style="114" customWidth="1"/>
    <col min="10508" max="10508" width="8" style="114" customWidth="1"/>
    <col min="10509" max="10509" width="7.140625" style="114" customWidth="1"/>
    <col min="10510" max="10510" width="9.140625" style="114"/>
    <col min="10511" max="10511" width="8.85546875" style="114" customWidth="1"/>
    <col min="10512" max="10512" width="7.42578125" style="114" customWidth="1"/>
    <col min="10513" max="10513" width="4.7109375" style="114" customWidth="1"/>
    <col min="10514" max="10750" width="9.140625" style="114"/>
    <col min="10751" max="10751" width="11.140625" style="114" customWidth="1"/>
    <col min="10752" max="10752" width="8" style="114" customWidth="1"/>
    <col min="10753" max="10753" width="17" style="114" customWidth="1"/>
    <col min="10754" max="10754" width="0.28515625" style="114" customWidth="1"/>
    <col min="10755" max="10755" width="26.85546875" style="114" customWidth="1"/>
    <col min="10756" max="10756" width="7.85546875" style="114" customWidth="1"/>
    <col min="10757" max="10757" width="10.28515625" style="114" customWidth="1"/>
    <col min="10758" max="10758" width="14.140625" style="114" customWidth="1"/>
    <col min="10759" max="10759" width="49.28515625" style="114" customWidth="1"/>
    <col min="10760" max="10760" width="4.5703125" style="114" customWidth="1"/>
    <col min="10761" max="10761" width="5.42578125" style="114" customWidth="1"/>
    <col min="10762" max="10762" width="15" style="114" customWidth="1"/>
    <col min="10763" max="10763" width="10.7109375" style="114" customWidth="1"/>
    <col min="10764" max="10764" width="8" style="114" customWidth="1"/>
    <col min="10765" max="10765" width="7.140625" style="114" customWidth="1"/>
    <col min="10766" max="10766" width="9.140625" style="114"/>
    <col min="10767" max="10767" width="8.85546875" style="114" customWidth="1"/>
    <col min="10768" max="10768" width="7.42578125" style="114" customWidth="1"/>
    <col min="10769" max="10769" width="4.7109375" style="114" customWidth="1"/>
    <col min="10770" max="11006" width="9.140625" style="114"/>
    <col min="11007" max="11007" width="11.140625" style="114" customWidth="1"/>
    <col min="11008" max="11008" width="8" style="114" customWidth="1"/>
    <col min="11009" max="11009" width="17" style="114" customWidth="1"/>
    <col min="11010" max="11010" width="0.28515625" style="114" customWidth="1"/>
    <col min="11011" max="11011" width="26.85546875" style="114" customWidth="1"/>
    <col min="11012" max="11012" width="7.85546875" style="114" customWidth="1"/>
    <col min="11013" max="11013" width="10.28515625" style="114" customWidth="1"/>
    <col min="11014" max="11014" width="14.140625" style="114" customWidth="1"/>
    <col min="11015" max="11015" width="49.28515625" style="114" customWidth="1"/>
    <col min="11016" max="11016" width="4.5703125" style="114" customWidth="1"/>
    <col min="11017" max="11017" width="5.42578125" style="114" customWidth="1"/>
    <col min="11018" max="11018" width="15" style="114" customWidth="1"/>
    <col min="11019" max="11019" width="10.7109375" style="114" customWidth="1"/>
    <col min="11020" max="11020" width="8" style="114" customWidth="1"/>
    <col min="11021" max="11021" width="7.140625" style="114" customWidth="1"/>
    <col min="11022" max="11022" width="9.140625" style="114"/>
    <col min="11023" max="11023" width="8.85546875" style="114" customWidth="1"/>
    <col min="11024" max="11024" width="7.42578125" style="114" customWidth="1"/>
    <col min="11025" max="11025" width="4.7109375" style="114" customWidth="1"/>
    <col min="11026" max="11262" width="9.140625" style="114"/>
    <col min="11263" max="11263" width="11.140625" style="114" customWidth="1"/>
    <col min="11264" max="11264" width="8" style="114" customWidth="1"/>
    <col min="11265" max="11265" width="17" style="114" customWidth="1"/>
    <col min="11266" max="11266" width="0.28515625" style="114" customWidth="1"/>
    <col min="11267" max="11267" width="26.85546875" style="114" customWidth="1"/>
    <col min="11268" max="11268" width="7.85546875" style="114" customWidth="1"/>
    <col min="11269" max="11269" width="10.28515625" style="114" customWidth="1"/>
    <col min="11270" max="11270" width="14.140625" style="114" customWidth="1"/>
    <col min="11271" max="11271" width="49.28515625" style="114" customWidth="1"/>
    <col min="11272" max="11272" width="4.5703125" style="114" customWidth="1"/>
    <col min="11273" max="11273" width="5.42578125" style="114" customWidth="1"/>
    <col min="11274" max="11274" width="15" style="114" customWidth="1"/>
    <col min="11275" max="11275" width="10.7109375" style="114" customWidth="1"/>
    <col min="11276" max="11276" width="8" style="114" customWidth="1"/>
    <col min="11277" max="11277" width="7.140625" style="114" customWidth="1"/>
    <col min="11278" max="11278" width="9.140625" style="114"/>
    <col min="11279" max="11279" width="8.85546875" style="114" customWidth="1"/>
    <col min="11280" max="11280" width="7.42578125" style="114" customWidth="1"/>
    <col min="11281" max="11281" width="4.7109375" style="114" customWidth="1"/>
    <col min="11282" max="11518" width="9.140625" style="114"/>
    <col min="11519" max="11519" width="11.140625" style="114" customWidth="1"/>
    <col min="11520" max="11520" width="8" style="114" customWidth="1"/>
    <col min="11521" max="11521" width="17" style="114" customWidth="1"/>
    <col min="11522" max="11522" width="0.28515625" style="114" customWidth="1"/>
    <col min="11523" max="11523" width="26.85546875" style="114" customWidth="1"/>
    <col min="11524" max="11524" width="7.85546875" style="114" customWidth="1"/>
    <col min="11525" max="11525" width="10.28515625" style="114" customWidth="1"/>
    <col min="11526" max="11526" width="14.140625" style="114" customWidth="1"/>
    <col min="11527" max="11527" width="49.28515625" style="114" customWidth="1"/>
    <col min="11528" max="11528" width="4.5703125" style="114" customWidth="1"/>
    <col min="11529" max="11529" width="5.42578125" style="114" customWidth="1"/>
    <col min="11530" max="11530" width="15" style="114" customWidth="1"/>
    <col min="11531" max="11531" width="10.7109375" style="114" customWidth="1"/>
    <col min="11532" max="11532" width="8" style="114" customWidth="1"/>
    <col min="11533" max="11533" width="7.140625" style="114" customWidth="1"/>
    <col min="11534" max="11534" width="9.140625" style="114"/>
    <col min="11535" max="11535" width="8.85546875" style="114" customWidth="1"/>
    <col min="11536" max="11536" width="7.42578125" style="114" customWidth="1"/>
    <col min="11537" max="11537" width="4.7109375" style="114" customWidth="1"/>
    <col min="11538" max="11774" width="9.140625" style="114"/>
    <col min="11775" max="11775" width="11.140625" style="114" customWidth="1"/>
    <col min="11776" max="11776" width="8" style="114" customWidth="1"/>
    <col min="11777" max="11777" width="17" style="114" customWidth="1"/>
    <col min="11778" max="11778" width="0.28515625" style="114" customWidth="1"/>
    <col min="11779" max="11779" width="26.85546875" style="114" customWidth="1"/>
    <col min="11780" max="11780" width="7.85546875" style="114" customWidth="1"/>
    <col min="11781" max="11781" width="10.28515625" style="114" customWidth="1"/>
    <col min="11782" max="11782" width="14.140625" style="114" customWidth="1"/>
    <col min="11783" max="11783" width="49.28515625" style="114" customWidth="1"/>
    <col min="11784" max="11784" width="4.5703125" style="114" customWidth="1"/>
    <col min="11785" max="11785" width="5.42578125" style="114" customWidth="1"/>
    <col min="11786" max="11786" width="15" style="114" customWidth="1"/>
    <col min="11787" max="11787" width="10.7109375" style="114" customWidth="1"/>
    <col min="11788" max="11788" width="8" style="114" customWidth="1"/>
    <col min="11789" max="11789" width="7.140625" style="114" customWidth="1"/>
    <col min="11790" max="11790" width="9.140625" style="114"/>
    <col min="11791" max="11791" width="8.85546875" style="114" customWidth="1"/>
    <col min="11792" max="11792" width="7.42578125" style="114" customWidth="1"/>
    <col min="11793" max="11793" width="4.7109375" style="114" customWidth="1"/>
    <col min="11794" max="12030" width="9.140625" style="114"/>
    <col min="12031" max="12031" width="11.140625" style="114" customWidth="1"/>
    <col min="12032" max="12032" width="8" style="114" customWidth="1"/>
    <col min="12033" max="12033" width="17" style="114" customWidth="1"/>
    <col min="12034" max="12034" width="0.28515625" style="114" customWidth="1"/>
    <col min="12035" max="12035" width="26.85546875" style="114" customWidth="1"/>
    <col min="12036" max="12036" width="7.85546875" style="114" customWidth="1"/>
    <col min="12037" max="12037" width="10.28515625" style="114" customWidth="1"/>
    <col min="12038" max="12038" width="14.140625" style="114" customWidth="1"/>
    <col min="12039" max="12039" width="49.28515625" style="114" customWidth="1"/>
    <col min="12040" max="12040" width="4.5703125" style="114" customWidth="1"/>
    <col min="12041" max="12041" width="5.42578125" style="114" customWidth="1"/>
    <col min="12042" max="12042" width="15" style="114" customWidth="1"/>
    <col min="12043" max="12043" width="10.7109375" style="114" customWidth="1"/>
    <col min="12044" max="12044" width="8" style="114" customWidth="1"/>
    <col min="12045" max="12045" width="7.140625" style="114" customWidth="1"/>
    <col min="12046" max="12046" width="9.140625" style="114"/>
    <col min="12047" max="12047" width="8.85546875" style="114" customWidth="1"/>
    <col min="12048" max="12048" width="7.42578125" style="114" customWidth="1"/>
    <col min="12049" max="12049" width="4.7109375" style="114" customWidth="1"/>
    <col min="12050" max="12286" width="9.140625" style="114"/>
    <col min="12287" max="12287" width="11.140625" style="114" customWidth="1"/>
    <col min="12288" max="12288" width="8" style="114" customWidth="1"/>
    <col min="12289" max="12289" width="17" style="114" customWidth="1"/>
    <col min="12290" max="12290" width="0.28515625" style="114" customWidth="1"/>
    <col min="12291" max="12291" width="26.85546875" style="114" customWidth="1"/>
    <col min="12292" max="12292" width="7.85546875" style="114" customWidth="1"/>
    <col min="12293" max="12293" width="10.28515625" style="114" customWidth="1"/>
    <col min="12294" max="12294" width="14.140625" style="114" customWidth="1"/>
    <col min="12295" max="12295" width="49.28515625" style="114" customWidth="1"/>
    <col min="12296" max="12296" width="4.5703125" style="114" customWidth="1"/>
    <col min="12297" max="12297" width="5.42578125" style="114" customWidth="1"/>
    <col min="12298" max="12298" width="15" style="114" customWidth="1"/>
    <col min="12299" max="12299" width="10.7109375" style="114" customWidth="1"/>
    <col min="12300" max="12300" width="8" style="114" customWidth="1"/>
    <col min="12301" max="12301" width="7.140625" style="114" customWidth="1"/>
    <col min="12302" max="12302" width="9.140625" style="114"/>
    <col min="12303" max="12303" width="8.85546875" style="114" customWidth="1"/>
    <col min="12304" max="12304" width="7.42578125" style="114" customWidth="1"/>
    <col min="12305" max="12305" width="4.7109375" style="114" customWidth="1"/>
    <col min="12306" max="12542" width="9.140625" style="114"/>
    <col min="12543" max="12543" width="11.140625" style="114" customWidth="1"/>
    <col min="12544" max="12544" width="8" style="114" customWidth="1"/>
    <col min="12545" max="12545" width="17" style="114" customWidth="1"/>
    <col min="12546" max="12546" width="0.28515625" style="114" customWidth="1"/>
    <col min="12547" max="12547" width="26.85546875" style="114" customWidth="1"/>
    <col min="12548" max="12548" width="7.85546875" style="114" customWidth="1"/>
    <col min="12549" max="12549" width="10.28515625" style="114" customWidth="1"/>
    <col min="12550" max="12550" width="14.140625" style="114" customWidth="1"/>
    <col min="12551" max="12551" width="49.28515625" style="114" customWidth="1"/>
    <col min="12552" max="12552" width="4.5703125" style="114" customWidth="1"/>
    <col min="12553" max="12553" width="5.42578125" style="114" customWidth="1"/>
    <col min="12554" max="12554" width="15" style="114" customWidth="1"/>
    <col min="12555" max="12555" width="10.7109375" style="114" customWidth="1"/>
    <col min="12556" max="12556" width="8" style="114" customWidth="1"/>
    <col min="12557" max="12557" width="7.140625" style="114" customWidth="1"/>
    <col min="12558" max="12558" width="9.140625" style="114"/>
    <col min="12559" max="12559" width="8.85546875" style="114" customWidth="1"/>
    <col min="12560" max="12560" width="7.42578125" style="114" customWidth="1"/>
    <col min="12561" max="12561" width="4.7109375" style="114" customWidth="1"/>
    <col min="12562" max="12798" width="9.140625" style="114"/>
    <col min="12799" max="12799" width="11.140625" style="114" customWidth="1"/>
    <col min="12800" max="12800" width="8" style="114" customWidth="1"/>
    <col min="12801" max="12801" width="17" style="114" customWidth="1"/>
    <col min="12802" max="12802" width="0.28515625" style="114" customWidth="1"/>
    <col min="12803" max="12803" width="26.85546875" style="114" customWidth="1"/>
    <col min="12804" max="12804" width="7.85546875" style="114" customWidth="1"/>
    <col min="12805" max="12805" width="10.28515625" style="114" customWidth="1"/>
    <col min="12806" max="12806" width="14.140625" style="114" customWidth="1"/>
    <col min="12807" max="12807" width="49.28515625" style="114" customWidth="1"/>
    <col min="12808" max="12808" width="4.5703125" style="114" customWidth="1"/>
    <col min="12809" max="12809" width="5.42578125" style="114" customWidth="1"/>
    <col min="12810" max="12810" width="15" style="114" customWidth="1"/>
    <col min="12811" max="12811" width="10.7109375" style="114" customWidth="1"/>
    <col min="12812" max="12812" width="8" style="114" customWidth="1"/>
    <col min="12813" max="12813" width="7.140625" style="114" customWidth="1"/>
    <col min="12814" max="12814" width="9.140625" style="114"/>
    <col min="12815" max="12815" width="8.85546875" style="114" customWidth="1"/>
    <col min="12816" max="12816" width="7.42578125" style="114" customWidth="1"/>
    <col min="12817" max="12817" width="4.7109375" style="114" customWidth="1"/>
    <col min="12818" max="13054" width="9.140625" style="114"/>
    <col min="13055" max="13055" width="11.140625" style="114" customWidth="1"/>
    <col min="13056" max="13056" width="8" style="114" customWidth="1"/>
    <col min="13057" max="13057" width="17" style="114" customWidth="1"/>
    <col min="13058" max="13058" width="0.28515625" style="114" customWidth="1"/>
    <col min="13059" max="13059" width="26.85546875" style="114" customWidth="1"/>
    <col min="13060" max="13060" width="7.85546875" style="114" customWidth="1"/>
    <col min="13061" max="13061" width="10.28515625" style="114" customWidth="1"/>
    <col min="13062" max="13062" width="14.140625" style="114" customWidth="1"/>
    <col min="13063" max="13063" width="49.28515625" style="114" customWidth="1"/>
    <col min="13064" max="13064" width="4.5703125" style="114" customWidth="1"/>
    <col min="13065" max="13065" width="5.42578125" style="114" customWidth="1"/>
    <col min="13066" max="13066" width="15" style="114" customWidth="1"/>
    <col min="13067" max="13067" width="10.7109375" style="114" customWidth="1"/>
    <col min="13068" max="13068" width="8" style="114" customWidth="1"/>
    <col min="13069" max="13069" width="7.140625" style="114" customWidth="1"/>
    <col min="13070" max="13070" width="9.140625" style="114"/>
    <col min="13071" max="13071" width="8.85546875" style="114" customWidth="1"/>
    <col min="13072" max="13072" width="7.42578125" style="114" customWidth="1"/>
    <col min="13073" max="13073" width="4.7109375" style="114" customWidth="1"/>
    <col min="13074" max="13310" width="9.140625" style="114"/>
    <col min="13311" max="13311" width="11.140625" style="114" customWidth="1"/>
    <col min="13312" max="13312" width="8" style="114" customWidth="1"/>
    <col min="13313" max="13313" width="17" style="114" customWidth="1"/>
    <col min="13314" max="13314" width="0.28515625" style="114" customWidth="1"/>
    <col min="13315" max="13315" width="26.85546875" style="114" customWidth="1"/>
    <col min="13316" max="13316" width="7.85546875" style="114" customWidth="1"/>
    <col min="13317" max="13317" width="10.28515625" style="114" customWidth="1"/>
    <col min="13318" max="13318" width="14.140625" style="114" customWidth="1"/>
    <col min="13319" max="13319" width="49.28515625" style="114" customWidth="1"/>
    <col min="13320" max="13320" width="4.5703125" style="114" customWidth="1"/>
    <col min="13321" max="13321" width="5.42578125" style="114" customWidth="1"/>
    <col min="13322" max="13322" width="15" style="114" customWidth="1"/>
    <col min="13323" max="13323" width="10.7109375" style="114" customWidth="1"/>
    <col min="13324" max="13324" width="8" style="114" customWidth="1"/>
    <col min="13325" max="13325" width="7.140625" style="114" customWidth="1"/>
    <col min="13326" max="13326" width="9.140625" style="114"/>
    <col min="13327" max="13327" width="8.85546875" style="114" customWidth="1"/>
    <col min="13328" max="13328" width="7.42578125" style="114" customWidth="1"/>
    <col min="13329" max="13329" width="4.7109375" style="114" customWidth="1"/>
    <col min="13330" max="13566" width="9.140625" style="114"/>
    <col min="13567" max="13567" width="11.140625" style="114" customWidth="1"/>
    <col min="13568" max="13568" width="8" style="114" customWidth="1"/>
    <col min="13569" max="13569" width="17" style="114" customWidth="1"/>
    <col min="13570" max="13570" width="0.28515625" style="114" customWidth="1"/>
    <col min="13571" max="13571" width="26.85546875" style="114" customWidth="1"/>
    <col min="13572" max="13572" width="7.85546875" style="114" customWidth="1"/>
    <col min="13573" max="13573" width="10.28515625" style="114" customWidth="1"/>
    <col min="13574" max="13574" width="14.140625" style="114" customWidth="1"/>
    <col min="13575" max="13575" width="49.28515625" style="114" customWidth="1"/>
    <col min="13576" max="13576" width="4.5703125" style="114" customWidth="1"/>
    <col min="13577" max="13577" width="5.42578125" style="114" customWidth="1"/>
    <col min="13578" max="13578" width="15" style="114" customWidth="1"/>
    <col min="13579" max="13579" width="10.7109375" style="114" customWidth="1"/>
    <col min="13580" max="13580" width="8" style="114" customWidth="1"/>
    <col min="13581" max="13581" width="7.140625" style="114" customWidth="1"/>
    <col min="13582" max="13582" width="9.140625" style="114"/>
    <col min="13583" max="13583" width="8.85546875" style="114" customWidth="1"/>
    <col min="13584" max="13584" width="7.42578125" style="114" customWidth="1"/>
    <col min="13585" max="13585" width="4.7109375" style="114" customWidth="1"/>
    <col min="13586" max="13822" width="9.140625" style="114"/>
    <col min="13823" max="13823" width="11.140625" style="114" customWidth="1"/>
    <col min="13824" max="13824" width="8" style="114" customWidth="1"/>
    <col min="13825" max="13825" width="17" style="114" customWidth="1"/>
    <col min="13826" max="13826" width="0.28515625" style="114" customWidth="1"/>
    <col min="13827" max="13827" width="26.85546875" style="114" customWidth="1"/>
    <col min="13828" max="13828" width="7.85546875" style="114" customWidth="1"/>
    <col min="13829" max="13829" width="10.28515625" style="114" customWidth="1"/>
    <col min="13830" max="13830" width="14.140625" style="114" customWidth="1"/>
    <col min="13831" max="13831" width="49.28515625" style="114" customWidth="1"/>
    <col min="13832" max="13832" width="4.5703125" style="114" customWidth="1"/>
    <col min="13833" max="13833" width="5.42578125" style="114" customWidth="1"/>
    <col min="13834" max="13834" width="15" style="114" customWidth="1"/>
    <col min="13835" max="13835" width="10.7109375" style="114" customWidth="1"/>
    <col min="13836" max="13836" width="8" style="114" customWidth="1"/>
    <col min="13837" max="13837" width="7.140625" style="114" customWidth="1"/>
    <col min="13838" max="13838" width="9.140625" style="114"/>
    <col min="13839" max="13839" width="8.85546875" style="114" customWidth="1"/>
    <col min="13840" max="13840" width="7.42578125" style="114" customWidth="1"/>
    <col min="13841" max="13841" width="4.7109375" style="114" customWidth="1"/>
    <col min="13842" max="14078" width="9.140625" style="114"/>
    <col min="14079" max="14079" width="11.140625" style="114" customWidth="1"/>
    <col min="14080" max="14080" width="8" style="114" customWidth="1"/>
    <col min="14081" max="14081" width="17" style="114" customWidth="1"/>
    <col min="14082" max="14082" width="0.28515625" style="114" customWidth="1"/>
    <col min="14083" max="14083" width="26.85546875" style="114" customWidth="1"/>
    <col min="14084" max="14084" width="7.85546875" style="114" customWidth="1"/>
    <col min="14085" max="14085" width="10.28515625" style="114" customWidth="1"/>
    <col min="14086" max="14086" width="14.140625" style="114" customWidth="1"/>
    <col min="14087" max="14087" width="49.28515625" style="114" customWidth="1"/>
    <col min="14088" max="14088" width="4.5703125" style="114" customWidth="1"/>
    <col min="14089" max="14089" width="5.42578125" style="114" customWidth="1"/>
    <col min="14090" max="14090" width="15" style="114" customWidth="1"/>
    <col min="14091" max="14091" width="10.7109375" style="114" customWidth="1"/>
    <col min="14092" max="14092" width="8" style="114" customWidth="1"/>
    <col min="14093" max="14093" width="7.140625" style="114" customWidth="1"/>
    <col min="14094" max="14094" width="9.140625" style="114"/>
    <col min="14095" max="14095" width="8.85546875" style="114" customWidth="1"/>
    <col min="14096" max="14096" width="7.42578125" style="114" customWidth="1"/>
    <col min="14097" max="14097" width="4.7109375" style="114" customWidth="1"/>
    <col min="14098" max="14334" width="9.140625" style="114"/>
    <col min="14335" max="14335" width="11.140625" style="114" customWidth="1"/>
    <col min="14336" max="14336" width="8" style="114" customWidth="1"/>
    <col min="14337" max="14337" width="17" style="114" customWidth="1"/>
    <col min="14338" max="14338" width="0.28515625" style="114" customWidth="1"/>
    <col min="14339" max="14339" width="26.85546875" style="114" customWidth="1"/>
    <col min="14340" max="14340" width="7.85546875" style="114" customWidth="1"/>
    <col min="14341" max="14341" width="10.28515625" style="114" customWidth="1"/>
    <col min="14342" max="14342" width="14.140625" style="114" customWidth="1"/>
    <col min="14343" max="14343" width="49.28515625" style="114" customWidth="1"/>
    <col min="14344" max="14344" width="4.5703125" style="114" customWidth="1"/>
    <col min="14345" max="14345" width="5.42578125" style="114" customWidth="1"/>
    <col min="14346" max="14346" width="15" style="114" customWidth="1"/>
    <col min="14347" max="14347" width="10.7109375" style="114" customWidth="1"/>
    <col min="14348" max="14348" width="8" style="114" customWidth="1"/>
    <col min="14349" max="14349" width="7.140625" style="114" customWidth="1"/>
    <col min="14350" max="14350" width="9.140625" style="114"/>
    <col min="14351" max="14351" width="8.85546875" style="114" customWidth="1"/>
    <col min="14352" max="14352" width="7.42578125" style="114" customWidth="1"/>
    <col min="14353" max="14353" width="4.7109375" style="114" customWidth="1"/>
    <col min="14354" max="14590" width="9.140625" style="114"/>
    <col min="14591" max="14591" width="11.140625" style="114" customWidth="1"/>
    <col min="14592" max="14592" width="8" style="114" customWidth="1"/>
    <col min="14593" max="14593" width="17" style="114" customWidth="1"/>
    <col min="14594" max="14594" width="0.28515625" style="114" customWidth="1"/>
    <col min="14595" max="14595" width="26.85546875" style="114" customWidth="1"/>
    <col min="14596" max="14596" width="7.85546875" style="114" customWidth="1"/>
    <col min="14597" max="14597" width="10.28515625" style="114" customWidth="1"/>
    <col min="14598" max="14598" width="14.140625" style="114" customWidth="1"/>
    <col min="14599" max="14599" width="49.28515625" style="114" customWidth="1"/>
    <col min="14600" max="14600" width="4.5703125" style="114" customWidth="1"/>
    <col min="14601" max="14601" width="5.42578125" style="114" customWidth="1"/>
    <col min="14602" max="14602" width="15" style="114" customWidth="1"/>
    <col min="14603" max="14603" width="10.7109375" style="114" customWidth="1"/>
    <col min="14604" max="14604" width="8" style="114" customWidth="1"/>
    <col min="14605" max="14605" width="7.140625" style="114" customWidth="1"/>
    <col min="14606" max="14606" width="9.140625" style="114"/>
    <col min="14607" max="14607" width="8.85546875" style="114" customWidth="1"/>
    <col min="14608" max="14608" width="7.42578125" style="114" customWidth="1"/>
    <col min="14609" max="14609" width="4.7109375" style="114" customWidth="1"/>
    <col min="14610" max="14846" width="9.140625" style="114"/>
    <col min="14847" max="14847" width="11.140625" style="114" customWidth="1"/>
    <col min="14848" max="14848" width="8" style="114" customWidth="1"/>
    <col min="14849" max="14849" width="17" style="114" customWidth="1"/>
    <col min="14850" max="14850" width="0.28515625" style="114" customWidth="1"/>
    <col min="14851" max="14851" width="26.85546875" style="114" customWidth="1"/>
    <col min="14852" max="14852" width="7.85546875" style="114" customWidth="1"/>
    <col min="14853" max="14853" width="10.28515625" style="114" customWidth="1"/>
    <col min="14854" max="14854" width="14.140625" style="114" customWidth="1"/>
    <col min="14855" max="14855" width="49.28515625" style="114" customWidth="1"/>
    <col min="14856" max="14856" width="4.5703125" style="114" customWidth="1"/>
    <col min="14857" max="14857" width="5.42578125" style="114" customWidth="1"/>
    <col min="14858" max="14858" width="15" style="114" customWidth="1"/>
    <col min="14859" max="14859" width="10.7109375" style="114" customWidth="1"/>
    <col min="14860" max="14860" width="8" style="114" customWidth="1"/>
    <col min="14861" max="14861" width="7.140625" style="114" customWidth="1"/>
    <col min="14862" max="14862" width="9.140625" style="114"/>
    <col min="14863" max="14863" width="8.85546875" style="114" customWidth="1"/>
    <col min="14864" max="14864" width="7.42578125" style="114" customWidth="1"/>
    <col min="14865" max="14865" width="4.7109375" style="114" customWidth="1"/>
    <col min="14866" max="15102" width="9.140625" style="114"/>
    <col min="15103" max="15103" width="11.140625" style="114" customWidth="1"/>
    <col min="15104" max="15104" width="8" style="114" customWidth="1"/>
    <col min="15105" max="15105" width="17" style="114" customWidth="1"/>
    <col min="15106" max="15106" width="0.28515625" style="114" customWidth="1"/>
    <col min="15107" max="15107" width="26.85546875" style="114" customWidth="1"/>
    <col min="15108" max="15108" width="7.85546875" style="114" customWidth="1"/>
    <col min="15109" max="15109" width="10.28515625" style="114" customWidth="1"/>
    <col min="15110" max="15110" width="14.140625" style="114" customWidth="1"/>
    <col min="15111" max="15111" width="49.28515625" style="114" customWidth="1"/>
    <col min="15112" max="15112" width="4.5703125" style="114" customWidth="1"/>
    <col min="15113" max="15113" width="5.42578125" style="114" customWidth="1"/>
    <col min="15114" max="15114" width="15" style="114" customWidth="1"/>
    <col min="15115" max="15115" width="10.7109375" style="114" customWidth="1"/>
    <col min="15116" max="15116" width="8" style="114" customWidth="1"/>
    <col min="15117" max="15117" width="7.140625" style="114" customWidth="1"/>
    <col min="15118" max="15118" width="9.140625" style="114"/>
    <col min="15119" max="15119" width="8.85546875" style="114" customWidth="1"/>
    <col min="15120" max="15120" width="7.42578125" style="114" customWidth="1"/>
    <col min="15121" max="15121" width="4.7109375" style="114" customWidth="1"/>
    <col min="15122" max="15358" width="9.140625" style="114"/>
    <col min="15359" max="15359" width="11.140625" style="114" customWidth="1"/>
    <col min="15360" max="15360" width="8" style="114" customWidth="1"/>
    <col min="15361" max="15361" width="17" style="114" customWidth="1"/>
    <col min="15362" max="15362" width="0.28515625" style="114" customWidth="1"/>
    <col min="15363" max="15363" width="26.85546875" style="114" customWidth="1"/>
    <col min="15364" max="15364" width="7.85546875" style="114" customWidth="1"/>
    <col min="15365" max="15365" width="10.28515625" style="114" customWidth="1"/>
    <col min="15366" max="15366" width="14.140625" style="114" customWidth="1"/>
    <col min="15367" max="15367" width="49.28515625" style="114" customWidth="1"/>
    <col min="15368" max="15368" width="4.5703125" style="114" customWidth="1"/>
    <col min="15369" max="15369" width="5.42578125" style="114" customWidth="1"/>
    <col min="15370" max="15370" width="15" style="114" customWidth="1"/>
    <col min="15371" max="15371" width="10.7109375" style="114" customWidth="1"/>
    <col min="15372" max="15372" width="8" style="114" customWidth="1"/>
    <col min="15373" max="15373" width="7.140625" style="114" customWidth="1"/>
    <col min="15374" max="15374" width="9.140625" style="114"/>
    <col min="15375" max="15375" width="8.85546875" style="114" customWidth="1"/>
    <col min="15376" max="15376" width="7.42578125" style="114" customWidth="1"/>
    <col min="15377" max="15377" width="4.7109375" style="114" customWidth="1"/>
    <col min="15378" max="15614" width="9.140625" style="114"/>
    <col min="15615" max="15615" width="11.140625" style="114" customWidth="1"/>
    <col min="15616" max="15616" width="8" style="114" customWidth="1"/>
    <col min="15617" max="15617" width="17" style="114" customWidth="1"/>
    <col min="15618" max="15618" width="0.28515625" style="114" customWidth="1"/>
    <col min="15619" max="15619" width="26.85546875" style="114" customWidth="1"/>
    <col min="15620" max="15620" width="7.85546875" style="114" customWidth="1"/>
    <col min="15621" max="15621" width="10.28515625" style="114" customWidth="1"/>
    <col min="15622" max="15622" width="14.140625" style="114" customWidth="1"/>
    <col min="15623" max="15623" width="49.28515625" style="114" customWidth="1"/>
    <col min="15624" max="15624" width="4.5703125" style="114" customWidth="1"/>
    <col min="15625" max="15625" width="5.42578125" style="114" customWidth="1"/>
    <col min="15626" max="15626" width="15" style="114" customWidth="1"/>
    <col min="15627" max="15627" width="10.7109375" style="114" customWidth="1"/>
    <col min="15628" max="15628" width="8" style="114" customWidth="1"/>
    <col min="15629" max="15629" width="7.140625" style="114" customWidth="1"/>
    <col min="15630" max="15630" width="9.140625" style="114"/>
    <col min="15631" max="15631" width="8.85546875" style="114" customWidth="1"/>
    <col min="15632" max="15632" width="7.42578125" style="114" customWidth="1"/>
    <col min="15633" max="15633" width="4.7109375" style="114" customWidth="1"/>
    <col min="15634" max="15870" width="9.140625" style="114"/>
    <col min="15871" max="15871" width="11.140625" style="114" customWidth="1"/>
    <col min="15872" max="15872" width="8" style="114" customWidth="1"/>
    <col min="15873" max="15873" width="17" style="114" customWidth="1"/>
    <col min="15874" max="15874" width="0.28515625" style="114" customWidth="1"/>
    <col min="15875" max="15875" width="26.85546875" style="114" customWidth="1"/>
    <col min="15876" max="15876" width="7.85546875" style="114" customWidth="1"/>
    <col min="15877" max="15877" width="10.28515625" style="114" customWidth="1"/>
    <col min="15878" max="15878" width="14.140625" style="114" customWidth="1"/>
    <col min="15879" max="15879" width="49.28515625" style="114" customWidth="1"/>
    <col min="15880" max="15880" width="4.5703125" style="114" customWidth="1"/>
    <col min="15881" max="15881" width="5.42578125" style="114" customWidth="1"/>
    <col min="15882" max="15882" width="15" style="114" customWidth="1"/>
    <col min="15883" max="15883" width="10.7109375" style="114" customWidth="1"/>
    <col min="15884" max="15884" width="8" style="114" customWidth="1"/>
    <col min="15885" max="15885" width="7.140625" style="114" customWidth="1"/>
    <col min="15886" max="15886" width="9.140625" style="114"/>
    <col min="15887" max="15887" width="8.85546875" style="114" customWidth="1"/>
    <col min="15888" max="15888" width="7.42578125" style="114" customWidth="1"/>
    <col min="15889" max="15889" width="4.7109375" style="114" customWidth="1"/>
    <col min="15890" max="16126" width="9.140625" style="114"/>
    <col min="16127" max="16127" width="11.140625" style="114" customWidth="1"/>
    <col min="16128" max="16128" width="8" style="114" customWidth="1"/>
    <col min="16129" max="16129" width="17" style="114" customWidth="1"/>
    <col min="16130" max="16130" width="0.28515625" style="114" customWidth="1"/>
    <col min="16131" max="16131" width="26.85546875" style="114" customWidth="1"/>
    <col min="16132" max="16132" width="7.85546875" style="114" customWidth="1"/>
    <col min="16133" max="16133" width="10.28515625" style="114" customWidth="1"/>
    <col min="16134" max="16134" width="14.140625" style="114" customWidth="1"/>
    <col min="16135" max="16135" width="49.28515625" style="114" customWidth="1"/>
    <col min="16136" max="16136" width="4.5703125" style="114" customWidth="1"/>
    <col min="16137" max="16137" width="5.42578125" style="114" customWidth="1"/>
    <col min="16138" max="16138" width="15" style="114" customWidth="1"/>
    <col min="16139" max="16139" width="10.7109375" style="114" customWidth="1"/>
    <col min="16140" max="16140" width="8" style="114" customWidth="1"/>
    <col min="16141" max="16141" width="7.140625" style="114" customWidth="1"/>
    <col min="16142" max="16142" width="9.140625" style="114"/>
    <col min="16143" max="16143" width="8.85546875" style="114" customWidth="1"/>
    <col min="16144" max="16144" width="7.42578125" style="114" customWidth="1"/>
    <col min="16145" max="16145" width="4.7109375" style="114" customWidth="1"/>
    <col min="16146" max="16383" width="9.140625" style="114"/>
    <col min="16384" max="16384" width="9.140625" style="114" customWidth="1"/>
  </cols>
  <sheetData>
    <row r="1" spans="1:20" s="119" customFormat="1" ht="38.25" x14ac:dyDescent="0.2">
      <c r="A1" s="115" t="s">
        <v>107</v>
      </c>
      <c r="B1" s="107" t="s">
        <v>108</v>
      </c>
      <c r="C1" s="107" t="s">
        <v>109</v>
      </c>
      <c r="D1" s="107" t="s">
        <v>110</v>
      </c>
      <c r="E1" s="108" t="s">
        <v>111</v>
      </c>
      <c r="F1" s="107" t="s">
        <v>112</v>
      </c>
      <c r="G1" s="132" t="s">
        <v>81</v>
      </c>
      <c r="H1" s="120" t="s">
        <v>113</v>
      </c>
      <c r="I1" s="132" t="s">
        <v>114</v>
      </c>
      <c r="J1" s="107" t="s">
        <v>115</v>
      </c>
      <c r="K1" s="107" t="s">
        <v>17</v>
      </c>
      <c r="L1" s="107" t="s">
        <v>18</v>
      </c>
      <c r="M1" s="107" t="s">
        <v>116</v>
      </c>
      <c r="N1" s="107" t="s">
        <v>117</v>
      </c>
      <c r="O1" s="107" t="s">
        <v>118</v>
      </c>
      <c r="P1" s="107" t="s">
        <v>119</v>
      </c>
      <c r="Q1" s="107" t="s">
        <v>120</v>
      </c>
      <c r="R1" s="120" t="s">
        <v>121</v>
      </c>
      <c r="S1" s="107" t="s">
        <v>122</v>
      </c>
      <c r="T1" s="107" t="s">
        <v>123</v>
      </c>
    </row>
    <row r="2" spans="1:20" s="109" customFormat="1" x14ac:dyDescent="0.2">
      <c r="A2" s="136">
        <v>43918</v>
      </c>
      <c r="B2" s="137"/>
      <c r="C2" s="138" t="s">
        <v>25</v>
      </c>
      <c r="D2" s="138" t="s">
        <v>124</v>
      </c>
      <c r="E2" s="139" t="s">
        <v>125</v>
      </c>
      <c r="F2" s="137" t="s">
        <v>126</v>
      </c>
      <c r="G2" s="140">
        <v>155</v>
      </c>
      <c r="H2" s="141"/>
      <c r="I2" s="140" t="str">
        <f>IF(H2&gt;0,(#REF!*H2),"-")</f>
        <v>-</v>
      </c>
      <c r="J2" s="142">
        <v>700</v>
      </c>
      <c r="K2" s="138" t="s">
        <v>127</v>
      </c>
      <c r="L2" s="138" t="s">
        <v>128</v>
      </c>
      <c r="M2" s="138" t="s">
        <v>129</v>
      </c>
      <c r="N2" s="138" t="s">
        <v>130</v>
      </c>
      <c r="O2" s="138" t="s">
        <v>131</v>
      </c>
      <c r="P2" s="138" t="s">
        <v>132</v>
      </c>
      <c r="Q2" s="138" t="s">
        <v>97</v>
      </c>
      <c r="R2" s="143">
        <v>0.51419999999999999</v>
      </c>
      <c r="S2" s="142" t="e">
        <f t="shared" ref="S2:S65" si="0">Q2*H2</f>
        <v>#VALUE!</v>
      </c>
      <c r="T2" s="142">
        <f t="shared" ref="T2:T65" si="1">R2*H2</f>
        <v>0</v>
      </c>
    </row>
    <row r="3" spans="1:20" s="109" customFormat="1" x14ac:dyDescent="0.2">
      <c r="A3" s="136">
        <v>43918</v>
      </c>
      <c r="B3" s="137"/>
      <c r="C3" s="138" t="s">
        <v>133</v>
      </c>
      <c r="D3" s="138" t="s">
        <v>134</v>
      </c>
      <c r="E3" s="139" t="s">
        <v>135</v>
      </c>
      <c r="F3" s="137" t="s">
        <v>126</v>
      </c>
      <c r="G3" s="140">
        <v>650</v>
      </c>
      <c r="H3" s="141"/>
      <c r="I3" s="140" t="str">
        <f>IF(H3&gt;0,(#REF!*H3),"-")</f>
        <v>-</v>
      </c>
      <c r="J3" s="142">
        <v>7814</v>
      </c>
      <c r="K3" s="138" t="s">
        <v>127</v>
      </c>
      <c r="L3" s="138" t="s">
        <v>128</v>
      </c>
      <c r="M3" s="138" t="s">
        <v>129</v>
      </c>
      <c r="N3" s="138" t="s">
        <v>130</v>
      </c>
      <c r="O3" s="138" t="s">
        <v>136</v>
      </c>
      <c r="P3" s="138" t="s">
        <v>137</v>
      </c>
      <c r="Q3" s="138" t="s">
        <v>96</v>
      </c>
      <c r="R3" s="143">
        <v>1.1104000000000001</v>
      </c>
      <c r="S3" s="142" t="e">
        <f t="shared" si="0"/>
        <v>#VALUE!</v>
      </c>
      <c r="T3" s="142">
        <f t="shared" si="1"/>
        <v>0</v>
      </c>
    </row>
    <row r="4" spans="1:20" s="109" customFormat="1" x14ac:dyDescent="0.2">
      <c r="A4" s="136">
        <v>43918</v>
      </c>
      <c r="B4" s="137"/>
      <c r="C4" s="138" t="s">
        <v>33</v>
      </c>
      <c r="D4" s="138" t="s">
        <v>138</v>
      </c>
      <c r="E4" s="139" t="s">
        <v>139</v>
      </c>
      <c r="F4" s="137" t="s">
        <v>126</v>
      </c>
      <c r="G4" s="140">
        <v>650</v>
      </c>
      <c r="H4" s="141"/>
      <c r="I4" s="140" t="str">
        <f>IF(H4&gt;0,(#REF!*H4),"-")</f>
        <v>-</v>
      </c>
      <c r="J4" s="142">
        <v>7814</v>
      </c>
      <c r="K4" s="138" t="s">
        <v>127</v>
      </c>
      <c r="L4" s="138" t="s">
        <v>128</v>
      </c>
      <c r="M4" s="138" t="s">
        <v>129</v>
      </c>
      <c r="N4" s="138" t="s">
        <v>130</v>
      </c>
      <c r="O4" s="138" t="s">
        <v>140</v>
      </c>
      <c r="P4" s="138" t="s">
        <v>137</v>
      </c>
      <c r="Q4" s="138" t="s">
        <v>96</v>
      </c>
      <c r="R4" s="143">
        <v>1.1104000000000001</v>
      </c>
      <c r="S4" s="142" t="e">
        <f t="shared" si="0"/>
        <v>#VALUE!</v>
      </c>
      <c r="T4" s="142">
        <f t="shared" si="1"/>
        <v>0</v>
      </c>
    </row>
    <row r="5" spans="1:20" s="109" customFormat="1" x14ac:dyDescent="0.2">
      <c r="A5" s="136">
        <v>43918</v>
      </c>
      <c r="B5" s="137"/>
      <c r="C5" s="138" t="s">
        <v>141</v>
      </c>
      <c r="D5" s="138" t="s">
        <v>142</v>
      </c>
      <c r="E5" s="139" t="s">
        <v>143</v>
      </c>
      <c r="F5" s="137" t="s">
        <v>126</v>
      </c>
      <c r="G5" s="140">
        <v>125</v>
      </c>
      <c r="H5" s="141"/>
      <c r="I5" s="140" t="str">
        <f>IF(H5&gt;0,(#REF!*H5),"-")</f>
        <v>-</v>
      </c>
      <c r="J5" s="142">
        <v>814</v>
      </c>
      <c r="K5" s="138" t="s">
        <v>127</v>
      </c>
      <c r="L5" s="138" t="s">
        <v>144</v>
      </c>
      <c r="M5" s="138" t="s">
        <v>129</v>
      </c>
      <c r="N5" s="138" t="s">
        <v>130</v>
      </c>
      <c r="O5" s="138" t="s">
        <v>145</v>
      </c>
      <c r="P5" s="138" t="s">
        <v>137</v>
      </c>
      <c r="Q5" s="138" t="s">
        <v>96</v>
      </c>
      <c r="R5" s="143">
        <v>8.2799999999999999E-2</v>
      </c>
      <c r="S5" s="142" t="e">
        <f t="shared" si="0"/>
        <v>#VALUE!</v>
      </c>
      <c r="T5" s="142">
        <f t="shared" si="1"/>
        <v>0</v>
      </c>
    </row>
    <row r="6" spans="1:20" s="109" customFormat="1" x14ac:dyDescent="0.2">
      <c r="A6" s="136">
        <v>43918</v>
      </c>
      <c r="B6" s="137"/>
      <c r="C6" s="138" t="s">
        <v>46</v>
      </c>
      <c r="D6" s="138" t="s">
        <v>146</v>
      </c>
      <c r="E6" s="139" t="s">
        <v>147</v>
      </c>
      <c r="F6" s="137" t="s">
        <v>126</v>
      </c>
      <c r="G6" s="140">
        <v>95</v>
      </c>
      <c r="H6" s="141"/>
      <c r="I6" s="140" t="str">
        <f>IF(H6&gt;0,(#REF!*H6),"-")</f>
        <v>-</v>
      </c>
      <c r="J6" s="142">
        <v>1467</v>
      </c>
      <c r="K6" s="138" t="s">
        <v>127</v>
      </c>
      <c r="L6" s="138" t="s">
        <v>148</v>
      </c>
      <c r="M6" s="138" t="s">
        <v>129</v>
      </c>
      <c r="N6" s="138" t="s">
        <v>130</v>
      </c>
      <c r="O6" s="138" t="s">
        <v>149</v>
      </c>
      <c r="P6" s="138" t="s">
        <v>132</v>
      </c>
      <c r="Q6" s="138" t="s">
        <v>96</v>
      </c>
      <c r="R6" s="143">
        <v>0.28399999999999997</v>
      </c>
      <c r="S6" s="142" t="e">
        <f t="shared" si="0"/>
        <v>#VALUE!</v>
      </c>
      <c r="T6" s="142">
        <f t="shared" si="1"/>
        <v>0</v>
      </c>
    </row>
    <row r="7" spans="1:20" s="109" customFormat="1" x14ac:dyDescent="0.2">
      <c r="A7" s="136">
        <v>43918</v>
      </c>
      <c r="B7" s="137"/>
      <c r="C7" s="138" t="s">
        <v>39</v>
      </c>
      <c r="D7" s="138" t="s">
        <v>150</v>
      </c>
      <c r="E7" s="139" t="s">
        <v>151</v>
      </c>
      <c r="F7" s="137" t="s">
        <v>126</v>
      </c>
      <c r="G7" s="140">
        <v>220</v>
      </c>
      <c r="H7" s="141"/>
      <c r="I7" s="140" t="str">
        <f>IF(H7&gt;0,(#REF!*H7),"-")</f>
        <v>-</v>
      </c>
      <c r="J7" s="142">
        <v>665</v>
      </c>
      <c r="K7" s="138" t="s">
        <v>127</v>
      </c>
      <c r="L7" s="138" t="s">
        <v>148</v>
      </c>
      <c r="M7" s="138" t="s">
        <v>129</v>
      </c>
      <c r="N7" s="138" t="s">
        <v>130</v>
      </c>
      <c r="O7" s="138" t="s">
        <v>152</v>
      </c>
      <c r="P7" s="138" t="s">
        <v>153</v>
      </c>
      <c r="Q7" s="138" t="s">
        <v>96</v>
      </c>
      <c r="R7" s="143">
        <v>0.30830000000000002</v>
      </c>
      <c r="S7" s="142" t="e">
        <f t="shared" si="0"/>
        <v>#VALUE!</v>
      </c>
      <c r="T7" s="142">
        <f t="shared" si="1"/>
        <v>0</v>
      </c>
    </row>
    <row r="8" spans="1:20" s="109" customFormat="1" x14ac:dyDescent="0.2">
      <c r="A8" s="136">
        <v>43918</v>
      </c>
      <c r="B8" s="137"/>
      <c r="C8" s="138" t="s">
        <v>54</v>
      </c>
      <c r="D8" s="138" t="s">
        <v>154</v>
      </c>
      <c r="E8" s="139" t="s">
        <v>155</v>
      </c>
      <c r="F8" s="137" t="s">
        <v>126</v>
      </c>
      <c r="G8" s="140">
        <v>80</v>
      </c>
      <c r="H8" s="141"/>
      <c r="I8" s="140" t="str">
        <f>IF(H8&gt;0,(#REF!*H8),"-")</f>
        <v>-</v>
      </c>
      <c r="J8" s="142">
        <v>677</v>
      </c>
      <c r="K8" s="138" t="s">
        <v>127</v>
      </c>
      <c r="L8" s="138" t="s">
        <v>148</v>
      </c>
      <c r="M8" s="138" t="s">
        <v>129</v>
      </c>
      <c r="N8" s="138" t="s">
        <v>130</v>
      </c>
      <c r="O8" s="138" t="s">
        <v>156</v>
      </c>
      <c r="P8" s="138" t="s">
        <v>132</v>
      </c>
      <c r="Q8" s="138" t="s">
        <v>97</v>
      </c>
      <c r="R8" s="143">
        <v>0.46650000000000003</v>
      </c>
      <c r="S8" s="142" t="e">
        <f t="shared" si="0"/>
        <v>#VALUE!</v>
      </c>
      <c r="T8" s="142">
        <f t="shared" si="1"/>
        <v>0</v>
      </c>
    </row>
    <row r="9" spans="1:20" s="109" customFormat="1" x14ac:dyDescent="0.2">
      <c r="A9" s="136">
        <v>43918</v>
      </c>
      <c r="B9" s="137"/>
      <c r="C9" s="138" t="s">
        <v>61</v>
      </c>
      <c r="D9" s="138" t="s">
        <v>157</v>
      </c>
      <c r="E9" s="139" t="s">
        <v>158</v>
      </c>
      <c r="F9" s="137" t="s">
        <v>126</v>
      </c>
      <c r="G9" s="140">
        <v>56</v>
      </c>
      <c r="H9" s="141"/>
      <c r="I9" s="140" t="str">
        <f>IF(H9&gt;0,(#REF!*H9),"-")</f>
        <v>-</v>
      </c>
      <c r="J9" s="142">
        <v>463</v>
      </c>
      <c r="K9" s="138" t="s">
        <v>129</v>
      </c>
      <c r="L9" s="138" t="s">
        <v>148</v>
      </c>
      <c r="M9" s="138" t="s">
        <v>129</v>
      </c>
      <c r="N9" s="138" t="s">
        <v>130</v>
      </c>
      <c r="O9" s="138" t="s">
        <v>159</v>
      </c>
      <c r="P9" s="138" t="s">
        <v>132</v>
      </c>
      <c r="Q9" s="138" t="s">
        <v>96</v>
      </c>
      <c r="R9" s="143">
        <v>0.217</v>
      </c>
      <c r="S9" s="142" t="e">
        <f t="shared" si="0"/>
        <v>#VALUE!</v>
      </c>
      <c r="T9" s="142">
        <f t="shared" si="1"/>
        <v>0</v>
      </c>
    </row>
    <row r="10" spans="1:20" s="109" customFormat="1" x14ac:dyDescent="0.2">
      <c r="A10" s="144">
        <v>43911</v>
      </c>
      <c r="B10" s="145"/>
      <c r="C10" s="146" t="s">
        <v>160</v>
      </c>
      <c r="D10" s="146" t="s">
        <v>161</v>
      </c>
      <c r="E10" s="147" t="s">
        <v>162</v>
      </c>
      <c r="F10" s="145" t="s">
        <v>126</v>
      </c>
      <c r="G10" s="148">
        <v>280</v>
      </c>
      <c r="H10" s="149"/>
      <c r="I10" s="148" t="str">
        <f>IF(H10&gt;0,(#REF!*H10),"-")</f>
        <v>-</v>
      </c>
      <c r="J10" s="150">
        <v>3694</v>
      </c>
      <c r="K10" s="146" t="s">
        <v>127</v>
      </c>
      <c r="L10" s="146" t="s">
        <v>163</v>
      </c>
      <c r="M10" s="146" t="s">
        <v>129</v>
      </c>
      <c r="N10" s="146" t="s">
        <v>130</v>
      </c>
      <c r="O10" s="146" t="s">
        <v>164</v>
      </c>
      <c r="P10" s="146" t="s">
        <v>137</v>
      </c>
      <c r="Q10" s="146" t="s">
        <v>96</v>
      </c>
      <c r="R10" s="151">
        <v>0.374</v>
      </c>
      <c r="S10" s="150" t="e">
        <f t="shared" si="0"/>
        <v>#VALUE!</v>
      </c>
      <c r="T10" s="150">
        <f t="shared" si="1"/>
        <v>0</v>
      </c>
    </row>
    <row r="11" spans="1:20" s="109" customFormat="1" x14ac:dyDescent="0.2">
      <c r="A11" s="144">
        <v>43911</v>
      </c>
      <c r="B11" s="145"/>
      <c r="C11" s="146" t="s">
        <v>165</v>
      </c>
      <c r="D11" s="146" t="s">
        <v>166</v>
      </c>
      <c r="E11" s="147" t="s">
        <v>167</v>
      </c>
      <c r="F11" s="145" t="s">
        <v>126</v>
      </c>
      <c r="G11" s="148">
        <v>110</v>
      </c>
      <c r="H11" s="149"/>
      <c r="I11" s="148" t="str">
        <f>IF(H11&gt;0,(#REF!*H11),"-")</f>
        <v>-</v>
      </c>
      <c r="J11" s="150">
        <v>398</v>
      </c>
      <c r="K11" s="146" t="s">
        <v>127</v>
      </c>
      <c r="L11" s="146" t="s">
        <v>163</v>
      </c>
      <c r="M11" s="146" t="s">
        <v>129</v>
      </c>
      <c r="N11" s="146" t="s">
        <v>130</v>
      </c>
      <c r="O11" s="146" t="s">
        <v>168</v>
      </c>
      <c r="P11" s="146" t="s">
        <v>137</v>
      </c>
      <c r="Q11" s="146" t="s">
        <v>96</v>
      </c>
      <c r="R11" s="151">
        <v>2.53E-2</v>
      </c>
      <c r="S11" s="150" t="e">
        <f t="shared" si="0"/>
        <v>#VALUE!</v>
      </c>
      <c r="T11" s="150">
        <f t="shared" si="1"/>
        <v>0</v>
      </c>
    </row>
    <row r="12" spans="1:20" s="109" customFormat="1" x14ac:dyDescent="0.2">
      <c r="A12" s="144">
        <v>43911</v>
      </c>
      <c r="B12" s="145"/>
      <c r="C12" s="146" t="s">
        <v>169</v>
      </c>
      <c r="D12" s="146" t="s">
        <v>170</v>
      </c>
      <c r="E12" s="147" t="s">
        <v>171</v>
      </c>
      <c r="F12" s="145" t="s">
        <v>126</v>
      </c>
      <c r="G12" s="148">
        <v>140</v>
      </c>
      <c r="H12" s="149"/>
      <c r="I12" s="148" t="str">
        <f>IF(H12&gt;0,(#REF!*H12),"-")</f>
        <v>-</v>
      </c>
      <c r="J12" s="150">
        <v>541</v>
      </c>
      <c r="K12" s="146" t="s">
        <v>127</v>
      </c>
      <c r="L12" s="146" t="s">
        <v>163</v>
      </c>
      <c r="M12" s="146" t="s">
        <v>129</v>
      </c>
      <c r="N12" s="146" t="s">
        <v>130</v>
      </c>
      <c r="O12" s="146" t="s">
        <v>172</v>
      </c>
      <c r="P12" s="146" t="s">
        <v>137</v>
      </c>
      <c r="Q12" s="146" t="s">
        <v>96</v>
      </c>
      <c r="R12" s="151">
        <v>5.4300000000000001E-2</v>
      </c>
      <c r="S12" s="150" t="e">
        <f t="shared" si="0"/>
        <v>#VALUE!</v>
      </c>
      <c r="T12" s="150">
        <f t="shared" si="1"/>
        <v>0</v>
      </c>
    </row>
    <row r="13" spans="1:20" s="109" customFormat="1" x14ac:dyDescent="0.2">
      <c r="A13" s="144">
        <v>43911</v>
      </c>
      <c r="B13" s="145"/>
      <c r="C13" s="146" t="s">
        <v>173</v>
      </c>
      <c r="D13" s="146" t="s">
        <v>174</v>
      </c>
      <c r="E13" s="147" t="s">
        <v>175</v>
      </c>
      <c r="F13" s="145" t="s">
        <v>126</v>
      </c>
      <c r="G13" s="148">
        <v>140</v>
      </c>
      <c r="H13" s="149"/>
      <c r="I13" s="148" t="str">
        <f>IF(H13&gt;0,(#REF!*H13),"-")</f>
        <v>-</v>
      </c>
      <c r="J13" s="150">
        <v>808</v>
      </c>
      <c r="K13" s="146" t="s">
        <v>127</v>
      </c>
      <c r="L13" s="146" t="s">
        <v>163</v>
      </c>
      <c r="M13" s="146" t="s">
        <v>129</v>
      </c>
      <c r="N13" s="146" t="s">
        <v>130</v>
      </c>
      <c r="O13" s="146" t="s">
        <v>176</v>
      </c>
      <c r="P13" s="146" t="s">
        <v>137</v>
      </c>
      <c r="Q13" s="146" t="s">
        <v>96</v>
      </c>
      <c r="R13" s="151">
        <v>7.3700000000000002E-2</v>
      </c>
      <c r="S13" s="150" t="e">
        <f t="shared" si="0"/>
        <v>#VALUE!</v>
      </c>
      <c r="T13" s="150">
        <f t="shared" si="1"/>
        <v>0</v>
      </c>
    </row>
    <row r="14" spans="1:20" s="109" customFormat="1" x14ac:dyDescent="0.2">
      <c r="A14" s="144">
        <v>43911</v>
      </c>
      <c r="B14" s="145"/>
      <c r="C14" s="146" t="s">
        <v>177</v>
      </c>
      <c r="D14" s="146" t="s">
        <v>178</v>
      </c>
      <c r="E14" s="147" t="s">
        <v>179</v>
      </c>
      <c r="F14" s="145" t="s">
        <v>126</v>
      </c>
      <c r="G14" s="148">
        <v>185</v>
      </c>
      <c r="H14" s="149"/>
      <c r="I14" s="148" t="str">
        <f>IF(H14&gt;0,(#REF!*H14),"-")</f>
        <v>-</v>
      </c>
      <c r="J14" s="150">
        <v>1116</v>
      </c>
      <c r="K14" s="146" t="s">
        <v>127</v>
      </c>
      <c r="L14" s="146" t="s">
        <v>163</v>
      </c>
      <c r="M14" s="146" t="s">
        <v>129</v>
      </c>
      <c r="N14" s="146" t="s">
        <v>130</v>
      </c>
      <c r="O14" s="146" t="s">
        <v>180</v>
      </c>
      <c r="P14" s="146" t="s">
        <v>137</v>
      </c>
      <c r="Q14" s="146" t="s">
        <v>96</v>
      </c>
      <c r="R14" s="151">
        <v>0.1396</v>
      </c>
      <c r="S14" s="150" t="e">
        <f t="shared" si="0"/>
        <v>#VALUE!</v>
      </c>
      <c r="T14" s="150">
        <f t="shared" si="1"/>
        <v>0</v>
      </c>
    </row>
    <row r="15" spans="1:20" s="109" customFormat="1" x14ac:dyDescent="0.2">
      <c r="A15" s="144">
        <v>43911</v>
      </c>
      <c r="B15" s="145"/>
      <c r="C15" s="146" t="s">
        <v>181</v>
      </c>
      <c r="D15" s="146" t="s">
        <v>182</v>
      </c>
      <c r="E15" s="147" t="s">
        <v>183</v>
      </c>
      <c r="F15" s="145" t="s">
        <v>126</v>
      </c>
      <c r="G15" s="148">
        <v>215</v>
      </c>
      <c r="H15" s="149"/>
      <c r="I15" s="148" t="str">
        <f>IF(H15&gt;0,(#REF!*H15),"-")</f>
        <v>-</v>
      </c>
      <c r="J15" s="150">
        <v>3593</v>
      </c>
      <c r="K15" s="146" t="s">
        <v>127</v>
      </c>
      <c r="L15" s="146" t="s">
        <v>163</v>
      </c>
      <c r="M15" s="146" t="s">
        <v>129</v>
      </c>
      <c r="N15" s="146" t="s">
        <v>130</v>
      </c>
      <c r="O15" s="146" t="s">
        <v>184</v>
      </c>
      <c r="P15" s="146" t="s">
        <v>137</v>
      </c>
      <c r="Q15" s="146" t="s">
        <v>96</v>
      </c>
      <c r="R15" s="151">
        <v>0.37090000000000001</v>
      </c>
      <c r="S15" s="150" t="e">
        <f t="shared" si="0"/>
        <v>#VALUE!</v>
      </c>
      <c r="T15" s="150">
        <f t="shared" si="1"/>
        <v>0</v>
      </c>
    </row>
    <row r="16" spans="1:20" s="109" customFormat="1" x14ac:dyDescent="0.2">
      <c r="A16" s="144">
        <v>43911</v>
      </c>
      <c r="B16" s="145"/>
      <c r="C16" s="146" t="s">
        <v>185</v>
      </c>
      <c r="D16" s="146" t="s">
        <v>186</v>
      </c>
      <c r="E16" s="147" t="s">
        <v>187</v>
      </c>
      <c r="F16" s="145" t="s">
        <v>126</v>
      </c>
      <c r="G16" s="148">
        <v>200</v>
      </c>
      <c r="H16" s="149"/>
      <c r="I16" s="148" t="str">
        <f>IF(H16&gt;0,(#REF!*H16),"-")</f>
        <v>-</v>
      </c>
      <c r="J16" s="150">
        <v>1424</v>
      </c>
      <c r="K16" s="146" t="s">
        <v>127</v>
      </c>
      <c r="L16" s="146" t="s">
        <v>163</v>
      </c>
      <c r="M16" s="146" t="s">
        <v>129</v>
      </c>
      <c r="N16" s="146" t="s">
        <v>130</v>
      </c>
      <c r="O16" s="146" t="s">
        <v>188</v>
      </c>
      <c r="P16" s="146" t="s">
        <v>137</v>
      </c>
      <c r="Q16" s="146" t="s">
        <v>96</v>
      </c>
      <c r="R16" s="151">
        <v>0.153</v>
      </c>
      <c r="S16" s="150" t="e">
        <f t="shared" si="0"/>
        <v>#VALUE!</v>
      </c>
      <c r="T16" s="150">
        <f t="shared" si="1"/>
        <v>0</v>
      </c>
    </row>
    <row r="17" spans="1:20" s="109" customFormat="1" x14ac:dyDescent="0.2">
      <c r="A17" s="144">
        <v>43911</v>
      </c>
      <c r="B17" s="145"/>
      <c r="C17" s="146" t="s">
        <v>189</v>
      </c>
      <c r="D17" s="146" t="s">
        <v>190</v>
      </c>
      <c r="E17" s="147" t="s">
        <v>191</v>
      </c>
      <c r="F17" s="145" t="s">
        <v>126</v>
      </c>
      <c r="G17" s="148">
        <v>400</v>
      </c>
      <c r="H17" s="149"/>
      <c r="I17" s="148" t="str">
        <f>IF(H17&gt;0,(#REF!*H17),"-")</f>
        <v>-</v>
      </c>
      <c r="J17" s="150">
        <v>5492</v>
      </c>
      <c r="K17" s="146" t="s">
        <v>127</v>
      </c>
      <c r="L17" s="146" t="s">
        <v>163</v>
      </c>
      <c r="M17" s="146" t="s">
        <v>129</v>
      </c>
      <c r="N17" s="146" t="s">
        <v>130</v>
      </c>
      <c r="O17" s="146" t="s">
        <v>192</v>
      </c>
      <c r="P17" s="146" t="s">
        <v>137</v>
      </c>
      <c r="Q17" s="146" t="s">
        <v>97</v>
      </c>
      <c r="R17" s="151">
        <v>1.006</v>
      </c>
      <c r="S17" s="150" t="e">
        <f t="shared" si="0"/>
        <v>#VALUE!</v>
      </c>
      <c r="T17" s="150">
        <f t="shared" si="1"/>
        <v>0</v>
      </c>
    </row>
    <row r="18" spans="1:20" s="109" customFormat="1" x14ac:dyDescent="0.2">
      <c r="A18" s="152">
        <v>43910</v>
      </c>
      <c r="B18" s="153"/>
      <c r="C18" s="154" t="s">
        <v>193</v>
      </c>
      <c r="D18" s="154" t="s">
        <v>194</v>
      </c>
      <c r="E18" s="155" t="s">
        <v>195</v>
      </c>
      <c r="F18" s="153" t="s">
        <v>126</v>
      </c>
      <c r="G18" s="156">
        <v>37</v>
      </c>
      <c r="H18" s="157"/>
      <c r="I18" s="156" t="str">
        <f>IF(H18&gt;0,(#REF!*H18),"-")</f>
        <v>-</v>
      </c>
      <c r="J18" s="158">
        <v>568</v>
      </c>
      <c r="K18" s="154" t="s">
        <v>129</v>
      </c>
      <c r="L18" s="154" t="s">
        <v>129</v>
      </c>
      <c r="M18" s="154" t="s">
        <v>129</v>
      </c>
      <c r="N18" s="154" t="s">
        <v>130</v>
      </c>
      <c r="O18" s="154" t="s">
        <v>196</v>
      </c>
      <c r="P18" s="154" t="s">
        <v>197</v>
      </c>
      <c r="Q18" s="154" t="s">
        <v>96</v>
      </c>
      <c r="R18" s="159">
        <v>0.53900000000000003</v>
      </c>
      <c r="S18" s="158" t="e">
        <f t="shared" si="0"/>
        <v>#VALUE!</v>
      </c>
      <c r="T18" s="158">
        <f t="shared" si="1"/>
        <v>0</v>
      </c>
    </row>
    <row r="19" spans="1:20" s="109" customFormat="1" x14ac:dyDescent="0.2">
      <c r="A19" s="161">
        <v>43909</v>
      </c>
      <c r="B19" s="162"/>
      <c r="C19" s="163" t="s">
        <v>198</v>
      </c>
      <c r="D19" s="163" t="s">
        <v>199</v>
      </c>
      <c r="E19" s="164" t="s">
        <v>200</v>
      </c>
      <c r="F19" s="162" t="s">
        <v>126</v>
      </c>
      <c r="G19" s="165">
        <v>155</v>
      </c>
      <c r="H19" s="166"/>
      <c r="I19" s="165" t="str">
        <f>IF(H19&gt;0,(#REF!*H19),"-")</f>
        <v>-</v>
      </c>
      <c r="J19" s="167">
        <v>4050</v>
      </c>
      <c r="K19" s="163" t="s">
        <v>127</v>
      </c>
      <c r="L19" s="163" t="s">
        <v>144</v>
      </c>
      <c r="M19" s="163" t="s">
        <v>129</v>
      </c>
      <c r="N19" s="163" t="s">
        <v>130</v>
      </c>
      <c r="O19" s="163" t="s">
        <v>201</v>
      </c>
      <c r="P19" s="163" t="s">
        <v>137</v>
      </c>
      <c r="Q19" s="163" t="s">
        <v>96</v>
      </c>
      <c r="R19" s="168">
        <v>0.42030000000000001</v>
      </c>
      <c r="S19" s="167" t="e">
        <f t="shared" si="0"/>
        <v>#VALUE!</v>
      </c>
      <c r="T19" s="167">
        <f t="shared" si="1"/>
        <v>0</v>
      </c>
    </row>
    <row r="20" spans="1:20" s="109" customFormat="1" x14ac:dyDescent="0.2">
      <c r="A20" s="161">
        <v>43909</v>
      </c>
      <c r="B20" s="162" t="s">
        <v>202</v>
      </c>
      <c r="C20" s="163" t="s">
        <v>203</v>
      </c>
      <c r="D20" s="163" t="s">
        <v>204</v>
      </c>
      <c r="E20" s="164" t="s">
        <v>205</v>
      </c>
      <c r="F20" s="162" t="s">
        <v>130</v>
      </c>
      <c r="G20" s="165">
        <v>185</v>
      </c>
      <c r="H20" s="166"/>
      <c r="I20" s="165" t="str">
        <f>IF(H20&gt;0,(#REF!*H20),"-")</f>
        <v>-</v>
      </c>
      <c r="J20" s="167">
        <v>1046</v>
      </c>
      <c r="K20" s="163" t="s">
        <v>127</v>
      </c>
      <c r="L20" s="163" t="s">
        <v>144</v>
      </c>
      <c r="M20" s="163" t="s">
        <v>129</v>
      </c>
      <c r="N20" s="163" t="s">
        <v>130</v>
      </c>
      <c r="O20" s="163" t="s">
        <v>206</v>
      </c>
      <c r="P20" s="163" t="s">
        <v>137</v>
      </c>
      <c r="Q20" s="163" t="s">
        <v>96</v>
      </c>
      <c r="R20" s="168">
        <v>0.16800000000000001</v>
      </c>
      <c r="S20" s="167" t="e">
        <f t="shared" si="0"/>
        <v>#VALUE!</v>
      </c>
      <c r="T20" s="167">
        <f t="shared" si="1"/>
        <v>0</v>
      </c>
    </row>
    <row r="21" spans="1:20" s="109" customFormat="1" x14ac:dyDescent="0.2">
      <c r="A21" s="161">
        <v>43909</v>
      </c>
      <c r="B21" s="162" t="s">
        <v>207</v>
      </c>
      <c r="C21" s="163" t="s">
        <v>208</v>
      </c>
      <c r="D21" s="163" t="s">
        <v>209</v>
      </c>
      <c r="E21" s="164" t="s">
        <v>210</v>
      </c>
      <c r="F21" s="162" t="s">
        <v>130</v>
      </c>
      <c r="G21" s="165">
        <v>215</v>
      </c>
      <c r="H21" s="166"/>
      <c r="I21" s="165" t="str">
        <f>IF(H21&gt;0,(#REF!*H21),"-")</f>
        <v>-</v>
      </c>
      <c r="J21" s="167">
        <v>1522</v>
      </c>
      <c r="K21" s="163" t="s">
        <v>127</v>
      </c>
      <c r="L21" s="163" t="s">
        <v>144</v>
      </c>
      <c r="M21" s="163" t="s">
        <v>129</v>
      </c>
      <c r="N21" s="163" t="s">
        <v>130</v>
      </c>
      <c r="O21" s="163" t="s">
        <v>211</v>
      </c>
      <c r="P21" s="163" t="s">
        <v>137</v>
      </c>
      <c r="Q21" s="163" t="s">
        <v>96</v>
      </c>
      <c r="R21" s="168">
        <v>0.24879999999999999</v>
      </c>
      <c r="S21" s="167" t="e">
        <f t="shared" si="0"/>
        <v>#VALUE!</v>
      </c>
      <c r="T21" s="167">
        <f t="shared" si="1"/>
        <v>0</v>
      </c>
    </row>
    <row r="22" spans="1:20" s="109" customFormat="1" x14ac:dyDescent="0.2">
      <c r="A22" s="161">
        <v>43909</v>
      </c>
      <c r="B22" s="162" t="s">
        <v>207</v>
      </c>
      <c r="C22" s="163" t="s">
        <v>212</v>
      </c>
      <c r="D22" s="163" t="s">
        <v>213</v>
      </c>
      <c r="E22" s="164" t="s">
        <v>214</v>
      </c>
      <c r="F22" s="162" t="s">
        <v>130</v>
      </c>
      <c r="G22" s="165">
        <v>215</v>
      </c>
      <c r="H22" s="166"/>
      <c r="I22" s="165" t="str">
        <f>IF(H22&gt;0,(#REF!*H22),"-")</f>
        <v>-</v>
      </c>
      <c r="J22" s="167">
        <v>1860</v>
      </c>
      <c r="K22" s="163" t="s">
        <v>127</v>
      </c>
      <c r="L22" s="163" t="s">
        <v>144</v>
      </c>
      <c r="M22" s="163" t="s">
        <v>129</v>
      </c>
      <c r="N22" s="163" t="s">
        <v>130</v>
      </c>
      <c r="O22" s="163" t="s">
        <v>215</v>
      </c>
      <c r="P22" s="163" t="s">
        <v>137</v>
      </c>
      <c r="Q22" s="163" t="s">
        <v>96</v>
      </c>
      <c r="R22" s="168">
        <v>0.26400000000000001</v>
      </c>
      <c r="S22" s="167" t="e">
        <f t="shared" si="0"/>
        <v>#VALUE!</v>
      </c>
      <c r="T22" s="167">
        <f t="shared" si="1"/>
        <v>0</v>
      </c>
    </row>
    <row r="23" spans="1:20" s="109" customFormat="1" x14ac:dyDescent="0.2">
      <c r="A23" s="161">
        <v>43909</v>
      </c>
      <c r="B23" s="162" t="s">
        <v>207</v>
      </c>
      <c r="C23" s="163" t="s">
        <v>216</v>
      </c>
      <c r="D23" s="163" t="s">
        <v>217</v>
      </c>
      <c r="E23" s="164" t="s">
        <v>218</v>
      </c>
      <c r="F23" s="162" t="s">
        <v>130</v>
      </c>
      <c r="G23" s="165">
        <v>215</v>
      </c>
      <c r="H23" s="166"/>
      <c r="I23" s="165" t="str">
        <f>IF(H23&gt;0,(#REF!*H23),"-")</f>
        <v>-</v>
      </c>
      <c r="J23" s="167">
        <v>1860</v>
      </c>
      <c r="K23" s="163" t="s">
        <v>127</v>
      </c>
      <c r="L23" s="163" t="s">
        <v>144</v>
      </c>
      <c r="M23" s="163" t="s">
        <v>129</v>
      </c>
      <c r="N23" s="163" t="s">
        <v>130</v>
      </c>
      <c r="O23" s="163" t="s">
        <v>219</v>
      </c>
      <c r="P23" s="163" t="s">
        <v>137</v>
      </c>
      <c r="Q23" s="163" t="s">
        <v>96</v>
      </c>
      <c r="R23" s="168">
        <v>0.2762</v>
      </c>
      <c r="S23" s="167" t="e">
        <f t="shared" si="0"/>
        <v>#VALUE!</v>
      </c>
      <c r="T23" s="167">
        <f t="shared" si="1"/>
        <v>0</v>
      </c>
    </row>
    <row r="24" spans="1:20" s="109" customFormat="1" x14ac:dyDescent="0.2">
      <c r="A24" s="161">
        <v>43909</v>
      </c>
      <c r="B24" s="162"/>
      <c r="C24" s="163" t="s">
        <v>220</v>
      </c>
      <c r="D24" s="163" t="s">
        <v>221</v>
      </c>
      <c r="E24" s="164" t="s">
        <v>222</v>
      </c>
      <c r="F24" s="162" t="s">
        <v>126</v>
      </c>
      <c r="G24" s="165">
        <v>185</v>
      </c>
      <c r="H24" s="166"/>
      <c r="I24" s="165" t="str">
        <f>IF(H24&gt;0,(#REF!*H24),"-")</f>
        <v>-</v>
      </c>
      <c r="J24" s="167">
        <v>1058</v>
      </c>
      <c r="K24" s="163" t="s">
        <v>127</v>
      </c>
      <c r="L24" s="163" t="s">
        <v>144</v>
      </c>
      <c r="M24" s="163" t="s">
        <v>129</v>
      </c>
      <c r="N24" s="163" t="s">
        <v>130</v>
      </c>
      <c r="O24" s="163" t="s">
        <v>223</v>
      </c>
      <c r="P24" s="163" t="s">
        <v>137</v>
      </c>
      <c r="Q24" s="163" t="s">
        <v>96</v>
      </c>
      <c r="R24" s="168">
        <v>0.13539999999999999</v>
      </c>
      <c r="S24" s="167" t="e">
        <f t="shared" si="0"/>
        <v>#VALUE!</v>
      </c>
      <c r="T24" s="167">
        <f t="shared" si="1"/>
        <v>0</v>
      </c>
    </row>
    <row r="25" spans="1:20" s="109" customFormat="1" x14ac:dyDescent="0.2">
      <c r="A25" s="161">
        <v>43909</v>
      </c>
      <c r="B25" s="162"/>
      <c r="C25" s="163" t="s">
        <v>224</v>
      </c>
      <c r="D25" s="163" t="s">
        <v>225</v>
      </c>
      <c r="E25" s="164" t="s">
        <v>226</v>
      </c>
      <c r="F25" s="162" t="s">
        <v>126</v>
      </c>
      <c r="G25" s="165">
        <v>280</v>
      </c>
      <c r="H25" s="166"/>
      <c r="I25" s="165" t="str">
        <f>IF(H25&gt;0,(#REF!*H25),"-")</f>
        <v>-</v>
      </c>
      <c r="J25" s="167">
        <v>2565</v>
      </c>
      <c r="K25" s="163" t="s">
        <v>127</v>
      </c>
      <c r="L25" s="163" t="s">
        <v>144</v>
      </c>
      <c r="M25" s="163" t="s">
        <v>129</v>
      </c>
      <c r="N25" s="163" t="s">
        <v>130</v>
      </c>
      <c r="O25" s="163" t="s">
        <v>227</v>
      </c>
      <c r="P25" s="163" t="s">
        <v>137</v>
      </c>
      <c r="Q25" s="163" t="s">
        <v>96</v>
      </c>
      <c r="R25" s="168">
        <v>0.38840000000000002</v>
      </c>
      <c r="S25" s="167" t="e">
        <f t="shared" si="0"/>
        <v>#VALUE!</v>
      </c>
      <c r="T25" s="167">
        <f t="shared" si="1"/>
        <v>0</v>
      </c>
    </row>
    <row r="26" spans="1:20" s="109" customFormat="1" x14ac:dyDescent="0.2">
      <c r="A26" s="161">
        <v>43909</v>
      </c>
      <c r="B26" s="162"/>
      <c r="C26" s="163" t="s">
        <v>228</v>
      </c>
      <c r="D26" s="163" t="s">
        <v>229</v>
      </c>
      <c r="E26" s="164" t="s">
        <v>230</v>
      </c>
      <c r="F26" s="162" t="s">
        <v>126</v>
      </c>
      <c r="G26" s="165">
        <v>215</v>
      </c>
      <c r="H26" s="166"/>
      <c r="I26" s="165" t="str">
        <f>IF(H26&gt;0,(#REF!*H26),"-")</f>
        <v>-</v>
      </c>
      <c r="J26" s="167">
        <v>1563</v>
      </c>
      <c r="K26" s="163" t="s">
        <v>127</v>
      </c>
      <c r="L26" s="163" t="s">
        <v>144</v>
      </c>
      <c r="M26" s="163" t="s">
        <v>129</v>
      </c>
      <c r="N26" s="163" t="s">
        <v>130</v>
      </c>
      <c r="O26" s="163" t="s">
        <v>231</v>
      </c>
      <c r="P26" s="163" t="s">
        <v>137</v>
      </c>
      <c r="Q26" s="163" t="s">
        <v>96</v>
      </c>
      <c r="R26" s="168">
        <v>0.25269999999999998</v>
      </c>
      <c r="S26" s="167" t="e">
        <f t="shared" si="0"/>
        <v>#VALUE!</v>
      </c>
      <c r="T26" s="167">
        <f t="shared" si="1"/>
        <v>0</v>
      </c>
    </row>
    <row r="27" spans="1:20" s="109" customFormat="1" x14ac:dyDescent="0.2">
      <c r="A27" s="161">
        <v>43909</v>
      </c>
      <c r="B27" s="162" t="s">
        <v>207</v>
      </c>
      <c r="C27" s="163" t="s">
        <v>232</v>
      </c>
      <c r="D27" s="163" t="s">
        <v>233</v>
      </c>
      <c r="E27" s="164" t="s">
        <v>234</v>
      </c>
      <c r="F27" s="162" t="s">
        <v>130</v>
      </c>
      <c r="G27" s="165">
        <v>155</v>
      </c>
      <c r="H27" s="166"/>
      <c r="I27" s="165" t="str">
        <f>IF(H27&gt;0,(#REF!*H27),"-")</f>
        <v>-</v>
      </c>
      <c r="J27" s="167">
        <v>926</v>
      </c>
      <c r="K27" s="163" t="s">
        <v>127</v>
      </c>
      <c r="L27" s="163" t="s">
        <v>144</v>
      </c>
      <c r="M27" s="163" t="s">
        <v>129</v>
      </c>
      <c r="N27" s="163" t="s">
        <v>130</v>
      </c>
      <c r="O27" s="163" t="s">
        <v>235</v>
      </c>
      <c r="P27" s="163" t="s">
        <v>132</v>
      </c>
      <c r="Q27" s="163" t="s">
        <v>97</v>
      </c>
      <c r="R27" s="168">
        <v>0.754</v>
      </c>
      <c r="S27" s="167" t="e">
        <f t="shared" si="0"/>
        <v>#VALUE!</v>
      </c>
      <c r="T27" s="167">
        <f t="shared" si="1"/>
        <v>0</v>
      </c>
    </row>
    <row r="28" spans="1:20" s="109" customFormat="1" x14ac:dyDescent="0.2">
      <c r="A28" s="161">
        <v>43909</v>
      </c>
      <c r="B28" s="162" t="s">
        <v>207</v>
      </c>
      <c r="C28" s="163" t="s">
        <v>236</v>
      </c>
      <c r="D28" s="163" t="s">
        <v>237</v>
      </c>
      <c r="E28" s="164" t="s">
        <v>238</v>
      </c>
      <c r="F28" s="162" t="s">
        <v>130</v>
      </c>
      <c r="G28" s="165">
        <v>155</v>
      </c>
      <c r="H28" s="166"/>
      <c r="I28" s="165" t="str">
        <f>IF(H28&gt;0,(#REF!*H28),"-")</f>
        <v>-</v>
      </c>
      <c r="J28" s="167">
        <v>1522</v>
      </c>
      <c r="K28" s="163" t="s">
        <v>127</v>
      </c>
      <c r="L28" s="163" t="s">
        <v>144</v>
      </c>
      <c r="M28" s="163" t="s">
        <v>129</v>
      </c>
      <c r="N28" s="163" t="s">
        <v>130</v>
      </c>
      <c r="O28" s="163" t="s">
        <v>239</v>
      </c>
      <c r="P28" s="163" t="s">
        <v>137</v>
      </c>
      <c r="Q28" s="163" t="s">
        <v>96</v>
      </c>
      <c r="R28" s="168">
        <v>0.22739999999999999</v>
      </c>
      <c r="S28" s="167" t="e">
        <f t="shared" si="0"/>
        <v>#VALUE!</v>
      </c>
      <c r="T28" s="167">
        <f t="shared" si="1"/>
        <v>0</v>
      </c>
    </row>
    <row r="29" spans="1:20" s="109" customFormat="1" x14ac:dyDescent="0.2">
      <c r="A29" s="161">
        <v>43909</v>
      </c>
      <c r="B29" s="162" t="s">
        <v>207</v>
      </c>
      <c r="C29" s="163" t="s">
        <v>240</v>
      </c>
      <c r="D29" s="163" t="s">
        <v>241</v>
      </c>
      <c r="E29" s="164" t="s">
        <v>242</v>
      </c>
      <c r="F29" s="162" t="s">
        <v>130</v>
      </c>
      <c r="G29" s="165">
        <v>185</v>
      </c>
      <c r="H29" s="166"/>
      <c r="I29" s="165" t="str">
        <f>IF(H29&gt;0,(#REF!*H29),"-")</f>
        <v>-</v>
      </c>
      <c r="J29" s="167">
        <v>1522</v>
      </c>
      <c r="K29" s="163" t="s">
        <v>127</v>
      </c>
      <c r="L29" s="163" t="s">
        <v>144</v>
      </c>
      <c r="M29" s="163" t="s">
        <v>129</v>
      </c>
      <c r="N29" s="163" t="s">
        <v>130</v>
      </c>
      <c r="O29" s="163" t="s">
        <v>243</v>
      </c>
      <c r="P29" s="163" t="s">
        <v>137</v>
      </c>
      <c r="Q29" s="163" t="s">
        <v>96</v>
      </c>
      <c r="R29" s="168">
        <v>0.186</v>
      </c>
      <c r="S29" s="167" t="e">
        <f t="shared" si="0"/>
        <v>#VALUE!</v>
      </c>
      <c r="T29" s="167">
        <f t="shared" si="1"/>
        <v>0</v>
      </c>
    </row>
    <row r="30" spans="1:20" s="109" customFormat="1" x14ac:dyDescent="0.2">
      <c r="A30" s="161">
        <v>43909</v>
      </c>
      <c r="B30" s="162"/>
      <c r="C30" s="163" t="s">
        <v>244</v>
      </c>
      <c r="D30" s="163" t="s">
        <v>245</v>
      </c>
      <c r="E30" s="164" t="s">
        <v>246</v>
      </c>
      <c r="F30" s="162" t="s">
        <v>126</v>
      </c>
      <c r="G30" s="165">
        <v>205</v>
      </c>
      <c r="H30" s="166"/>
      <c r="I30" s="165" t="str">
        <f>IF(H30&gt;0,(#REF!*H30),"-")</f>
        <v>-</v>
      </c>
      <c r="J30" s="167">
        <v>1522</v>
      </c>
      <c r="K30" s="163" t="s">
        <v>127</v>
      </c>
      <c r="L30" s="163" t="s">
        <v>144</v>
      </c>
      <c r="M30" s="163" t="s">
        <v>129</v>
      </c>
      <c r="N30" s="163" t="s">
        <v>130</v>
      </c>
      <c r="O30" s="163" t="s">
        <v>247</v>
      </c>
      <c r="P30" s="163" t="s">
        <v>137</v>
      </c>
      <c r="Q30" s="163" t="s">
        <v>96</v>
      </c>
      <c r="R30" s="168">
        <v>0.19600000000000001</v>
      </c>
      <c r="S30" s="167" t="e">
        <f t="shared" si="0"/>
        <v>#VALUE!</v>
      </c>
      <c r="T30" s="167">
        <f t="shared" si="1"/>
        <v>0</v>
      </c>
    </row>
    <row r="31" spans="1:20" s="109" customFormat="1" x14ac:dyDescent="0.2">
      <c r="A31" s="161">
        <v>43909</v>
      </c>
      <c r="B31" s="162" t="s">
        <v>207</v>
      </c>
      <c r="C31" s="163" t="s">
        <v>248</v>
      </c>
      <c r="D31" s="163" t="s">
        <v>249</v>
      </c>
      <c r="E31" s="164" t="s">
        <v>250</v>
      </c>
      <c r="F31" s="162" t="s">
        <v>130</v>
      </c>
      <c r="G31" s="165">
        <v>310</v>
      </c>
      <c r="H31" s="166"/>
      <c r="I31" s="165" t="str">
        <f>IF(H31&gt;0,(#REF!*H31),"-")</f>
        <v>-</v>
      </c>
      <c r="J31" s="167">
        <v>5063</v>
      </c>
      <c r="K31" s="163" t="s">
        <v>127</v>
      </c>
      <c r="L31" s="163" t="s">
        <v>144</v>
      </c>
      <c r="M31" s="163" t="s">
        <v>129</v>
      </c>
      <c r="N31" s="163" t="s">
        <v>130</v>
      </c>
      <c r="O31" s="163" t="s">
        <v>251</v>
      </c>
      <c r="P31" s="163" t="s">
        <v>137</v>
      </c>
      <c r="Q31" s="163" t="s">
        <v>96</v>
      </c>
      <c r="R31" s="168">
        <v>0.57499999999999996</v>
      </c>
      <c r="S31" s="167" t="e">
        <f t="shared" si="0"/>
        <v>#VALUE!</v>
      </c>
      <c r="T31" s="167">
        <f t="shared" si="1"/>
        <v>0</v>
      </c>
    </row>
    <row r="32" spans="1:20" s="109" customFormat="1" x14ac:dyDescent="0.2">
      <c r="A32" s="161">
        <v>43909</v>
      </c>
      <c r="B32" s="162" t="s">
        <v>207</v>
      </c>
      <c r="C32" s="163" t="s">
        <v>252</v>
      </c>
      <c r="D32" s="163" t="s">
        <v>253</v>
      </c>
      <c r="E32" s="164" t="s">
        <v>254</v>
      </c>
      <c r="F32" s="162" t="s">
        <v>130</v>
      </c>
      <c r="G32" s="165">
        <v>205</v>
      </c>
      <c r="H32" s="166"/>
      <c r="I32" s="165" t="str">
        <f>IF(H32&gt;0,(#REF!*H32),"-")</f>
        <v>-</v>
      </c>
      <c r="J32" s="167">
        <v>1046</v>
      </c>
      <c r="K32" s="163" t="s">
        <v>127</v>
      </c>
      <c r="L32" s="163" t="s">
        <v>144</v>
      </c>
      <c r="M32" s="163" t="s">
        <v>129</v>
      </c>
      <c r="N32" s="163" t="s">
        <v>130</v>
      </c>
      <c r="O32" s="163" t="s">
        <v>255</v>
      </c>
      <c r="P32" s="163" t="s">
        <v>137</v>
      </c>
      <c r="Q32" s="163" t="s">
        <v>96</v>
      </c>
      <c r="R32" s="168">
        <v>0.153</v>
      </c>
      <c r="S32" s="167" t="e">
        <f t="shared" si="0"/>
        <v>#VALUE!</v>
      </c>
      <c r="T32" s="167">
        <f t="shared" si="1"/>
        <v>0</v>
      </c>
    </row>
    <row r="33" spans="1:20" s="109" customFormat="1" x14ac:dyDescent="0.2">
      <c r="A33" s="161">
        <v>43909</v>
      </c>
      <c r="B33" s="162"/>
      <c r="C33" s="163" t="s">
        <v>256</v>
      </c>
      <c r="D33" s="163" t="s">
        <v>257</v>
      </c>
      <c r="E33" s="164" t="s">
        <v>258</v>
      </c>
      <c r="F33" s="162" t="s">
        <v>126</v>
      </c>
      <c r="G33" s="165">
        <v>215</v>
      </c>
      <c r="H33" s="166"/>
      <c r="I33" s="165" t="str">
        <f>IF(H33&gt;0,(#REF!*H33),"-")</f>
        <v>-</v>
      </c>
      <c r="J33" s="167">
        <v>1522</v>
      </c>
      <c r="K33" s="163" t="s">
        <v>127</v>
      </c>
      <c r="L33" s="163" t="s">
        <v>144</v>
      </c>
      <c r="M33" s="163" t="s">
        <v>129</v>
      </c>
      <c r="N33" s="163" t="s">
        <v>130</v>
      </c>
      <c r="O33" s="163" t="s">
        <v>259</v>
      </c>
      <c r="P33" s="163" t="s">
        <v>137</v>
      </c>
      <c r="Q33" s="163" t="s">
        <v>96</v>
      </c>
      <c r="R33" s="168">
        <v>0.1918</v>
      </c>
      <c r="S33" s="167" t="e">
        <f t="shared" si="0"/>
        <v>#VALUE!</v>
      </c>
      <c r="T33" s="167">
        <f t="shared" si="1"/>
        <v>0</v>
      </c>
    </row>
    <row r="34" spans="1:20" s="109" customFormat="1" x14ac:dyDescent="0.2">
      <c r="A34" s="161">
        <v>43909</v>
      </c>
      <c r="B34" s="162"/>
      <c r="C34" s="163" t="s">
        <v>260</v>
      </c>
      <c r="D34" s="163" t="s">
        <v>261</v>
      </c>
      <c r="E34" s="164" t="s">
        <v>262</v>
      </c>
      <c r="F34" s="162" t="s">
        <v>126</v>
      </c>
      <c r="G34" s="165">
        <v>115</v>
      </c>
      <c r="H34" s="166"/>
      <c r="I34" s="165" t="str">
        <f>IF(H34&gt;0,(#REF!*H34),"-")</f>
        <v>-</v>
      </c>
      <c r="J34" s="167">
        <v>398</v>
      </c>
      <c r="K34" s="163" t="s">
        <v>127</v>
      </c>
      <c r="L34" s="163" t="s">
        <v>144</v>
      </c>
      <c r="M34" s="163" t="s">
        <v>129</v>
      </c>
      <c r="N34" s="163" t="s">
        <v>130</v>
      </c>
      <c r="O34" s="163" t="s">
        <v>263</v>
      </c>
      <c r="P34" s="163" t="s">
        <v>137</v>
      </c>
      <c r="Q34" s="163" t="s">
        <v>96</v>
      </c>
      <c r="R34" s="168">
        <v>2.6800000000000001E-2</v>
      </c>
      <c r="S34" s="167" t="e">
        <f t="shared" si="0"/>
        <v>#VALUE!</v>
      </c>
      <c r="T34" s="167">
        <f t="shared" si="1"/>
        <v>0</v>
      </c>
    </row>
    <row r="35" spans="1:20" s="109" customFormat="1" x14ac:dyDescent="0.2">
      <c r="A35" s="161">
        <v>43909</v>
      </c>
      <c r="B35" s="162"/>
      <c r="C35" s="163" t="s">
        <v>264</v>
      </c>
      <c r="D35" s="163" t="s">
        <v>265</v>
      </c>
      <c r="E35" s="164" t="s">
        <v>266</v>
      </c>
      <c r="F35" s="162" t="s">
        <v>126</v>
      </c>
      <c r="G35" s="165">
        <v>115</v>
      </c>
      <c r="H35" s="166"/>
      <c r="I35" s="165" t="str">
        <f>IF(H35&gt;0,(#REF!*H35),"-")</f>
        <v>-</v>
      </c>
      <c r="J35" s="167">
        <v>398</v>
      </c>
      <c r="K35" s="163" t="s">
        <v>127</v>
      </c>
      <c r="L35" s="163" t="s">
        <v>144</v>
      </c>
      <c r="M35" s="163" t="s">
        <v>129</v>
      </c>
      <c r="N35" s="163" t="s">
        <v>130</v>
      </c>
      <c r="O35" s="163" t="s">
        <v>267</v>
      </c>
      <c r="P35" s="163" t="s">
        <v>137</v>
      </c>
      <c r="Q35" s="163" t="s">
        <v>96</v>
      </c>
      <c r="R35" s="168">
        <v>2.53E-2</v>
      </c>
      <c r="S35" s="167" t="e">
        <f t="shared" si="0"/>
        <v>#VALUE!</v>
      </c>
      <c r="T35" s="167">
        <f t="shared" si="1"/>
        <v>0</v>
      </c>
    </row>
    <row r="36" spans="1:20" s="109" customFormat="1" x14ac:dyDescent="0.2">
      <c r="A36" s="161">
        <v>43909</v>
      </c>
      <c r="B36" s="162"/>
      <c r="C36" s="163" t="s">
        <v>268</v>
      </c>
      <c r="D36" s="163" t="s">
        <v>269</v>
      </c>
      <c r="E36" s="164" t="s">
        <v>270</v>
      </c>
      <c r="F36" s="162" t="s">
        <v>126</v>
      </c>
      <c r="G36" s="165">
        <v>50</v>
      </c>
      <c r="H36" s="166"/>
      <c r="I36" s="165" t="str">
        <f>IF(H36&gt;0,(#REF!*H36),"-")</f>
        <v>-</v>
      </c>
      <c r="J36" s="167">
        <v>398</v>
      </c>
      <c r="K36" s="163" t="s">
        <v>127</v>
      </c>
      <c r="L36" s="163" t="s">
        <v>144</v>
      </c>
      <c r="M36" s="163" t="s">
        <v>129</v>
      </c>
      <c r="N36" s="163" t="s">
        <v>130</v>
      </c>
      <c r="O36" s="163" t="s">
        <v>271</v>
      </c>
      <c r="P36" s="163" t="s">
        <v>137</v>
      </c>
      <c r="Q36" s="163" t="s">
        <v>96</v>
      </c>
      <c r="R36" s="168">
        <v>2.2200000000000001E-2</v>
      </c>
      <c r="S36" s="167" t="e">
        <f t="shared" si="0"/>
        <v>#VALUE!</v>
      </c>
      <c r="T36" s="167">
        <f t="shared" si="1"/>
        <v>0</v>
      </c>
    </row>
    <row r="37" spans="1:20" s="109" customFormat="1" x14ac:dyDescent="0.2">
      <c r="A37" s="161">
        <v>43909</v>
      </c>
      <c r="B37" s="162"/>
      <c r="C37" s="163" t="s">
        <v>272</v>
      </c>
      <c r="D37" s="163" t="s">
        <v>273</v>
      </c>
      <c r="E37" s="164" t="s">
        <v>274</v>
      </c>
      <c r="F37" s="162" t="s">
        <v>126</v>
      </c>
      <c r="G37" s="165">
        <v>50</v>
      </c>
      <c r="H37" s="166"/>
      <c r="I37" s="165" t="str">
        <f>IF(H37&gt;0,(#REF!*H37),"-")</f>
        <v>-</v>
      </c>
      <c r="J37" s="167">
        <v>398</v>
      </c>
      <c r="K37" s="163" t="s">
        <v>127</v>
      </c>
      <c r="L37" s="163" t="s">
        <v>144</v>
      </c>
      <c r="M37" s="163" t="s">
        <v>129</v>
      </c>
      <c r="N37" s="163" t="s">
        <v>130</v>
      </c>
      <c r="O37" s="163" t="s">
        <v>275</v>
      </c>
      <c r="P37" s="163" t="s">
        <v>137</v>
      </c>
      <c r="Q37" s="163" t="s">
        <v>96</v>
      </c>
      <c r="R37" s="168">
        <v>2.24E-2</v>
      </c>
      <c r="S37" s="167" t="e">
        <f t="shared" si="0"/>
        <v>#VALUE!</v>
      </c>
      <c r="T37" s="167">
        <f t="shared" si="1"/>
        <v>0</v>
      </c>
    </row>
    <row r="38" spans="1:20" s="109" customFormat="1" x14ac:dyDescent="0.2">
      <c r="A38" s="161">
        <v>43909</v>
      </c>
      <c r="B38" s="162" t="s">
        <v>202</v>
      </c>
      <c r="C38" s="163" t="s">
        <v>276</v>
      </c>
      <c r="D38" s="163" t="s">
        <v>277</v>
      </c>
      <c r="E38" s="164" t="s">
        <v>278</v>
      </c>
      <c r="F38" s="162" t="s">
        <v>130</v>
      </c>
      <c r="G38" s="165">
        <v>370</v>
      </c>
      <c r="H38" s="166"/>
      <c r="I38" s="165" t="str">
        <f>IF(H38&gt;0,(#REF!*H38),"-")</f>
        <v>-</v>
      </c>
      <c r="J38" s="167">
        <v>3613</v>
      </c>
      <c r="K38" s="163" t="s">
        <v>127</v>
      </c>
      <c r="L38" s="163" t="s">
        <v>144</v>
      </c>
      <c r="M38" s="163" t="s">
        <v>129</v>
      </c>
      <c r="N38" s="163" t="s">
        <v>130</v>
      </c>
      <c r="O38" s="163" t="s">
        <v>279</v>
      </c>
      <c r="P38" s="163" t="s">
        <v>137</v>
      </c>
      <c r="Q38" s="163" t="s">
        <v>96</v>
      </c>
      <c r="R38" s="168">
        <v>0.55400000000000005</v>
      </c>
      <c r="S38" s="167" t="e">
        <f t="shared" si="0"/>
        <v>#VALUE!</v>
      </c>
      <c r="T38" s="167">
        <f t="shared" si="1"/>
        <v>0</v>
      </c>
    </row>
    <row r="39" spans="1:20" s="109" customFormat="1" x14ac:dyDescent="0.2">
      <c r="A39" s="161">
        <v>43909</v>
      </c>
      <c r="B39" s="162" t="s">
        <v>207</v>
      </c>
      <c r="C39" s="163" t="s">
        <v>280</v>
      </c>
      <c r="D39" s="163" t="s">
        <v>281</v>
      </c>
      <c r="E39" s="164" t="s">
        <v>282</v>
      </c>
      <c r="F39" s="162" t="s">
        <v>130</v>
      </c>
      <c r="G39" s="165">
        <v>155</v>
      </c>
      <c r="H39" s="166"/>
      <c r="I39" s="165" t="str">
        <f>IF(H39&gt;0,(#REF!*H39),"-")</f>
        <v>-</v>
      </c>
      <c r="J39" s="167">
        <v>828</v>
      </c>
      <c r="K39" s="163" t="s">
        <v>127</v>
      </c>
      <c r="L39" s="163" t="s">
        <v>283</v>
      </c>
      <c r="M39" s="163" t="s">
        <v>129</v>
      </c>
      <c r="N39" s="163" t="s">
        <v>130</v>
      </c>
      <c r="O39" s="163" t="s">
        <v>284</v>
      </c>
      <c r="P39" s="163" t="s">
        <v>132</v>
      </c>
      <c r="Q39" s="163" t="s">
        <v>97</v>
      </c>
      <c r="R39" s="168">
        <v>0.71399999999999997</v>
      </c>
      <c r="S39" s="167" t="e">
        <f t="shared" si="0"/>
        <v>#VALUE!</v>
      </c>
      <c r="T39" s="167">
        <f t="shared" si="1"/>
        <v>0</v>
      </c>
    </row>
    <row r="40" spans="1:20" s="109" customFormat="1" x14ac:dyDescent="0.2">
      <c r="A40" s="161">
        <v>43909</v>
      </c>
      <c r="B40" s="162" t="s">
        <v>207</v>
      </c>
      <c r="C40" s="163" t="s">
        <v>285</v>
      </c>
      <c r="D40" s="163" t="s">
        <v>286</v>
      </c>
      <c r="E40" s="164" t="s">
        <v>287</v>
      </c>
      <c r="F40" s="162" t="s">
        <v>130</v>
      </c>
      <c r="G40" s="165">
        <v>155</v>
      </c>
      <c r="H40" s="166"/>
      <c r="I40" s="165" t="str">
        <f>IF(H40&gt;0,(#REF!*H40),"-")</f>
        <v>-</v>
      </c>
      <c r="J40" s="167">
        <v>2363</v>
      </c>
      <c r="K40" s="163" t="s">
        <v>127</v>
      </c>
      <c r="L40" s="163" t="s">
        <v>283</v>
      </c>
      <c r="M40" s="163" t="s">
        <v>129</v>
      </c>
      <c r="N40" s="163" t="s">
        <v>130</v>
      </c>
      <c r="O40" s="163" t="s">
        <v>288</v>
      </c>
      <c r="P40" s="163" t="s">
        <v>137</v>
      </c>
      <c r="Q40" s="163" t="s">
        <v>96</v>
      </c>
      <c r="R40" s="168">
        <v>0.30499999999999999</v>
      </c>
      <c r="S40" s="167" t="e">
        <f t="shared" si="0"/>
        <v>#VALUE!</v>
      </c>
      <c r="T40" s="167">
        <f t="shared" si="1"/>
        <v>0</v>
      </c>
    </row>
    <row r="41" spans="1:20" s="109" customFormat="1" x14ac:dyDescent="0.2">
      <c r="A41" s="161">
        <v>43909</v>
      </c>
      <c r="B41" s="162" t="s">
        <v>289</v>
      </c>
      <c r="C41" s="163" t="s">
        <v>290</v>
      </c>
      <c r="D41" s="163" t="s">
        <v>291</v>
      </c>
      <c r="E41" s="164" t="s">
        <v>292</v>
      </c>
      <c r="F41" s="162" t="s">
        <v>130</v>
      </c>
      <c r="G41" s="165">
        <v>125</v>
      </c>
      <c r="H41" s="166"/>
      <c r="I41" s="165" t="str">
        <f>IF(H41&gt;0,(#REF!*H41),"-")</f>
        <v>-</v>
      </c>
      <c r="J41" s="167">
        <v>1522</v>
      </c>
      <c r="K41" s="163" t="s">
        <v>127</v>
      </c>
      <c r="L41" s="163" t="s">
        <v>283</v>
      </c>
      <c r="M41" s="163" t="s">
        <v>129</v>
      </c>
      <c r="N41" s="163" t="s">
        <v>130</v>
      </c>
      <c r="O41" s="163" t="s">
        <v>293</v>
      </c>
      <c r="P41" s="163" t="s">
        <v>137</v>
      </c>
      <c r="Q41" s="163" t="s">
        <v>96</v>
      </c>
      <c r="R41" s="168">
        <v>0.19620000000000001</v>
      </c>
      <c r="S41" s="167" t="e">
        <f t="shared" si="0"/>
        <v>#VALUE!</v>
      </c>
      <c r="T41" s="167">
        <f t="shared" si="1"/>
        <v>0</v>
      </c>
    </row>
    <row r="42" spans="1:20" s="109" customFormat="1" x14ac:dyDescent="0.2">
      <c r="A42" s="161">
        <v>43909</v>
      </c>
      <c r="B42" s="162" t="s">
        <v>202</v>
      </c>
      <c r="C42" s="163" t="s">
        <v>294</v>
      </c>
      <c r="D42" s="163" t="s">
        <v>295</v>
      </c>
      <c r="E42" s="164" t="s">
        <v>296</v>
      </c>
      <c r="F42" s="162" t="s">
        <v>130</v>
      </c>
      <c r="G42" s="165">
        <v>110</v>
      </c>
      <c r="H42" s="166"/>
      <c r="I42" s="165" t="str">
        <f>IF(H42&gt;0,(#REF!*H42),"-")</f>
        <v>-</v>
      </c>
      <c r="J42" s="167">
        <v>1384</v>
      </c>
      <c r="K42" s="163" t="s">
        <v>127</v>
      </c>
      <c r="L42" s="163" t="s">
        <v>283</v>
      </c>
      <c r="M42" s="163" t="s">
        <v>129</v>
      </c>
      <c r="N42" s="163" t="s">
        <v>130</v>
      </c>
      <c r="O42" s="163" t="s">
        <v>297</v>
      </c>
      <c r="P42" s="163" t="s">
        <v>137</v>
      </c>
      <c r="Q42" s="163" t="s">
        <v>96</v>
      </c>
      <c r="R42" s="168">
        <v>0.1779</v>
      </c>
      <c r="S42" s="167" t="e">
        <f t="shared" si="0"/>
        <v>#VALUE!</v>
      </c>
      <c r="T42" s="167">
        <f t="shared" si="1"/>
        <v>0</v>
      </c>
    </row>
    <row r="43" spans="1:20" s="109" customFormat="1" x14ac:dyDescent="0.2">
      <c r="A43" s="161">
        <v>43909</v>
      </c>
      <c r="B43" s="162" t="s">
        <v>289</v>
      </c>
      <c r="C43" s="163" t="s">
        <v>298</v>
      </c>
      <c r="D43" s="163" t="s">
        <v>299</v>
      </c>
      <c r="E43" s="164" t="s">
        <v>300</v>
      </c>
      <c r="F43" s="162" t="s">
        <v>130</v>
      </c>
      <c r="G43" s="165">
        <v>72</v>
      </c>
      <c r="H43" s="166"/>
      <c r="I43" s="165" t="str">
        <f>IF(H43&gt;0,(#REF!*H43),"-")</f>
        <v>-</v>
      </c>
      <c r="J43" s="167">
        <v>504</v>
      </c>
      <c r="K43" s="163" t="s">
        <v>127</v>
      </c>
      <c r="L43" s="163" t="s">
        <v>283</v>
      </c>
      <c r="M43" s="163" t="s">
        <v>129</v>
      </c>
      <c r="N43" s="163" t="s">
        <v>130</v>
      </c>
      <c r="O43" s="163" t="s">
        <v>301</v>
      </c>
      <c r="P43" s="163" t="s">
        <v>137</v>
      </c>
      <c r="Q43" s="163" t="s">
        <v>96</v>
      </c>
      <c r="R43" s="168">
        <v>7.0599999999999996E-2</v>
      </c>
      <c r="S43" s="167" t="e">
        <f t="shared" si="0"/>
        <v>#VALUE!</v>
      </c>
      <c r="T43" s="167">
        <f t="shared" si="1"/>
        <v>0</v>
      </c>
    </row>
    <row r="44" spans="1:20" s="109" customFormat="1" x14ac:dyDescent="0.2">
      <c r="A44" s="161">
        <v>43909</v>
      </c>
      <c r="B44" s="162" t="s">
        <v>202</v>
      </c>
      <c r="C44" s="163" t="s">
        <v>302</v>
      </c>
      <c r="D44" s="163" t="s">
        <v>303</v>
      </c>
      <c r="E44" s="164" t="s">
        <v>304</v>
      </c>
      <c r="F44" s="162" t="s">
        <v>130</v>
      </c>
      <c r="G44" s="165">
        <v>200</v>
      </c>
      <c r="H44" s="166"/>
      <c r="I44" s="165" t="str">
        <f>IF(H44&gt;0,(#REF!*H44),"-")</f>
        <v>-</v>
      </c>
      <c r="J44" s="167">
        <v>2189</v>
      </c>
      <c r="K44" s="163" t="s">
        <v>127</v>
      </c>
      <c r="L44" s="163" t="s">
        <v>283</v>
      </c>
      <c r="M44" s="163" t="s">
        <v>129</v>
      </c>
      <c r="N44" s="163" t="s">
        <v>130</v>
      </c>
      <c r="O44" s="163" t="s">
        <v>305</v>
      </c>
      <c r="P44" s="163" t="s">
        <v>137</v>
      </c>
      <c r="Q44" s="163" t="s">
        <v>96</v>
      </c>
      <c r="R44" s="168">
        <v>0.19500000000000001</v>
      </c>
      <c r="S44" s="167" t="e">
        <f t="shared" si="0"/>
        <v>#VALUE!</v>
      </c>
      <c r="T44" s="167">
        <f t="shared" si="1"/>
        <v>0</v>
      </c>
    </row>
    <row r="45" spans="1:20" s="109" customFormat="1" x14ac:dyDescent="0.2">
      <c r="A45" s="161">
        <v>43909</v>
      </c>
      <c r="B45" s="162"/>
      <c r="C45" s="163" t="s">
        <v>306</v>
      </c>
      <c r="D45" s="163" t="s">
        <v>307</v>
      </c>
      <c r="E45" s="164" t="s">
        <v>308</v>
      </c>
      <c r="F45" s="162" t="s">
        <v>126</v>
      </c>
      <c r="G45" s="165">
        <v>465</v>
      </c>
      <c r="H45" s="166"/>
      <c r="I45" s="165" t="str">
        <f>IF(H45&gt;0,(#REF!*H45),"-")</f>
        <v>-</v>
      </c>
      <c r="J45" s="167">
        <v>4050</v>
      </c>
      <c r="K45" s="163" t="s">
        <v>127</v>
      </c>
      <c r="L45" s="163" t="s">
        <v>283</v>
      </c>
      <c r="M45" s="163" t="s">
        <v>129</v>
      </c>
      <c r="N45" s="163" t="s">
        <v>130</v>
      </c>
      <c r="O45" s="163" t="s">
        <v>309</v>
      </c>
      <c r="P45" s="163" t="s">
        <v>137</v>
      </c>
      <c r="Q45" s="163" t="s">
        <v>96</v>
      </c>
      <c r="R45" s="168">
        <v>0.53890000000000005</v>
      </c>
      <c r="S45" s="167" t="e">
        <f t="shared" si="0"/>
        <v>#VALUE!</v>
      </c>
      <c r="T45" s="167">
        <f t="shared" si="1"/>
        <v>0</v>
      </c>
    </row>
    <row r="46" spans="1:20" s="109" customFormat="1" x14ac:dyDescent="0.2">
      <c r="A46" s="161">
        <v>43909</v>
      </c>
      <c r="B46" s="162" t="s">
        <v>202</v>
      </c>
      <c r="C46" s="163" t="s">
        <v>310</v>
      </c>
      <c r="D46" s="163" t="s">
        <v>311</v>
      </c>
      <c r="E46" s="164" t="s">
        <v>312</v>
      </c>
      <c r="F46" s="162" t="s">
        <v>130</v>
      </c>
      <c r="G46" s="165">
        <v>280</v>
      </c>
      <c r="H46" s="166"/>
      <c r="I46" s="165" t="str">
        <f>IF(H46&gt;0,(#REF!*H46),"-")</f>
        <v>-</v>
      </c>
      <c r="J46" s="167">
        <v>4050</v>
      </c>
      <c r="K46" s="163" t="s">
        <v>127</v>
      </c>
      <c r="L46" s="163" t="s">
        <v>283</v>
      </c>
      <c r="M46" s="163" t="s">
        <v>129</v>
      </c>
      <c r="N46" s="163" t="s">
        <v>130</v>
      </c>
      <c r="O46" s="163" t="s">
        <v>313</v>
      </c>
      <c r="P46" s="163" t="s">
        <v>137</v>
      </c>
      <c r="Q46" s="163" t="s">
        <v>96</v>
      </c>
      <c r="R46" s="168">
        <v>0.56799999999999995</v>
      </c>
      <c r="S46" s="167" t="e">
        <f t="shared" si="0"/>
        <v>#VALUE!</v>
      </c>
      <c r="T46" s="167">
        <f t="shared" si="1"/>
        <v>0</v>
      </c>
    </row>
    <row r="47" spans="1:20" s="109" customFormat="1" x14ac:dyDescent="0.2">
      <c r="A47" s="161">
        <v>43909</v>
      </c>
      <c r="B47" s="162" t="s">
        <v>207</v>
      </c>
      <c r="C47" s="163" t="s">
        <v>314</v>
      </c>
      <c r="D47" s="163" t="s">
        <v>315</v>
      </c>
      <c r="E47" s="164" t="s">
        <v>316</v>
      </c>
      <c r="F47" s="162" t="s">
        <v>130</v>
      </c>
      <c r="G47" s="165">
        <v>110</v>
      </c>
      <c r="H47" s="166"/>
      <c r="I47" s="165" t="str">
        <f>IF(H47&gt;0,(#REF!*H47),"-")</f>
        <v>-</v>
      </c>
      <c r="J47" s="167">
        <v>1522</v>
      </c>
      <c r="K47" s="163" t="s">
        <v>127</v>
      </c>
      <c r="L47" s="163" t="s">
        <v>283</v>
      </c>
      <c r="M47" s="163" t="s">
        <v>129</v>
      </c>
      <c r="N47" s="163" t="s">
        <v>130</v>
      </c>
      <c r="O47" s="163" t="s">
        <v>317</v>
      </c>
      <c r="P47" s="163" t="s">
        <v>137</v>
      </c>
      <c r="Q47" s="163" t="s">
        <v>96</v>
      </c>
      <c r="R47" s="168">
        <v>0.17599999999999999</v>
      </c>
      <c r="S47" s="167" t="e">
        <f t="shared" si="0"/>
        <v>#VALUE!</v>
      </c>
      <c r="T47" s="167">
        <f t="shared" si="1"/>
        <v>0</v>
      </c>
    </row>
    <row r="48" spans="1:20" s="109" customFormat="1" x14ac:dyDescent="0.2">
      <c r="A48" s="161">
        <v>43909</v>
      </c>
      <c r="B48" s="162"/>
      <c r="C48" s="163" t="s">
        <v>318</v>
      </c>
      <c r="D48" s="163" t="s">
        <v>319</v>
      </c>
      <c r="E48" s="164" t="s">
        <v>320</v>
      </c>
      <c r="F48" s="162" t="s">
        <v>126</v>
      </c>
      <c r="G48" s="165">
        <v>200</v>
      </c>
      <c r="H48" s="166"/>
      <c r="I48" s="165" t="str">
        <f>IF(H48&gt;0,(#REF!*H48),"-")</f>
        <v>-</v>
      </c>
      <c r="J48" s="167">
        <v>1522</v>
      </c>
      <c r="K48" s="163" t="s">
        <v>127</v>
      </c>
      <c r="L48" s="163" t="s">
        <v>283</v>
      </c>
      <c r="M48" s="163" t="s">
        <v>129</v>
      </c>
      <c r="N48" s="163" t="s">
        <v>130</v>
      </c>
      <c r="O48" s="163" t="s">
        <v>321</v>
      </c>
      <c r="P48" s="163" t="s">
        <v>137</v>
      </c>
      <c r="Q48" s="163" t="s">
        <v>96</v>
      </c>
      <c r="R48" s="168">
        <v>0.193</v>
      </c>
      <c r="S48" s="167" t="e">
        <f t="shared" si="0"/>
        <v>#VALUE!</v>
      </c>
      <c r="T48" s="167">
        <f t="shared" si="1"/>
        <v>0</v>
      </c>
    </row>
    <row r="49" spans="1:20" s="109" customFormat="1" x14ac:dyDescent="0.2">
      <c r="A49" s="161">
        <v>43909</v>
      </c>
      <c r="B49" s="162"/>
      <c r="C49" s="163" t="s">
        <v>322</v>
      </c>
      <c r="D49" s="163" t="s">
        <v>323</v>
      </c>
      <c r="E49" s="164" t="s">
        <v>324</v>
      </c>
      <c r="F49" s="162" t="s">
        <v>126</v>
      </c>
      <c r="G49" s="165">
        <v>96</v>
      </c>
      <c r="H49" s="166"/>
      <c r="I49" s="165" t="str">
        <f>IF(H49&gt;0,(#REF!*H49),"-")</f>
        <v>-</v>
      </c>
      <c r="J49" s="167">
        <v>398</v>
      </c>
      <c r="K49" s="163" t="s">
        <v>127</v>
      </c>
      <c r="L49" s="163" t="s">
        <v>283</v>
      </c>
      <c r="M49" s="163" t="s">
        <v>129</v>
      </c>
      <c r="N49" s="163" t="s">
        <v>130</v>
      </c>
      <c r="O49" s="163" t="s">
        <v>325</v>
      </c>
      <c r="P49" s="163" t="s">
        <v>137</v>
      </c>
      <c r="Q49" s="163" t="s">
        <v>96</v>
      </c>
      <c r="R49" s="168">
        <v>2.46E-2</v>
      </c>
      <c r="S49" s="167" t="e">
        <f t="shared" si="0"/>
        <v>#VALUE!</v>
      </c>
      <c r="T49" s="167">
        <f t="shared" si="1"/>
        <v>0</v>
      </c>
    </row>
    <row r="50" spans="1:20" s="109" customFormat="1" x14ac:dyDescent="0.2">
      <c r="A50" s="161">
        <v>43909</v>
      </c>
      <c r="B50" s="162" t="s">
        <v>202</v>
      </c>
      <c r="C50" s="163" t="s">
        <v>326</v>
      </c>
      <c r="D50" s="163" t="s">
        <v>327</v>
      </c>
      <c r="E50" s="164" t="s">
        <v>328</v>
      </c>
      <c r="F50" s="162" t="s">
        <v>130</v>
      </c>
      <c r="G50" s="165">
        <v>185</v>
      </c>
      <c r="H50" s="166"/>
      <c r="I50" s="165" t="str">
        <f>IF(H50&gt;0,(#REF!*H50),"-")</f>
        <v>-</v>
      </c>
      <c r="J50" s="167">
        <v>1046</v>
      </c>
      <c r="K50" s="163" t="s">
        <v>127</v>
      </c>
      <c r="L50" s="163" t="s">
        <v>283</v>
      </c>
      <c r="M50" s="163" t="s">
        <v>129</v>
      </c>
      <c r="N50" s="163" t="s">
        <v>130</v>
      </c>
      <c r="O50" s="163" t="s">
        <v>329</v>
      </c>
      <c r="P50" s="163" t="s">
        <v>137</v>
      </c>
      <c r="Q50" s="163" t="s">
        <v>96</v>
      </c>
      <c r="R50" s="168">
        <v>0.14630000000000001</v>
      </c>
      <c r="S50" s="167" t="e">
        <f t="shared" si="0"/>
        <v>#VALUE!</v>
      </c>
      <c r="T50" s="167">
        <f t="shared" si="1"/>
        <v>0</v>
      </c>
    </row>
    <row r="51" spans="1:20" s="109" customFormat="1" x14ac:dyDescent="0.2">
      <c r="A51" s="161">
        <v>43909</v>
      </c>
      <c r="B51" s="162" t="s">
        <v>207</v>
      </c>
      <c r="C51" s="163" t="s">
        <v>330</v>
      </c>
      <c r="D51" s="163" t="s">
        <v>331</v>
      </c>
      <c r="E51" s="164" t="s">
        <v>332</v>
      </c>
      <c r="F51" s="162" t="s">
        <v>130</v>
      </c>
      <c r="G51" s="165">
        <v>280</v>
      </c>
      <c r="H51" s="166"/>
      <c r="I51" s="165" t="str">
        <f>IF(H51&gt;0,(#REF!*H51),"-")</f>
        <v>-</v>
      </c>
      <c r="J51" s="167">
        <v>5203</v>
      </c>
      <c r="K51" s="163" t="s">
        <v>127</v>
      </c>
      <c r="L51" s="163" t="s">
        <v>283</v>
      </c>
      <c r="M51" s="163" t="s">
        <v>129</v>
      </c>
      <c r="N51" s="163" t="s">
        <v>130</v>
      </c>
      <c r="O51" s="163" t="s">
        <v>333</v>
      </c>
      <c r="P51" s="163" t="s">
        <v>137</v>
      </c>
      <c r="Q51" s="163" t="s">
        <v>96</v>
      </c>
      <c r="R51" s="168">
        <v>0.63600000000000001</v>
      </c>
      <c r="S51" s="167" t="e">
        <f t="shared" si="0"/>
        <v>#VALUE!</v>
      </c>
      <c r="T51" s="167">
        <f t="shared" si="1"/>
        <v>0</v>
      </c>
    </row>
    <row r="52" spans="1:20" s="109" customFormat="1" x14ac:dyDescent="0.2">
      <c r="A52" s="161">
        <v>43909</v>
      </c>
      <c r="B52" s="162"/>
      <c r="C52" s="163" t="s">
        <v>334</v>
      </c>
      <c r="D52" s="163" t="s">
        <v>335</v>
      </c>
      <c r="E52" s="164" t="s">
        <v>336</v>
      </c>
      <c r="F52" s="162" t="s">
        <v>126</v>
      </c>
      <c r="G52" s="165">
        <v>200</v>
      </c>
      <c r="H52" s="166"/>
      <c r="I52" s="165" t="str">
        <f>IF(H52&gt;0,(#REF!*H52),"-")</f>
        <v>-</v>
      </c>
      <c r="J52" s="167">
        <v>1860</v>
      </c>
      <c r="K52" s="163" t="s">
        <v>127</v>
      </c>
      <c r="L52" s="163" t="s">
        <v>283</v>
      </c>
      <c r="M52" s="163" t="s">
        <v>129</v>
      </c>
      <c r="N52" s="163" t="s">
        <v>130</v>
      </c>
      <c r="O52" s="163" t="s">
        <v>337</v>
      </c>
      <c r="P52" s="163" t="s">
        <v>137</v>
      </c>
      <c r="Q52" s="163" t="s">
        <v>96</v>
      </c>
      <c r="R52" s="168">
        <v>0.22</v>
      </c>
      <c r="S52" s="167" t="e">
        <f t="shared" si="0"/>
        <v>#VALUE!</v>
      </c>
      <c r="T52" s="167">
        <f t="shared" si="1"/>
        <v>0</v>
      </c>
    </row>
    <row r="53" spans="1:20" s="109" customFormat="1" x14ac:dyDescent="0.2">
      <c r="A53" s="161">
        <v>43909</v>
      </c>
      <c r="B53" s="162"/>
      <c r="C53" s="163" t="s">
        <v>338</v>
      </c>
      <c r="D53" s="163" t="s">
        <v>339</v>
      </c>
      <c r="E53" s="164" t="s">
        <v>340</v>
      </c>
      <c r="F53" s="162" t="s">
        <v>126</v>
      </c>
      <c r="G53" s="165">
        <v>185</v>
      </c>
      <c r="H53" s="166"/>
      <c r="I53" s="165" t="str">
        <f>IF(H53&gt;0,(#REF!*H53),"-")</f>
        <v>-</v>
      </c>
      <c r="J53" s="167">
        <v>2608</v>
      </c>
      <c r="K53" s="163" t="s">
        <v>127</v>
      </c>
      <c r="L53" s="163" t="s">
        <v>283</v>
      </c>
      <c r="M53" s="163" t="s">
        <v>129</v>
      </c>
      <c r="N53" s="163" t="s">
        <v>130</v>
      </c>
      <c r="O53" s="163" t="s">
        <v>341</v>
      </c>
      <c r="P53" s="163" t="s">
        <v>137</v>
      </c>
      <c r="Q53" s="163" t="s">
        <v>96</v>
      </c>
      <c r="R53" s="168">
        <v>0.27</v>
      </c>
      <c r="S53" s="167" t="e">
        <f t="shared" si="0"/>
        <v>#VALUE!</v>
      </c>
      <c r="T53" s="167">
        <f t="shared" si="1"/>
        <v>0</v>
      </c>
    </row>
    <row r="54" spans="1:20" s="109" customFormat="1" x14ac:dyDescent="0.2">
      <c r="A54" s="161">
        <v>43909</v>
      </c>
      <c r="B54" s="162"/>
      <c r="C54" s="163" t="s">
        <v>342</v>
      </c>
      <c r="D54" s="163" t="s">
        <v>343</v>
      </c>
      <c r="E54" s="164" t="s">
        <v>344</v>
      </c>
      <c r="F54" s="162" t="s">
        <v>126</v>
      </c>
      <c r="G54" s="165">
        <v>185</v>
      </c>
      <c r="H54" s="166"/>
      <c r="I54" s="165" t="str">
        <f>IF(H54&gt;0,(#REF!*H54),"-")</f>
        <v>-</v>
      </c>
      <c r="J54" s="167">
        <v>2608</v>
      </c>
      <c r="K54" s="163" t="s">
        <v>127</v>
      </c>
      <c r="L54" s="163" t="s">
        <v>283</v>
      </c>
      <c r="M54" s="163" t="s">
        <v>129</v>
      </c>
      <c r="N54" s="163" t="s">
        <v>130</v>
      </c>
      <c r="O54" s="163" t="s">
        <v>345</v>
      </c>
      <c r="P54" s="163" t="s">
        <v>137</v>
      </c>
      <c r="Q54" s="163" t="s">
        <v>96</v>
      </c>
      <c r="R54" s="168">
        <v>0.29599999999999999</v>
      </c>
      <c r="S54" s="167" t="e">
        <f t="shared" si="0"/>
        <v>#VALUE!</v>
      </c>
      <c r="T54" s="167">
        <f t="shared" si="1"/>
        <v>0</v>
      </c>
    </row>
    <row r="55" spans="1:20" s="109" customFormat="1" x14ac:dyDescent="0.2">
      <c r="A55" s="161">
        <v>43909</v>
      </c>
      <c r="B55" s="162"/>
      <c r="C55" s="163" t="s">
        <v>346</v>
      </c>
      <c r="D55" s="163" t="s">
        <v>347</v>
      </c>
      <c r="E55" s="164" t="s">
        <v>348</v>
      </c>
      <c r="F55" s="162" t="s">
        <v>126</v>
      </c>
      <c r="G55" s="165">
        <v>185</v>
      </c>
      <c r="H55" s="166"/>
      <c r="I55" s="165" t="str">
        <f>IF(H55&gt;0,(#REF!*H55),"-")</f>
        <v>-</v>
      </c>
      <c r="J55" s="167">
        <v>2608</v>
      </c>
      <c r="K55" s="163" t="s">
        <v>127</v>
      </c>
      <c r="L55" s="163" t="s">
        <v>283</v>
      </c>
      <c r="M55" s="163" t="s">
        <v>129</v>
      </c>
      <c r="N55" s="163" t="s">
        <v>130</v>
      </c>
      <c r="O55" s="163" t="s">
        <v>349</v>
      </c>
      <c r="P55" s="163" t="s">
        <v>137</v>
      </c>
      <c r="Q55" s="163" t="s">
        <v>96</v>
      </c>
      <c r="R55" s="168">
        <v>0.27300000000000002</v>
      </c>
      <c r="S55" s="167" t="e">
        <f t="shared" si="0"/>
        <v>#VALUE!</v>
      </c>
      <c r="T55" s="167">
        <f t="shared" si="1"/>
        <v>0</v>
      </c>
    </row>
    <row r="56" spans="1:20" s="109" customFormat="1" x14ac:dyDescent="0.2">
      <c r="A56" s="161">
        <v>43909</v>
      </c>
      <c r="B56" s="162"/>
      <c r="C56" s="163" t="s">
        <v>350</v>
      </c>
      <c r="D56" s="163" t="s">
        <v>351</v>
      </c>
      <c r="E56" s="164" t="s">
        <v>352</v>
      </c>
      <c r="F56" s="162" t="s">
        <v>126</v>
      </c>
      <c r="G56" s="165">
        <v>185</v>
      </c>
      <c r="H56" s="166"/>
      <c r="I56" s="165" t="str">
        <f>IF(H56&gt;0,(#REF!*H56),"-")</f>
        <v>-</v>
      </c>
      <c r="J56" s="167">
        <v>2676</v>
      </c>
      <c r="K56" s="163" t="s">
        <v>127</v>
      </c>
      <c r="L56" s="163" t="s">
        <v>283</v>
      </c>
      <c r="M56" s="163" t="s">
        <v>129</v>
      </c>
      <c r="N56" s="163" t="s">
        <v>130</v>
      </c>
      <c r="O56" s="163" t="s">
        <v>353</v>
      </c>
      <c r="P56" s="163" t="s">
        <v>137</v>
      </c>
      <c r="Q56" s="163" t="s">
        <v>96</v>
      </c>
      <c r="R56" s="168">
        <v>0.27300000000000002</v>
      </c>
      <c r="S56" s="167" t="e">
        <f t="shared" si="0"/>
        <v>#VALUE!</v>
      </c>
      <c r="T56" s="167">
        <f t="shared" si="1"/>
        <v>0</v>
      </c>
    </row>
    <row r="57" spans="1:20" s="109" customFormat="1" x14ac:dyDescent="0.2">
      <c r="A57" s="161">
        <v>43909</v>
      </c>
      <c r="B57" s="162"/>
      <c r="C57" s="163" t="s">
        <v>354</v>
      </c>
      <c r="D57" s="163" t="s">
        <v>355</v>
      </c>
      <c r="E57" s="164" t="s">
        <v>356</v>
      </c>
      <c r="F57" s="162" t="s">
        <v>126</v>
      </c>
      <c r="G57" s="165">
        <v>185</v>
      </c>
      <c r="H57" s="166"/>
      <c r="I57" s="165" t="str">
        <f>IF(H57&gt;0,(#REF!*H57),"-")</f>
        <v>-</v>
      </c>
      <c r="J57" s="167">
        <v>2608</v>
      </c>
      <c r="K57" s="163" t="s">
        <v>127</v>
      </c>
      <c r="L57" s="163" t="s">
        <v>283</v>
      </c>
      <c r="M57" s="163" t="s">
        <v>129</v>
      </c>
      <c r="N57" s="163" t="s">
        <v>130</v>
      </c>
      <c r="O57" s="163" t="s">
        <v>357</v>
      </c>
      <c r="P57" s="163" t="s">
        <v>137</v>
      </c>
      <c r="Q57" s="163" t="s">
        <v>96</v>
      </c>
      <c r="R57" s="168">
        <v>0.27200000000000002</v>
      </c>
      <c r="S57" s="167" t="e">
        <f t="shared" si="0"/>
        <v>#VALUE!</v>
      </c>
      <c r="T57" s="167">
        <f t="shared" si="1"/>
        <v>0</v>
      </c>
    </row>
    <row r="58" spans="1:20" s="109" customFormat="1" x14ac:dyDescent="0.2">
      <c r="A58" s="161">
        <v>43909</v>
      </c>
      <c r="B58" s="162"/>
      <c r="C58" s="163" t="s">
        <v>358</v>
      </c>
      <c r="D58" s="163" t="s">
        <v>359</v>
      </c>
      <c r="E58" s="164" t="s">
        <v>360</v>
      </c>
      <c r="F58" s="162" t="s">
        <v>126</v>
      </c>
      <c r="G58" s="165">
        <v>185</v>
      </c>
      <c r="H58" s="166"/>
      <c r="I58" s="165" t="str">
        <f>IF(H58&gt;0,(#REF!*H58),"-")</f>
        <v>-</v>
      </c>
      <c r="J58" s="167">
        <v>2608</v>
      </c>
      <c r="K58" s="163" t="s">
        <v>127</v>
      </c>
      <c r="L58" s="163" t="s">
        <v>283</v>
      </c>
      <c r="M58" s="163" t="s">
        <v>129</v>
      </c>
      <c r="N58" s="163" t="s">
        <v>130</v>
      </c>
      <c r="O58" s="163" t="s">
        <v>361</v>
      </c>
      <c r="P58" s="163" t="s">
        <v>137</v>
      </c>
      <c r="Q58" s="163" t="s">
        <v>96</v>
      </c>
      <c r="R58" s="168">
        <v>0.26900000000000002</v>
      </c>
      <c r="S58" s="167" t="e">
        <f t="shared" si="0"/>
        <v>#VALUE!</v>
      </c>
      <c r="T58" s="167">
        <f t="shared" si="1"/>
        <v>0</v>
      </c>
    </row>
    <row r="59" spans="1:20" s="109" customFormat="1" x14ac:dyDescent="0.2">
      <c r="A59" s="161">
        <v>43909</v>
      </c>
      <c r="B59" s="162" t="s">
        <v>202</v>
      </c>
      <c r="C59" s="163" t="s">
        <v>362</v>
      </c>
      <c r="D59" s="163" t="s">
        <v>363</v>
      </c>
      <c r="E59" s="164" t="s">
        <v>364</v>
      </c>
      <c r="F59" s="162" t="s">
        <v>130</v>
      </c>
      <c r="G59" s="165">
        <v>340</v>
      </c>
      <c r="H59" s="166"/>
      <c r="I59" s="165" t="str">
        <f>IF(H59&gt;0,(#REF!*H59),"-")</f>
        <v>-</v>
      </c>
      <c r="J59" s="167">
        <v>4203</v>
      </c>
      <c r="K59" s="163" t="s">
        <v>127</v>
      </c>
      <c r="L59" s="163" t="s">
        <v>283</v>
      </c>
      <c r="M59" s="163" t="s">
        <v>129</v>
      </c>
      <c r="N59" s="163" t="s">
        <v>130</v>
      </c>
      <c r="O59" s="163" t="s">
        <v>365</v>
      </c>
      <c r="P59" s="163" t="s">
        <v>137</v>
      </c>
      <c r="Q59" s="163" t="s">
        <v>96</v>
      </c>
      <c r="R59" s="168">
        <v>0.56899999999999995</v>
      </c>
      <c r="S59" s="167" t="e">
        <f t="shared" si="0"/>
        <v>#VALUE!</v>
      </c>
      <c r="T59" s="167">
        <f t="shared" si="1"/>
        <v>0</v>
      </c>
    </row>
    <row r="60" spans="1:20" s="109" customFormat="1" x14ac:dyDescent="0.2">
      <c r="A60" s="116">
        <v>43904</v>
      </c>
      <c r="B60" s="111"/>
      <c r="C60" s="110" t="s">
        <v>366</v>
      </c>
      <c r="D60" s="110" t="s">
        <v>367</v>
      </c>
      <c r="E60" s="112" t="s">
        <v>368</v>
      </c>
      <c r="F60" s="111" t="s">
        <v>126</v>
      </c>
      <c r="G60" s="133">
        <v>590</v>
      </c>
      <c r="H60" s="124"/>
      <c r="I60" s="133" t="str">
        <f>IF(H60&gt;0,(#REF!*H60),"-")</f>
        <v>-</v>
      </c>
      <c r="J60" s="113">
        <v>9261</v>
      </c>
      <c r="K60" s="110" t="s">
        <v>127</v>
      </c>
      <c r="L60" s="110" t="s">
        <v>128</v>
      </c>
      <c r="M60" s="110" t="s">
        <v>129</v>
      </c>
      <c r="N60" s="110" t="s">
        <v>130</v>
      </c>
      <c r="O60" s="110" t="s">
        <v>369</v>
      </c>
      <c r="P60" s="110" t="s">
        <v>137</v>
      </c>
      <c r="Q60" s="110" t="s">
        <v>96</v>
      </c>
      <c r="R60" s="121">
        <v>3.0179999999999998</v>
      </c>
      <c r="S60" s="113" t="e">
        <f t="shared" si="0"/>
        <v>#VALUE!</v>
      </c>
      <c r="T60" s="113">
        <f t="shared" si="1"/>
        <v>0</v>
      </c>
    </row>
    <row r="61" spans="1:20" s="109" customFormat="1" x14ac:dyDescent="0.2">
      <c r="A61" s="116">
        <v>43904</v>
      </c>
      <c r="B61" s="111"/>
      <c r="C61" s="110" t="s">
        <v>370</v>
      </c>
      <c r="D61" s="110" t="s">
        <v>371</v>
      </c>
      <c r="E61" s="112" t="s">
        <v>372</v>
      </c>
      <c r="F61" s="111" t="s">
        <v>126</v>
      </c>
      <c r="G61" s="133">
        <v>112</v>
      </c>
      <c r="H61" s="124"/>
      <c r="I61" s="133" t="str">
        <f>IF(H61&gt;0,(#REF!*H61),"-")</f>
        <v>-</v>
      </c>
      <c r="J61" s="113">
        <v>1176</v>
      </c>
      <c r="K61" s="110" t="s">
        <v>127</v>
      </c>
      <c r="L61" s="110" t="s">
        <v>148</v>
      </c>
      <c r="M61" s="110" t="s">
        <v>129</v>
      </c>
      <c r="N61" s="110" t="s">
        <v>130</v>
      </c>
      <c r="O61" s="110" t="s">
        <v>373</v>
      </c>
      <c r="P61" s="110" t="s">
        <v>132</v>
      </c>
      <c r="Q61" s="110" t="s">
        <v>97</v>
      </c>
      <c r="R61" s="121">
        <v>0.61609999999999998</v>
      </c>
      <c r="S61" s="113" t="e">
        <f t="shared" si="0"/>
        <v>#VALUE!</v>
      </c>
      <c r="T61" s="113">
        <f t="shared" si="1"/>
        <v>0</v>
      </c>
    </row>
    <row r="62" spans="1:20" s="109" customFormat="1" x14ac:dyDescent="0.2">
      <c r="A62" s="116">
        <v>43904</v>
      </c>
      <c r="B62" s="111"/>
      <c r="C62" s="110" t="s">
        <v>374</v>
      </c>
      <c r="D62" s="110" t="s">
        <v>375</v>
      </c>
      <c r="E62" s="112" t="s">
        <v>376</v>
      </c>
      <c r="F62" s="111" t="s">
        <v>126</v>
      </c>
      <c r="G62" s="133">
        <v>56</v>
      </c>
      <c r="H62" s="124"/>
      <c r="I62" s="133" t="str">
        <f>IF(H62&gt;0,(#REF!*H62),"-")</f>
        <v>-</v>
      </c>
      <c r="J62" s="113">
        <v>669</v>
      </c>
      <c r="K62" s="110" t="s">
        <v>127</v>
      </c>
      <c r="L62" s="110" t="s">
        <v>148</v>
      </c>
      <c r="M62" s="110" t="s">
        <v>129</v>
      </c>
      <c r="N62" s="110" t="s">
        <v>130</v>
      </c>
      <c r="O62" s="110" t="s">
        <v>377</v>
      </c>
      <c r="P62" s="110" t="s">
        <v>132</v>
      </c>
      <c r="Q62" s="110" t="s">
        <v>96</v>
      </c>
      <c r="R62" s="121">
        <v>0.29170000000000001</v>
      </c>
      <c r="S62" s="113" t="e">
        <f t="shared" si="0"/>
        <v>#VALUE!</v>
      </c>
      <c r="T62" s="113">
        <f t="shared" si="1"/>
        <v>0</v>
      </c>
    </row>
    <row r="63" spans="1:20" s="109" customFormat="1" x14ac:dyDescent="0.2">
      <c r="A63" s="116">
        <v>43904</v>
      </c>
      <c r="B63" s="111"/>
      <c r="C63" s="110" t="s">
        <v>378</v>
      </c>
      <c r="D63" s="110" t="s">
        <v>379</v>
      </c>
      <c r="E63" s="112" t="s">
        <v>380</v>
      </c>
      <c r="F63" s="111" t="s">
        <v>126</v>
      </c>
      <c r="G63" s="133">
        <v>80</v>
      </c>
      <c r="H63" s="124"/>
      <c r="I63" s="133" t="str">
        <f>IF(H63&gt;0,(#REF!*H63),"-")</f>
        <v>-</v>
      </c>
      <c r="J63" s="113">
        <v>762</v>
      </c>
      <c r="K63" s="110" t="s">
        <v>127</v>
      </c>
      <c r="L63" s="110" t="s">
        <v>148</v>
      </c>
      <c r="M63" s="110" t="s">
        <v>129</v>
      </c>
      <c r="N63" s="110" t="s">
        <v>130</v>
      </c>
      <c r="O63" s="110" t="s">
        <v>381</v>
      </c>
      <c r="P63" s="110" t="s">
        <v>132</v>
      </c>
      <c r="Q63" s="110" t="s">
        <v>97</v>
      </c>
      <c r="R63" s="121">
        <v>0.52090000000000003</v>
      </c>
      <c r="S63" s="113" t="e">
        <f t="shared" si="0"/>
        <v>#VALUE!</v>
      </c>
      <c r="T63" s="113">
        <f t="shared" si="1"/>
        <v>0</v>
      </c>
    </row>
    <row r="64" spans="1:20" s="109" customFormat="1" x14ac:dyDescent="0.2">
      <c r="A64" s="116">
        <v>43904</v>
      </c>
      <c r="B64" s="111"/>
      <c r="C64" s="110" t="s">
        <v>382</v>
      </c>
      <c r="D64" s="110" t="s">
        <v>383</v>
      </c>
      <c r="E64" s="112" t="s">
        <v>384</v>
      </c>
      <c r="F64" s="111" t="s">
        <v>126</v>
      </c>
      <c r="G64" s="133">
        <v>56</v>
      </c>
      <c r="H64" s="124"/>
      <c r="I64" s="133" t="str">
        <f>IF(H64&gt;0,(#REF!*H64),"-")</f>
        <v>-</v>
      </c>
      <c r="J64" s="113">
        <v>541</v>
      </c>
      <c r="K64" s="110" t="s">
        <v>127</v>
      </c>
      <c r="L64" s="110" t="s">
        <v>148</v>
      </c>
      <c r="M64" s="110" t="s">
        <v>129</v>
      </c>
      <c r="N64" s="110" t="s">
        <v>130</v>
      </c>
      <c r="O64" s="110" t="s">
        <v>385</v>
      </c>
      <c r="P64" s="110" t="s">
        <v>132</v>
      </c>
      <c r="Q64" s="110" t="s">
        <v>96</v>
      </c>
      <c r="R64" s="121">
        <v>0.2384</v>
      </c>
      <c r="S64" s="113" t="e">
        <f t="shared" si="0"/>
        <v>#VALUE!</v>
      </c>
      <c r="T64" s="113">
        <f t="shared" si="1"/>
        <v>0</v>
      </c>
    </row>
    <row r="65" spans="1:20" s="109" customFormat="1" x14ac:dyDescent="0.2">
      <c r="A65" s="116">
        <v>43904</v>
      </c>
      <c r="B65" s="111"/>
      <c r="C65" s="110" t="s">
        <v>386</v>
      </c>
      <c r="D65" s="110" t="s">
        <v>387</v>
      </c>
      <c r="E65" s="112" t="s">
        <v>388</v>
      </c>
      <c r="F65" s="111" t="s">
        <v>126</v>
      </c>
      <c r="G65" s="133">
        <v>370</v>
      </c>
      <c r="H65" s="124"/>
      <c r="I65" s="133" t="str">
        <f>IF(H65&gt;0,(#REF!*H65),"-")</f>
        <v>-</v>
      </c>
      <c r="J65" s="113">
        <v>5338</v>
      </c>
      <c r="K65" s="110" t="s">
        <v>389</v>
      </c>
      <c r="L65" s="110" t="s">
        <v>390</v>
      </c>
      <c r="M65" s="110" t="s">
        <v>129</v>
      </c>
      <c r="N65" s="110" t="s">
        <v>130</v>
      </c>
      <c r="O65" s="110" t="s">
        <v>391</v>
      </c>
      <c r="P65" s="110" t="s">
        <v>137</v>
      </c>
      <c r="Q65" s="110" t="s">
        <v>96</v>
      </c>
      <c r="R65" s="121">
        <v>0.56850000000000001</v>
      </c>
      <c r="S65" s="113" t="e">
        <f t="shared" si="0"/>
        <v>#VALUE!</v>
      </c>
      <c r="T65" s="113">
        <f t="shared" si="1"/>
        <v>0</v>
      </c>
    </row>
    <row r="66" spans="1:20" s="109" customFormat="1" x14ac:dyDescent="0.2">
      <c r="A66" s="116">
        <v>43904</v>
      </c>
      <c r="B66" s="111"/>
      <c r="C66" s="110" t="s">
        <v>392</v>
      </c>
      <c r="D66" s="110" t="s">
        <v>393</v>
      </c>
      <c r="E66" s="112" t="s">
        <v>394</v>
      </c>
      <c r="F66" s="111" t="s">
        <v>126</v>
      </c>
      <c r="G66" s="133">
        <v>155</v>
      </c>
      <c r="H66" s="124"/>
      <c r="I66" s="133" t="str">
        <f>IF(H66&gt;0,(#REF!*H66),"-")</f>
        <v>-</v>
      </c>
      <c r="J66" s="113">
        <v>835</v>
      </c>
      <c r="K66" s="110" t="s">
        <v>389</v>
      </c>
      <c r="L66" s="110" t="s">
        <v>390</v>
      </c>
      <c r="M66" s="110" t="s">
        <v>129</v>
      </c>
      <c r="N66" s="110" t="s">
        <v>130</v>
      </c>
      <c r="O66" s="110" t="s">
        <v>395</v>
      </c>
      <c r="P66" s="110" t="s">
        <v>132</v>
      </c>
      <c r="Q66" s="110" t="s">
        <v>97</v>
      </c>
      <c r="R66" s="121">
        <v>0.67559999999999998</v>
      </c>
      <c r="S66" s="113" t="e">
        <f t="shared" ref="S66:S129" si="2">Q66*H66</f>
        <v>#VALUE!</v>
      </c>
      <c r="T66" s="113">
        <f t="shared" ref="T66:T129" si="3">R66*H66</f>
        <v>0</v>
      </c>
    </row>
    <row r="67" spans="1:20" s="109" customFormat="1" x14ac:dyDescent="0.2">
      <c r="A67" s="116">
        <v>43904</v>
      </c>
      <c r="B67" s="111"/>
      <c r="C67" s="110" t="s">
        <v>396</v>
      </c>
      <c r="D67" s="110" t="s">
        <v>397</v>
      </c>
      <c r="E67" s="112" t="s">
        <v>398</v>
      </c>
      <c r="F67" s="111" t="s">
        <v>126</v>
      </c>
      <c r="G67" s="133">
        <v>125</v>
      </c>
      <c r="H67" s="124"/>
      <c r="I67" s="133" t="str">
        <f>IF(H67&gt;0,(#REF!*H67),"-")</f>
        <v>-</v>
      </c>
      <c r="J67" s="113">
        <v>640</v>
      </c>
      <c r="K67" s="110" t="s">
        <v>389</v>
      </c>
      <c r="L67" s="110" t="s">
        <v>390</v>
      </c>
      <c r="M67" s="110" t="s">
        <v>129</v>
      </c>
      <c r="N67" s="110" t="s">
        <v>130</v>
      </c>
      <c r="O67" s="110" t="s">
        <v>399</v>
      </c>
      <c r="P67" s="110" t="s">
        <v>400</v>
      </c>
      <c r="Q67" s="110" t="s">
        <v>97</v>
      </c>
      <c r="R67" s="121">
        <v>0.38190000000000002</v>
      </c>
      <c r="S67" s="113" t="e">
        <f t="shared" si="2"/>
        <v>#VALUE!</v>
      </c>
      <c r="T67" s="113">
        <f t="shared" si="3"/>
        <v>0</v>
      </c>
    </row>
    <row r="68" spans="1:20" s="109" customFormat="1" x14ac:dyDescent="0.2">
      <c r="A68" s="116">
        <v>43904</v>
      </c>
      <c r="B68" s="111"/>
      <c r="C68" s="110" t="s">
        <v>401</v>
      </c>
      <c r="D68" s="110" t="s">
        <v>402</v>
      </c>
      <c r="E68" s="112" t="s">
        <v>403</v>
      </c>
      <c r="F68" s="111" t="s">
        <v>126</v>
      </c>
      <c r="G68" s="133">
        <v>215</v>
      </c>
      <c r="H68" s="124"/>
      <c r="I68" s="133" t="str">
        <f>IF(H68&gt;0,(#REF!*H68),"-")</f>
        <v>-</v>
      </c>
      <c r="J68" s="113">
        <v>3537</v>
      </c>
      <c r="K68" s="110" t="s">
        <v>389</v>
      </c>
      <c r="L68" s="110" t="s">
        <v>390</v>
      </c>
      <c r="M68" s="110" t="s">
        <v>129</v>
      </c>
      <c r="N68" s="110" t="s">
        <v>130</v>
      </c>
      <c r="O68" s="110" t="s">
        <v>404</v>
      </c>
      <c r="P68" s="110" t="s">
        <v>137</v>
      </c>
      <c r="Q68" s="110" t="s">
        <v>97</v>
      </c>
      <c r="R68" s="121">
        <v>0.40089999999999998</v>
      </c>
      <c r="S68" s="113" t="e">
        <f t="shared" si="2"/>
        <v>#VALUE!</v>
      </c>
      <c r="T68" s="113">
        <f t="shared" si="3"/>
        <v>0</v>
      </c>
    </row>
    <row r="69" spans="1:20" s="109" customFormat="1" x14ac:dyDescent="0.2">
      <c r="A69" s="116">
        <v>43904</v>
      </c>
      <c r="B69" s="111"/>
      <c r="C69" s="110" t="s">
        <v>405</v>
      </c>
      <c r="D69" s="110" t="s">
        <v>406</v>
      </c>
      <c r="E69" s="112" t="s">
        <v>407</v>
      </c>
      <c r="F69" s="111" t="s">
        <v>126</v>
      </c>
      <c r="G69" s="133">
        <v>370</v>
      </c>
      <c r="H69" s="124"/>
      <c r="I69" s="133" t="str">
        <f>IF(H69&gt;0,(#REF!*H69),"-")</f>
        <v>-</v>
      </c>
      <c r="J69" s="113">
        <v>3581</v>
      </c>
      <c r="K69" s="110" t="s">
        <v>389</v>
      </c>
      <c r="L69" s="110" t="s">
        <v>408</v>
      </c>
      <c r="M69" s="110" t="s">
        <v>129</v>
      </c>
      <c r="N69" s="110" t="s">
        <v>130</v>
      </c>
      <c r="O69" s="110" t="s">
        <v>409</v>
      </c>
      <c r="P69" s="110" t="s">
        <v>137</v>
      </c>
      <c r="Q69" s="110" t="s">
        <v>96</v>
      </c>
      <c r="R69" s="121">
        <v>0.42899999999999999</v>
      </c>
      <c r="S69" s="113" t="e">
        <f t="shared" si="2"/>
        <v>#VALUE!</v>
      </c>
      <c r="T69" s="113">
        <f t="shared" si="3"/>
        <v>0</v>
      </c>
    </row>
    <row r="70" spans="1:20" s="109" customFormat="1" x14ac:dyDescent="0.2">
      <c r="A70" s="116">
        <v>43904</v>
      </c>
      <c r="B70" s="111"/>
      <c r="C70" s="110" t="s">
        <v>410</v>
      </c>
      <c r="D70" s="110" t="s">
        <v>411</v>
      </c>
      <c r="E70" s="112" t="s">
        <v>412</v>
      </c>
      <c r="F70" s="111" t="s">
        <v>126</v>
      </c>
      <c r="G70" s="133">
        <v>340</v>
      </c>
      <c r="H70" s="124"/>
      <c r="I70" s="133" t="str">
        <f>IF(H70&gt;0,(#REF!*H70),"-")</f>
        <v>-</v>
      </c>
      <c r="J70" s="113">
        <v>3593</v>
      </c>
      <c r="K70" s="110" t="s">
        <v>389</v>
      </c>
      <c r="L70" s="110" t="s">
        <v>413</v>
      </c>
      <c r="M70" s="110" t="s">
        <v>129</v>
      </c>
      <c r="N70" s="110" t="s">
        <v>130</v>
      </c>
      <c r="O70" s="110" t="s">
        <v>414</v>
      </c>
      <c r="P70" s="110" t="s">
        <v>137</v>
      </c>
      <c r="Q70" s="110" t="s">
        <v>96</v>
      </c>
      <c r="R70" s="121">
        <v>0.47720000000000001</v>
      </c>
      <c r="S70" s="113" t="e">
        <f t="shared" si="2"/>
        <v>#VALUE!</v>
      </c>
      <c r="T70" s="113">
        <f t="shared" si="3"/>
        <v>0</v>
      </c>
    </row>
    <row r="71" spans="1:20" s="109" customFormat="1" x14ac:dyDescent="0.2">
      <c r="A71" s="116">
        <v>43904</v>
      </c>
      <c r="B71" s="111"/>
      <c r="C71" s="110" t="s">
        <v>415</v>
      </c>
      <c r="D71" s="110" t="s">
        <v>416</v>
      </c>
      <c r="E71" s="112" t="s">
        <v>417</v>
      </c>
      <c r="F71" s="111" t="s">
        <v>126</v>
      </c>
      <c r="G71" s="133">
        <v>56</v>
      </c>
      <c r="H71" s="124"/>
      <c r="I71" s="133" t="str">
        <f>IF(H71&gt;0,(#REF!*H71),"-")</f>
        <v>-</v>
      </c>
      <c r="J71" s="113">
        <v>562</v>
      </c>
      <c r="K71" s="110" t="s">
        <v>129</v>
      </c>
      <c r="L71" s="110" t="s">
        <v>148</v>
      </c>
      <c r="M71" s="110" t="s">
        <v>129</v>
      </c>
      <c r="N71" s="110" t="s">
        <v>130</v>
      </c>
      <c r="O71" s="110" t="s">
        <v>418</v>
      </c>
      <c r="P71" s="110" t="s">
        <v>132</v>
      </c>
      <c r="Q71" s="110" t="s">
        <v>96</v>
      </c>
      <c r="R71" s="121">
        <v>0.24479999999999999</v>
      </c>
      <c r="S71" s="113" t="e">
        <f t="shared" si="2"/>
        <v>#VALUE!</v>
      </c>
      <c r="T71" s="113">
        <f t="shared" si="3"/>
        <v>0</v>
      </c>
    </row>
    <row r="72" spans="1:20" s="176" customFormat="1" x14ac:dyDescent="0.2">
      <c r="A72" s="160">
        <v>43904</v>
      </c>
      <c r="B72" s="169"/>
      <c r="C72" s="170"/>
      <c r="D72" s="170" t="s">
        <v>419</v>
      </c>
      <c r="E72" s="171" t="s">
        <v>420</v>
      </c>
      <c r="F72" s="169" t="s">
        <v>126</v>
      </c>
      <c r="G72" s="172"/>
      <c r="H72" s="173"/>
      <c r="I72" s="172" t="str">
        <f>IF(H72&gt;0,(#REF!*H72),"-")</f>
        <v>-</v>
      </c>
      <c r="J72" s="174">
        <v>0</v>
      </c>
      <c r="K72" s="170" t="s">
        <v>127</v>
      </c>
      <c r="L72" s="170" t="s">
        <v>128</v>
      </c>
      <c r="M72" s="170" t="s">
        <v>421</v>
      </c>
      <c r="N72" s="170" t="s">
        <v>130</v>
      </c>
      <c r="O72" s="170" t="s">
        <v>422</v>
      </c>
      <c r="P72" s="170" t="s">
        <v>423</v>
      </c>
      <c r="Q72" s="170" t="s">
        <v>97</v>
      </c>
      <c r="R72" s="175">
        <v>5.0000000000000001E-3</v>
      </c>
      <c r="S72" s="174" t="e">
        <f t="shared" si="2"/>
        <v>#VALUE!</v>
      </c>
      <c r="T72" s="174">
        <f t="shared" si="3"/>
        <v>0</v>
      </c>
    </row>
    <row r="73" spans="1:20" s="109" customFormat="1" x14ac:dyDescent="0.2">
      <c r="A73" s="116">
        <v>43897</v>
      </c>
      <c r="B73" s="111"/>
      <c r="C73" s="110" t="s">
        <v>424</v>
      </c>
      <c r="D73" s="110" t="s">
        <v>425</v>
      </c>
      <c r="E73" s="112" t="s">
        <v>426</v>
      </c>
      <c r="F73" s="111" t="s">
        <v>126</v>
      </c>
      <c r="G73" s="133">
        <v>200</v>
      </c>
      <c r="H73" s="124"/>
      <c r="I73" s="133" t="str">
        <f>IF(H73&gt;0,(#REF!*H73),"-")</f>
        <v>-</v>
      </c>
      <c r="J73" s="113">
        <v>1116</v>
      </c>
      <c r="K73" s="110" t="s">
        <v>127</v>
      </c>
      <c r="L73" s="110" t="s">
        <v>427</v>
      </c>
      <c r="M73" s="110" t="s">
        <v>129</v>
      </c>
      <c r="N73" s="110" t="s">
        <v>130</v>
      </c>
      <c r="O73" s="110" t="s">
        <v>428</v>
      </c>
      <c r="P73" s="110" t="s">
        <v>137</v>
      </c>
      <c r="Q73" s="110" t="s">
        <v>96</v>
      </c>
      <c r="R73" s="121">
        <v>0.1265</v>
      </c>
      <c r="S73" s="113" t="e">
        <f t="shared" si="2"/>
        <v>#VALUE!</v>
      </c>
      <c r="T73" s="113">
        <f t="shared" si="3"/>
        <v>0</v>
      </c>
    </row>
    <row r="74" spans="1:20" s="109" customFormat="1" x14ac:dyDescent="0.2">
      <c r="A74" s="116">
        <v>43897</v>
      </c>
      <c r="B74" s="111"/>
      <c r="C74" s="110" t="s">
        <v>429</v>
      </c>
      <c r="D74" s="110" t="s">
        <v>430</v>
      </c>
      <c r="E74" s="112" t="s">
        <v>431</v>
      </c>
      <c r="F74" s="111" t="s">
        <v>126</v>
      </c>
      <c r="G74" s="133">
        <v>155</v>
      </c>
      <c r="H74" s="124"/>
      <c r="I74" s="133" t="str">
        <f>IF(H74&gt;0,(#REF!*H74),"-")</f>
        <v>-</v>
      </c>
      <c r="J74" s="113">
        <v>802</v>
      </c>
      <c r="K74" s="110" t="s">
        <v>127</v>
      </c>
      <c r="L74" s="110" t="s">
        <v>427</v>
      </c>
      <c r="M74" s="110" t="s">
        <v>129</v>
      </c>
      <c r="N74" s="110" t="s">
        <v>130</v>
      </c>
      <c r="O74" s="110" t="s">
        <v>432</v>
      </c>
      <c r="P74" s="110" t="s">
        <v>137</v>
      </c>
      <c r="Q74" s="110" t="s">
        <v>96</v>
      </c>
      <c r="R74" s="121">
        <v>5.2699999999999997E-2</v>
      </c>
      <c r="S74" s="113" t="e">
        <f t="shared" si="2"/>
        <v>#VALUE!</v>
      </c>
      <c r="T74" s="113">
        <f t="shared" si="3"/>
        <v>0</v>
      </c>
    </row>
    <row r="75" spans="1:20" s="109" customFormat="1" x14ac:dyDescent="0.2">
      <c r="A75" s="116">
        <v>43897</v>
      </c>
      <c r="B75" s="111"/>
      <c r="C75" s="110" t="s">
        <v>433</v>
      </c>
      <c r="D75" s="110" t="s">
        <v>434</v>
      </c>
      <c r="E75" s="112" t="s">
        <v>435</v>
      </c>
      <c r="F75" s="111" t="s">
        <v>126</v>
      </c>
      <c r="G75" s="133">
        <v>200</v>
      </c>
      <c r="H75" s="124"/>
      <c r="I75" s="133" t="str">
        <f>IF(H75&gt;0,(#REF!*H75),"-")</f>
        <v>-</v>
      </c>
      <c r="J75" s="113">
        <v>1129</v>
      </c>
      <c r="K75" s="110" t="s">
        <v>127</v>
      </c>
      <c r="L75" s="110" t="s">
        <v>436</v>
      </c>
      <c r="M75" s="110" t="s">
        <v>129</v>
      </c>
      <c r="N75" s="110" t="s">
        <v>130</v>
      </c>
      <c r="O75" s="110" t="s">
        <v>437</v>
      </c>
      <c r="P75" s="110" t="s">
        <v>137</v>
      </c>
      <c r="Q75" s="110" t="s">
        <v>96</v>
      </c>
      <c r="R75" s="121">
        <v>0.1176</v>
      </c>
      <c r="S75" s="113" t="e">
        <f t="shared" si="2"/>
        <v>#VALUE!</v>
      </c>
      <c r="T75" s="113">
        <f t="shared" si="3"/>
        <v>0</v>
      </c>
    </row>
    <row r="76" spans="1:20" s="109" customFormat="1" x14ac:dyDescent="0.2">
      <c r="A76" s="116">
        <v>43897</v>
      </c>
      <c r="B76" s="111"/>
      <c r="C76" s="110" t="s">
        <v>438</v>
      </c>
      <c r="D76" s="110" t="s">
        <v>439</v>
      </c>
      <c r="E76" s="112" t="s">
        <v>440</v>
      </c>
      <c r="F76" s="111" t="s">
        <v>126</v>
      </c>
      <c r="G76" s="133">
        <v>155</v>
      </c>
      <c r="H76" s="124"/>
      <c r="I76" s="133" t="str">
        <f>IF(H76&gt;0,(#REF!*H76),"-")</f>
        <v>-</v>
      </c>
      <c r="J76" s="113">
        <v>544</v>
      </c>
      <c r="K76" s="110" t="s">
        <v>127</v>
      </c>
      <c r="L76" s="110" t="s">
        <v>436</v>
      </c>
      <c r="M76" s="110" t="s">
        <v>129</v>
      </c>
      <c r="N76" s="110" t="s">
        <v>130</v>
      </c>
      <c r="O76" s="110" t="s">
        <v>441</v>
      </c>
      <c r="P76" s="110" t="s">
        <v>137</v>
      </c>
      <c r="Q76" s="110" t="s">
        <v>96</v>
      </c>
      <c r="R76" s="121">
        <v>4.87E-2</v>
      </c>
      <c r="S76" s="113" t="e">
        <f t="shared" si="2"/>
        <v>#VALUE!</v>
      </c>
      <c r="T76" s="113">
        <f t="shared" si="3"/>
        <v>0</v>
      </c>
    </row>
    <row r="77" spans="1:20" s="109" customFormat="1" x14ac:dyDescent="0.2">
      <c r="A77" s="116">
        <v>43890</v>
      </c>
      <c r="B77" s="111"/>
      <c r="C77" s="110" t="s">
        <v>442</v>
      </c>
      <c r="D77" s="110" t="s">
        <v>443</v>
      </c>
      <c r="E77" s="112" t="s">
        <v>444</v>
      </c>
      <c r="F77" s="111" t="s">
        <v>126</v>
      </c>
      <c r="G77" s="133">
        <v>185</v>
      </c>
      <c r="H77" s="124"/>
      <c r="I77" s="133" t="str">
        <f>IF(H77&gt;0,(#REF!*H77),"-")</f>
        <v>-</v>
      </c>
      <c r="J77" s="113">
        <v>536</v>
      </c>
      <c r="K77" s="110" t="s">
        <v>127</v>
      </c>
      <c r="L77" s="110" t="s">
        <v>163</v>
      </c>
      <c r="M77" s="110" t="s">
        <v>129</v>
      </c>
      <c r="N77" s="110" t="s">
        <v>130</v>
      </c>
      <c r="O77" s="110" t="s">
        <v>445</v>
      </c>
      <c r="P77" s="110" t="s">
        <v>137</v>
      </c>
      <c r="Q77" s="110" t="s">
        <v>96</v>
      </c>
      <c r="R77" s="121">
        <v>6.1400000000000003E-2</v>
      </c>
      <c r="S77" s="113" t="e">
        <f t="shared" si="2"/>
        <v>#VALUE!</v>
      </c>
      <c r="T77" s="113">
        <f t="shared" si="3"/>
        <v>0</v>
      </c>
    </row>
    <row r="78" spans="1:20" s="109" customFormat="1" x14ac:dyDescent="0.2">
      <c r="A78" s="116">
        <v>43890</v>
      </c>
      <c r="B78" s="111"/>
      <c r="C78" s="110" t="s">
        <v>446</v>
      </c>
      <c r="D78" s="110" t="s">
        <v>447</v>
      </c>
      <c r="E78" s="112" t="s">
        <v>448</v>
      </c>
      <c r="F78" s="111" t="s">
        <v>126</v>
      </c>
      <c r="G78" s="133">
        <v>124</v>
      </c>
      <c r="H78" s="124"/>
      <c r="I78" s="133" t="str">
        <f>IF(H78&gt;0,(#REF!*H78),"-")</f>
        <v>-</v>
      </c>
      <c r="J78" s="113">
        <v>1574</v>
      </c>
      <c r="K78" s="110" t="s">
        <v>127</v>
      </c>
      <c r="L78" s="110" t="s">
        <v>148</v>
      </c>
      <c r="M78" s="110" t="s">
        <v>129</v>
      </c>
      <c r="N78" s="110" t="s">
        <v>130</v>
      </c>
      <c r="O78" s="110" t="s">
        <v>449</v>
      </c>
      <c r="P78" s="110" t="s">
        <v>132</v>
      </c>
      <c r="Q78" s="110" t="s">
        <v>97</v>
      </c>
      <c r="R78" s="121">
        <v>1.1173999999999999</v>
      </c>
      <c r="S78" s="113" t="e">
        <f t="shared" si="2"/>
        <v>#VALUE!</v>
      </c>
      <c r="T78" s="113">
        <f t="shared" si="3"/>
        <v>0</v>
      </c>
    </row>
    <row r="79" spans="1:20" s="109" customFormat="1" x14ac:dyDescent="0.2">
      <c r="A79" s="116">
        <v>43890</v>
      </c>
      <c r="B79" s="111"/>
      <c r="C79" s="110" t="s">
        <v>450</v>
      </c>
      <c r="D79" s="110" t="s">
        <v>451</v>
      </c>
      <c r="E79" s="112" t="s">
        <v>452</v>
      </c>
      <c r="F79" s="111" t="s">
        <v>126</v>
      </c>
      <c r="G79" s="133">
        <v>112</v>
      </c>
      <c r="H79" s="124"/>
      <c r="I79" s="133" t="str">
        <f>IF(H79&gt;0,(#REF!*H79),"-")</f>
        <v>-</v>
      </c>
      <c r="J79" s="113">
        <v>1597</v>
      </c>
      <c r="K79" s="110" t="s">
        <v>389</v>
      </c>
      <c r="L79" s="110" t="s">
        <v>148</v>
      </c>
      <c r="M79" s="110" t="s">
        <v>129</v>
      </c>
      <c r="N79" s="110" t="s">
        <v>130</v>
      </c>
      <c r="O79" s="110" t="s">
        <v>453</v>
      </c>
      <c r="P79" s="110" t="s">
        <v>132</v>
      </c>
      <c r="Q79" s="110" t="s">
        <v>97</v>
      </c>
      <c r="R79" s="121">
        <v>0.85389999999999999</v>
      </c>
      <c r="S79" s="113" t="e">
        <f t="shared" si="2"/>
        <v>#VALUE!</v>
      </c>
      <c r="T79" s="113">
        <f t="shared" si="3"/>
        <v>0</v>
      </c>
    </row>
    <row r="80" spans="1:20" s="109" customFormat="1" x14ac:dyDescent="0.2">
      <c r="A80" s="116">
        <v>43890</v>
      </c>
      <c r="B80" s="111"/>
      <c r="C80" s="110" t="s">
        <v>454</v>
      </c>
      <c r="D80" s="110" t="s">
        <v>455</v>
      </c>
      <c r="E80" s="112" t="s">
        <v>456</v>
      </c>
      <c r="F80" s="111" t="s">
        <v>126</v>
      </c>
      <c r="G80" s="133">
        <v>50</v>
      </c>
      <c r="H80" s="124"/>
      <c r="I80" s="133" t="str">
        <f>IF(H80&gt;0,(#REF!*H80),"-")</f>
        <v>-</v>
      </c>
      <c r="J80" s="113">
        <v>479</v>
      </c>
      <c r="K80" s="110" t="s">
        <v>389</v>
      </c>
      <c r="L80" s="110" t="s">
        <v>148</v>
      </c>
      <c r="M80" s="110" t="s">
        <v>129</v>
      </c>
      <c r="N80" s="110" t="s">
        <v>130</v>
      </c>
      <c r="O80" s="110" t="s">
        <v>457</v>
      </c>
      <c r="P80" s="110" t="s">
        <v>132</v>
      </c>
      <c r="Q80" s="110" t="s">
        <v>96</v>
      </c>
      <c r="R80" s="121">
        <v>0.20430000000000001</v>
      </c>
      <c r="S80" s="113" t="e">
        <f t="shared" si="2"/>
        <v>#VALUE!</v>
      </c>
      <c r="T80" s="113">
        <f t="shared" si="3"/>
        <v>0</v>
      </c>
    </row>
    <row r="81" spans="1:20" s="109" customFormat="1" x14ac:dyDescent="0.2">
      <c r="A81" s="116">
        <v>43890</v>
      </c>
      <c r="B81" s="111"/>
      <c r="C81" s="110" t="s">
        <v>458</v>
      </c>
      <c r="D81" s="110" t="s">
        <v>459</v>
      </c>
      <c r="E81" s="112" t="s">
        <v>460</v>
      </c>
      <c r="F81" s="111" t="s">
        <v>126</v>
      </c>
      <c r="G81" s="133">
        <v>112</v>
      </c>
      <c r="H81" s="124"/>
      <c r="I81" s="133" t="str">
        <f>IF(H81&gt;0,(#REF!*H81),"-")</f>
        <v>-</v>
      </c>
      <c r="J81" s="113">
        <v>1588</v>
      </c>
      <c r="K81" s="110" t="s">
        <v>129</v>
      </c>
      <c r="L81" s="110" t="s">
        <v>148</v>
      </c>
      <c r="M81" s="110" t="s">
        <v>129</v>
      </c>
      <c r="N81" s="110" t="s">
        <v>130</v>
      </c>
      <c r="O81" s="110" t="s">
        <v>461</v>
      </c>
      <c r="P81" s="110" t="s">
        <v>132</v>
      </c>
      <c r="Q81" s="110" t="s">
        <v>97</v>
      </c>
      <c r="R81" s="121">
        <v>0.86129999999999995</v>
      </c>
      <c r="S81" s="113" t="e">
        <f t="shared" si="2"/>
        <v>#VALUE!</v>
      </c>
      <c r="T81" s="113">
        <f t="shared" si="3"/>
        <v>0</v>
      </c>
    </row>
    <row r="82" spans="1:20" s="109" customFormat="1" x14ac:dyDescent="0.2">
      <c r="A82" s="116">
        <v>43890</v>
      </c>
      <c r="B82" s="111"/>
      <c r="C82" s="110"/>
      <c r="D82" s="110" t="s">
        <v>462</v>
      </c>
      <c r="E82" s="112" t="s">
        <v>463</v>
      </c>
      <c r="F82" s="111" t="s">
        <v>126</v>
      </c>
      <c r="G82" s="133">
        <v>0</v>
      </c>
      <c r="H82" s="124"/>
      <c r="I82" s="133" t="str">
        <f>IF(H82&gt;0,(#REF!*H82),"-")</f>
        <v>-</v>
      </c>
      <c r="J82" s="113">
        <v>177</v>
      </c>
      <c r="K82" s="110" t="s">
        <v>129</v>
      </c>
      <c r="L82" s="110" t="s">
        <v>148</v>
      </c>
      <c r="M82" s="110" t="s">
        <v>129</v>
      </c>
      <c r="N82" s="110" t="s">
        <v>130</v>
      </c>
      <c r="O82" s="110" t="s">
        <v>464</v>
      </c>
      <c r="P82" s="110" t="s">
        <v>132</v>
      </c>
      <c r="Q82" s="110" t="s">
        <v>96</v>
      </c>
      <c r="R82" s="121">
        <v>5.4649999999999997E-2</v>
      </c>
      <c r="S82" s="113" t="e">
        <f t="shared" si="2"/>
        <v>#VALUE!</v>
      </c>
      <c r="T82" s="113">
        <f t="shared" si="3"/>
        <v>0</v>
      </c>
    </row>
    <row r="83" spans="1:20" s="109" customFormat="1" x14ac:dyDescent="0.2">
      <c r="A83" s="116">
        <v>43883</v>
      </c>
      <c r="B83" s="111"/>
      <c r="C83" s="110" t="s">
        <v>465</v>
      </c>
      <c r="D83" s="110" t="s">
        <v>466</v>
      </c>
      <c r="E83" s="112" t="s">
        <v>467</v>
      </c>
      <c r="F83" s="111" t="s">
        <v>126</v>
      </c>
      <c r="G83" s="133">
        <v>630</v>
      </c>
      <c r="H83" s="124"/>
      <c r="I83" s="133" t="str">
        <f>IF(H83&gt;0,(#REF!*H83),"-")</f>
        <v>-</v>
      </c>
      <c r="J83" s="113">
        <v>4447</v>
      </c>
      <c r="K83" s="110" t="s">
        <v>389</v>
      </c>
      <c r="L83" s="110" t="s">
        <v>468</v>
      </c>
      <c r="M83" s="110" t="s">
        <v>129</v>
      </c>
      <c r="N83" s="110" t="s">
        <v>130</v>
      </c>
      <c r="O83" s="110" t="s">
        <v>469</v>
      </c>
      <c r="P83" s="110" t="s">
        <v>400</v>
      </c>
      <c r="Q83" s="110" t="s">
        <v>97</v>
      </c>
      <c r="R83" s="121">
        <v>1.4175</v>
      </c>
      <c r="S83" s="113" t="e">
        <f t="shared" si="2"/>
        <v>#VALUE!</v>
      </c>
      <c r="T83" s="113">
        <f t="shared" si="3"/>
        <v>0</v>
      </c>
    </row>
    <row r="84" spans="1:20" s="109" customFormat="1" x14ac:dyDescent="0.2">
      <c r="A84" s="116">
        <v>43883</v>
      </c>
      <c r="B84" s="111"/>
      <c r="C84" s="110" t="s">
        <v>470</v>
      </c>
      <c r="D84" s="110" t="s">
        <v>471</v>
      </c>
      <c r="E84" s="112" t="s">
        <v>472</v>
      </c>
      <c r="F84" s="111" t="s">
        <v>126</v>
      </c>
      <c r="G84" s="133">
        <v>155</v>
      </c>
      <c r="H84" s="124"/>
      <c r="I84" s="133" t="str">
        <f>IF(H84&gt;0,(#REF!*H84),"-")</f>
        <v>-</v>
      </c>
      <c r="J84" s="113">
        <v>755</v>
      </c>
      <c r="K84" s="110" t="s">
        <v>389</v>
      </c>
      <c r="L84" s="110" t="s">
        <v>473</v>
      </c>
      <c r="M84" s="110" t="s">
        <v>129</v>
      </c>
      <c r="N84" s="110" t="s">
        <v>130</v>
      </c>
      <c r="O84" s="110" t="s">
        <v>474</v>
      </c>
      <c r="P84" s="110" t="s">
        <v>137</v>
      </c>
      <c r="Q84" s="110" t="s">
        <v>96</v>
      </c>
      <c r="R84" s="121">
        <v>0.13100000000000001</v>
      </c>
      <c r="S84" s="113" t="e">
        <f t="shared" si="2"/>
        <v>#VALUE!</v>
      </c>
      <c r="T84" s="113">
        <f t="shared" si="3"/>
        <v>0</v>
      </c>
    </row>
    <row r="85" spans="1:20" s="109" customFormat="1" x14ac:dyDescent="0.2">
      <c r="A85" s="116">
        <v>43883</v>
      </c>
      <c r="B85" s="111"/>
      <c r="C85" s="110" t="s">
        <v>475</v>
      </c>
      <c r="D85" s="110" t="s">
        <v>476</v>
      </c>
      <c r="E85" s="112" t="s">
        <v>477</v>
      </c>
      <c r="F85" s="111" t="s">
        <v>126</v>
      </c>
      <c r="G85" s="133">
        <v>155</v>
      </c>
      <c r="H85" s="124"/>
      <c r="I85" s="133" t="str">
        <f>IF(H85&gt;0,(#REF!*H85),"-")</f>
        <v>-</v>
      </c>
      <c r="J85" s="113">
        <v>733</v>
      </c>
      <c r="K85" s="110" t="s">
        <v>389</v>
      </c>
      <c r="L85" s="110" t="s">
        <v>473</v>
      </c>
      <c r="M85" s="110" t="s">
        <v>129</v>
      </c>
      <c r="N85" s="110" t="s">
        <v>130</v>
      </c>
      <c r="O85" s="110" t="s">
        <v>478</v>
      </c>
      <c r="P85" s="110" t="s">
        <v>137</v>
      </c>
      <c r="Q85" s="110" t="s">
        <v>96</v>
      </c>
      <c r="R85" s="121">
        <v>0.1298</v>
      </c>
      <c r="S85" s="113" t="e">
        <f t="shared" si="2"/>
        <v>#VALUE!</v>
      </c>
      <c r="T85" s="113">
        <f t="shared" si="3"/>
        <v>0</v>
      </c>
    </row>
    <row r="86" spans="1:20" s="109" customFormat="1" x14ac:dyDescent="0.2">
      <c r="A86" s="116">
        <v>43883</v>
      </c>
      <c r="B86" s="111"/>
      <c r="C86" s="110" t="s">
        <v>479</v>
      </c>
      <c r="D86" s="110" t="s">
        <v>480</v>
      </c>
      <c r="E86" s="112" t="s">
        <v>481</v>
      </c>
      <c r="F86" s="111" t="s">
        <v>126</v>
      </c>
      <c r="G86" s="133">
        <v>35</v>
      </c>
      <c r="H86" s="124"/>
      <c r="I86" s="133" t="str">
        <f>IF(H86&gt;0,(#REF!*H86),"-")</f>
        <v>-</v>
      </c>
      <c r="J86" s="113">
        <v>235</v>
      </c>
      <c r="K86" s="110" t="s">
        <v>389</v>
      </c>
      <c r="L86" s="110" t="s">
        <v>473</v>
      </c>
      <c r="M86" s="110" t="s">
        <v>129</v>
      </c>
      <c r="N86" s="110" t="s">
        <v>130</v>
      </c>
      <c r="O86" s="110" t="s">
        <v>482</v>
      </c>
      <c r="P86" s="110" t="s">
        <v>400</v>
      </c>
      <c r="Q86" s="110" t="s">
        <v>97</v>
      </c>
      <c r="R86" s="121">
        <v>7.5200000000000003E-2</v>
      </c>
      <c r="S86" s="113" t="e">
        <f t="shared" si="2"/>
        <v>#VALUE!</v>
      </c>
      <c r="T86" s="113">
        <f t="shared" si="3"/>
        <v>0</v>
      </c>
    </row>
    <row r="87" spans="1:20" s="109" customFormat="1" x14ac:dyDescent="0.2">
      <c r="A87" s="116">
        <v>43883</v>
      </c>
      <c r="B87" s="111"/>
      <c r="C87" s="110" t="s">
        <v>483</v>
      </c>
      <c r="D87" s="110" t="s">
        <v>484</v>
      </c>
      <c r="E87" s="112" t="s">
        <v>485</v>
      </c>
      <c r="F87" s="111" t="s">
        <v>126</v>
      </c>
      <c r="G87" s="133">
        <v>35</v>
      </c>
      <c r="H87" s="124"/>
      <c r="I87" s="133" t="str">
        <f>IF(H87&gt;0,(#REF!*H87),"-")</f>
        <v>-</v>
      </c>
      <c r="J87" s="113">
        <v>235</v>
      </c>
      <c r="K87" s="110" t="s">
        <v>389</v>
      </c>
      <c r="L87" s="110" t="s">
        <v>473</v>
      </c>
      <c r="M87" s="110" t="s">
        <v>129</v>
      </c>
      <c r="N87" s="110" t="s">
        <v>130</v>
      </c>
      <c r="O87" s="110" t="s">
        <v>486</v>
      </c>
      <c r="P87" s="110" t="s">
        <v>400</v>
      </c>
      <c r="Q87" s="110" t="s">
        <v>97</v>
      </c>
      <c r="R87" s="121">
        <v>6.3E-2</v>
      </c>
      <c r="S87" s="113" t="e">
        <f t="shared" si="2"/>
        <v>#VALUE!</v>
      </c>
      <c r="T87" s="113">
        <f t="shared" si="3"/>
        <v>0</v>
      </c>
    </row>
    <row r="88" spans="1:20" s="109" customFormat="1" x14ac:dyDescent="0.2">
      <c r="A88" s="116">
        <v>43883</v>
      </c>
      <c r="B88" s="111"/>
      <c r="C88" s="110" t="s">
        <v>487</v>
      </c>
      <c r="D88" s="110" t="s">
        <v>488</v>
      </c>
      <c r="E88" s="112" t="s">
        <v>489</v>
      </c>
      <c r="F88" s="111" t="s">
        <v>126</v>
      </c>
      <c r="G88" s="133">
        <v>35</v>
      </c>
      <c r="H88" s="124"/>
      <c r="I88" s="133" t="str">
        <f>IF(H88&gt;0,(#REF!*H88),"-")</f>
        <v>-</v>
      </c>
      <c r="J88" s="113">
        <v>235</v>
      </c>
      <c r="K88" s="110" t="s">
        <v>389</v>
      </c>
      <c r="L88" s="110" t="s">
        <v>473</v>
      </c>
      <c r="M88" s="110" t="s">
        <v>129</v>
      </c>
      <c r="N88" s="110" t="s">
        <v>130</v>
      </c>
      <c r="O88" s="110" t="s">
        <v>490</v>
      </c>
      <c r="P88" s="110" t="s">
        <v>400</v>
      </c>
      <c r="Q88" s="110" t="s">
        <v>97</v>
      </c>
      <c r="R88" s="121">
        <v>6.1100000000000002E-2</v>
      </c>
      <c r="S88" s="113" t="e">
        <f t="shared" si="2"/>
        <v>#VALUE!</v>
      </c>
      <c r="T88" s="113">
        <f t="shared" si="3"/>
        <v>0</v>
      </c>
    </row>
    <row r="89" spans="1:20" s="109" customFormat="1" x14ac:dyDescent="0.2">
      <c r="A89" s="116">
        <v>43883</v>
      </c>
      <c r="B89" s="111"/>
      <c r="C89" s="110" t="s">
        <v>491</v>
      </c>
      <c r="D89" s="110" t="s">
        <v>492</v>
      </c>
      <c r="E89" s="112" t="s">
        <v>493</v>
      </c>
      <c r="F89" s="111" t="s">
        <v>126</v>
      </c>
      <c r="G89" s="133">
        <v>35</v>
      </c>
      <c r="H89" s="124"/>
      <c r="I89" s="133" t="str">
        <f>IF(H89&gt;0,(#REF!*H89),"-")</f>
        <v>-</v>
      </c>
      <c r="J89" s="113">
        <v>235</v>
      </c>
      <c r="K89" s="110" t="s">
        <v>389</v>
      </c>
      <c r="L89" s="110" t="s">
        <v>473</v>
      </c>
      <c r="M89" s="110" t="s">
        <v>129</v>
      </c>
      <c r="N89" s="110" t="s">
        <v>130</v>
      </c>
      <c r="O89" s="110" t="s">
        <v>494</v>
      </c>
      <c r="P89" s="110" t="s">
        <v>400</v>
      </c>
      <c r="Q89" s="110" t="s">
        <v>97</v>
      </c>
      <c r="R89" s="121">
        <v>6.3E-2</v>
      </c>
      <c r="S89" s="113" t="e">
        <f t="shared" si="2"/>
        <v>#VALUE!</v>
      </c>
      <c r="T89" s="113">
        <f t="shared" si="3"/>
        <v>0</v>
      </c>
    </row>
    <row r="90" spans="1:20" s="109" customFormat="1" x14ac:dyDescent="0.2">
      <c r="A90" s="116">
        <v>43883</v>
      </c>
      <c r="B90" s="111"/>
      <c r="C90" s="110" t="s">
        <v>495</v>
      </c>
      <c r="D90" s="110" t="s">
        <v>496</v>
      </c>
      <c r="E90" s="112" t="s">
        <v>497</v>
      </c>
      <c r="F90" s="111" t="s">
        <v>126</v>
      </c>
      <c r="G90" s="133">
        <v>35</v>
      </c>
      <c r="H90" s="124"/>
      <c r="I90" s="133" t="str">
        <f>IF(H90&gt;0,(#REF!*H90),"-")</f>
        <v>-</v>
      </c>
      <c r="J90" s="113">
        <v>235</v>
      </c>
      <c r="K90" s="110" t="s">
        <v>389</v>
      </c>
      <c r="L90" s="110" t="s">
        <v>473</v>
      </c>
      <c r="M90" s="110" t="s">
        <v>129</v>
      </c>
      <c r="N90" s="110" t="s">
        <v>130</v>
      </c>
      <c r="O90" s="110" t="s">
        <v>498</v>
      </c>
      <c r="P90" s="110" t="s">
        <v>400</v>
      </c>
      <c r="Q90" s="110" t="s">
        <v>97</v>
      </c>
      <c r="R90" s="121">
        <v>6.93E-2</v>
      </c>
      <c r="S90" s="113" t="e">
        <f t="shared" si="2"/>
        <v>#VALUE!</v>
      </c>
      <c r="T90" s="113">
        <f t="shared" si="3"/>
        <v>0</v>
      </c>
    </row>
    <row r="91" spans="1:20" s="109" customFormat="1" x14ac:dyDescent="0.2">
      <c r="A91" s="116">
        <v>43883</v>
      </c>
      <c r="B91" s="111"/>
      <c r="C91" s="110" t="s">
        <v>499</v>
      </c>
      <c r="D91" s="110" t="s">
        <v>500</v>
      </c>
      <c r="E91" s="112" t="s">
        <v>501</v>
      </c>
      <c r="F91" s="111" t="s">
        <v>126</v>
      </c>
      <c r="G91" s="133">
        <v>35</v>
      </c>
      <c r="H91" s="124"/>
      <c r="I91" s="133" t="str">
        <f>IF(H91&gt;0,(#REF!*H91),"-")</f>
        <v>-</v>
      </c>
      <c r="J91" s="113">
        <v>235</v>
      </c>
      <c r="K91" s="110" t="s">
        <v>389</v>
      </c>
      <c r="L91" s="110" t="s">
        <v>502</v>
      </c>
      <c r="M91" s="110" t="s">
        <v>129</v>
      </c>
      <c r="N91" s="110" t="s">
        <v>130</v>
      </c>
      <c r="O91" s="110" t="s">
        <v>503</v>
      </c>
      <c r="P91" s="110" t="s">
        <v>400</v>
      </c>
      <c r="Q91" s="110" t="s">
        <v>97</v>
      </c>
      <c r="R91" s="121">
        <v>7.5300000000000006E-2</v>
      </c>
      <c r="S91" s="113" t="e">
        <f t="shared" si="2"/>
        <v>#VALUE!</v>
      </c>
      <c r="T91" s="113">
        <f t="shared" si="3"/>
        <v>0</v>
      </c>
    </row>
    <row r="92" spans="1:20" s="109" customFormat="1" x14ac:dyDescent="0.2">
      <c r="A92" s="116">
        <v>43883</v>
      </c>
      <c r="B92" s="111"/>
      <c r="C92" s="110" t="s">
        <v>504</v>
      </c>
      <c r="D92" s="110" t="s">
        <v>505</v>
      </c>
      <c r="E92" s="112" t="s">
        <v>506</v>
      </c>
      <c r="F92" s="111" t="s">
        <v>126</v>
      </c>
      <c r="G92" s="133">
        <v>140</v>
      </c>
      <c r="H92" s="124"/>
      <c r="I92" s="133" t="str">
        <f>IF(H92&gt;0,(#REF!*H92),"-")</f>
        <v>-</v>
      </c>
      <c r="J92" s="113">
        <v>504</v>
      </c>
      <c r="K92" s="110" t="s">
        <v>389</v>
      </c>
      <c r="L92" s="110" t="s">
        <v>502</v>
      </c>
      <c r="M92" s="110" t="s">
        <v>129</v>
      </c>
      <c r="N92" s="110" t="s">
        <v>130</v>
      </c>
      <c r="O92" s="110" t="s">
        <v>507</v>
      </c>
      <c r="P92" s="110" t="s">
        <v>137</v>
      </c>
      <c r="Q92" s="110" t="s">
        <v>96</v>
      </c>
      <c r="R92" s="121">
        <v>5.3800000000000001E-2</v>
      </c>
      <c r="S92" s="113" t="e">
        <f t="shared" si="2"/>
        <v>#VALUE!</v>
      </c>
      <c r="T92" s="113">
        <f t="shared" si="3"/>
        <v>0</v>
      </c>
    </row>
    <row r="93" spans="1:20" s="109" customFormat="1" x14ac:dyDescent="0.2">
      <c r="A93" s="116">
        <v>43883</v>
      </c>
      <c r="B93" s="111"/>
      <c r="C93" s="110" t="s">
        <v>508</v>
      </c>
      <c r="D93" s="110" t="s">
        <v>509</v>
      </c>
      <c r="E93" s="112" t="s">
        <v>510</v>
      </c>
      <c r="F93" s="111" t="s">
        <v>126</v>
      </c>
      <c r="G93" s="133">
        <v>110</v>
      </c>
      <c r="H93" s="124"/>
      <c r="I93" s="133" t="str">
        <f>IF(H93&gt;0,(#REF!*H93),"-")</f>
        <v>-</v>
      </c>
      <c r="J93" s="113">
        <v>398</v>
      </c>
      <c r="K93" s="110" t="s">
        <v>389</v>
      </c>
      <c r="L93" s="110" t="s">
        <v>511</v>
      </c>
      <c r="M93" s="110" t="s">
        <v>129</v>
      </c>
      <c r="N93" s="110" t="s">
        <v>130</v>
      </c>
      <c r="O93" s="110" t="s">
        <v>512</v>
      </c>
      <c r="P93" s="110" t="s">
        <v>137</v>
      </c>
      <c r="Q93" s="110" t="s">
        <v>96</v>
      </c>
      <c r="R93" s="121">
        <v>2.52E-2</v>
      </c>
      <c r="S93" s="113" t="e">
        <f t="shared" si="2"/>
        <v>#VALUE!</v>
      </c>
      <c r="T93" s="113">
        <f t="shared" si="3"/>
        <v>0</v>
      </c>
    </row>
    <row r="94" spans="1:20" s="109" customFormat="1" x14ac:dyDescent="0.2">
      <c r="A94" s="116">
        <v>43883</v>
      </c>
      <c r="B94" s="111"/>
      <c r="C94" s="110" t="s">
        <v>513</v>
      </c>
      <c r="D94" s="110" t="s">
        <v>514</v>
      </c>
      <c r="E94" s="112" t="s">
        <v>515</v>
      </c>
      <c r="F94" s="111" t="s">
        <v>126</v>
      </c>
      <c r="G94" s="133">
        <v>110</v>
      </c>
      <c r="H94" s="124"/>
      <c r="I94" s="133" t="str">
        <f>IF(H94&gt;0,(#REF!*H94),"-")</f>
        <v>-</v>
      </c>
      <c r="J94" s="113">
        <v>398</v>
      </c>
      <c r="K94" s="110" t="s">
        <v>389</v>
      </c>
      <c r="L94" s="110" t="s">
        <v>516</v>
      </c>
      <c r="M94" s="110" t="s">
        <v>129</v>
      </c>
      <c r="N94" s="110" t="s">
        <v>130</v>
      </c>
      <c r="O94" s="110" t="s">
        <v>517</v>
      </c>
      <c r="P94" s="110" t="s">
        <v>137</v>
      </c>
      <c r="Q94" s="110" t="s">
        <v>96</v>
      </c>
      <c r="R94" s="121">
        <v>2.63E-2</v>
      </c>
      <c r="S94" s="113" t="e">
        <f t="shared" si="2"/>
        <v>#VALUE!</v>
      </c>
      <c r="T94" s="113">
        <f t="shared" si="3"/>
        <v>0</v>
      </c>
    </row>
    <row r="95" spans="1:20" s="109" customFormat="1" x14ac:dyDescent="0.2">
      <c r="A95" s="116">
        <v>43883</v>
      </c>
      <c r="B95" s="111"/>
      <c r="C95" s="110" t="s">
        <v>518</v>
      </c>
      <c r="D95" s="110" t="s">
        <v>519</v>
      </c>
      <c r="E95" s="112" t="s">
        <v>520</v>
      </c>
      <c r="F95" s="111" t="s">
        <v>126</v>
      </c>
      <c r="G95" s="133">
        <v>110</v>
      </c>
      <c r="H95" s="124"/>
      <c r="I95" s="133" t="str">
        <f>IF(H95&gt;0,(#REF!*H95),"-")</f>
        <v>-</v>
      </c>
      <c r="J95" s="113">
        <v>398</v>
      </c>
      <c r="K95" s="110" t="s">
        <v>389</v>
      </c>
      <c r="L95" s="110" t="s">
        <v>516</v>
      </c>
      <c r="M95" s="110" t="s">
        <v>129</v>
      </c>
      <c r="N95" s="110" t="s">
        <v>130</v>
      </c>
      <c r="O95" s="110" t="s">
        <v>521</v>
      </c>
      <c r="P95" s="110" t="s">
        <v>137</v>
      </c>
      <c r="Q95" s="110" t="s">
        <v>96</v>
      </c>
      <c r="R95" s="121">
        <v>2.4199999999999999E-2</v>
      </c>
      <c r="S95" s="113" t="e">
        <f t="shared" si="2"/>
        <v>#VALUE!</v>
      </c>
      <c r="T95" s="113">
        <f t="shared" si="3"/>
        <v>0</v>
      </c>
    </row>
    <row r="96" spans="1:20" s="109" customFormat="1" x14ac:dyDescent="0.2">
      <c r="A96" s="116">
        <v>43883</v>
      </c>
      <c r="B96" s="111"/>
      <c r="C96" s="110" t="s">
        <v>522</v>
      </c>
      <c r="D96" s="110" t="s">
        <v>523</v>
      </c>
      <c r="E96" s="112" t="s">
        <v>524</v>
      </c>
      <c r="F96" s="111" t="s">
        <v>126</v>
      </c>
      <c r="G96" s="133">
        <v>35</v>
      </c>
      <c r="H96" s="124"/>
      <c r="I96" s="133" t="str">
        <f>IF(H96&gt;0,(#REF!*H96),"-")</f>
        <v>-</v>
      </c>
      <c r="J96" s="113">
        <v>235</v>
      </c>
      <c r="K96" s="110" t="s">
        <v>389</v>
      </c>
      <c r="L96" s="110" t="s">
        <v>390</v>
      </c>
      <c r="M96" s="110" t="s">
        <v>129</v>
      </c>
      <c r="N96" s="110" t="s">
        <v>130</v>
      </c>
      <c r="O96" s="110" t="s">
        <v>525</v>
      </c>
      <c r="P96" s="110" t="s">
        <v>400</v>
      </c>
      <c r="Q96" s="110" t="s">
        <v>97</v>
      </c>
      <c r="R96" s="121">
        <v>8.4400000000000003E-2</v>
      </c>
      <c r="S96" s="113" t="e">
        <f t="shared" si="2"/>
        <v>#VALUE!</v>
      </c>
      <c r="T96" s="113">
        <f t="shared" si="3"/>
        <v>0</v>
      </c>
    </row>
    <row r="97" spans="1:20" s="109" customFormat="1" x14ac:dyDescent="0.2">
      <c r="A97" s="116">
        <v>43883</v>
      </c>
      <c r="B97" s="111"/>
      <c r="C97" s="110" t="s">
        <v>526</v>
      </c>
      <c r="D97" s="110" t="s">
        <v>527</v>
      </c>
      <c r="E97" s="112" t="s">
        <v>528</v>
      </c>
      <c r="F97" s="111" t="s">
        <v>126</v>
      </c>
      <c r="G97" s="133">
        <v>140</v>
      </c>
      <c r="H97" s="124"/>
      <c r="I97" s="133" t="str">
        <f>IF(H97&gt;0,(#REF!*H97),"-")</f>
        <v>-</v>
      </c>
      <c r="J97" s="113">
        <v>504</v>
      </c>
      <c r="K97" s="110" t="s">
        <v>389</v>
      </c>
      <c r="L97" s="110" t="s">
        <v>408</v>
      </c>
      <c r="M97" s="110" t="s">
        <v>129</v>
      </c>
      <c r="N97" s="110" t="s">
        <v>130</v>
      </c>
      <c r="O97" s="110" t="s">
        <v>529</v>
      </c>
      <c r="P97" s="110" t="s">
        <v>137</v>
      </c>
      <c r="Q97" s="110" t="s">
        <v>96</v>
      </c>
      <c r="R97" s="121">
        <v>5.3999999999999999E-2</v>
      </c>
      <c r="S97" s="113" t="e">
        <f t="shared" si="2"/>
        <v>#VALUE!</v>
      </c>
      <c r="T97" s="113">
        <f t="shared" si="3"/>
        <v>0</v>
      </c>
    </row>
    <row r="98" spans="1:20" s="109" customFormat="1" x14ac:dyDescent="0.2">
      <c r="A98" s="116">
        <v>43883</v>
      </c>
      <c r="B98" s="111"/>
      <c r="C98" s="110" t="s">
        <v>530</v>
      </c>
      <c r="D98" s="110" t="s">
        <v>531</v>
      </c>
      <c r="E98" s="112" t="s">
        <v>532</v>
      </c>
      <c r="F98" s="111" t="s">
        <v>126</v>
      </c>
      <c r="G98" s="133">
        <v>125</v>
      </c>
      <c r="H98" s="124"/>
      <c r="I98" s="133" t="str">
        <f>IF(H98&gt;0,(#REF!*H98),"-")</f>
        <v>-</v>
      </c>
      <c r="J98" s="113">
        <v>504</v>
      </c>
      <c r="K98" s="110" t="s">
        <v>389</v>
      </c>
      <c r="L98" s="110" t="s">
        <v>533</v>
      </c>
      <c r="M98" s="110" t="s">
        <v>129</v>
      </c>
      <c r="N98" s="110" t="s">
        <v>130</v>
      </c>
      <c r="O98" s="110" t="s">
        <v>534</v>
      </c>
      <c r="P98" s="110" t="s">
        <v>137</v>
      </c>
      <c r="Q98" s="110" t="s">
        <v>96</v>
      </c>
      <c r="R98" s="121">
        <v>6.6600000000000006E-2</v>
      </c>
      <c r="S98" s="113" t="e">
        <f t="shared" si="2"/>
        <v>#VALUE!</v>
      </c>
      <c r="T98" s="113">
        <f t="shared" si="3"/>
        <v>0</v>
      </c>
    </row>
    <row r="99" spans="1:20" s="109" customFormat="1" x14ac:dyDescent="0.2">
      <c r="A99" s="116">
        <v>43883</v>
      </c>
      <c r="B99" s="111"/>
      <c r="C99" s="110" t="s">
        <v>535</v>
      </c>
      <c r="D99" s="110" t="s">
        <v>536</v>
      </c>
      <c r="E99" s="112" t="s">
        <v>537</v>
      </c>
      <c r="F99" s="111" t="s">
        <v>126</v>
      </c>
      <c r="G99" s="133">
        <v>35</v>
      </c>
      <c r="H99" s="124"/>
      <c r="I99" s="133" t="str">
        <f>IF(H99&gt;0,(#REF!*H99),"-")</f>
        <v>-</v>
      </c>
      <c r="J99" s="113">
        <v>235</v>
      </c>
      <c r="K99" s="110" t="s">
        <v>389</v>
      </c>
      <c r="L99" s="110" t="s">
        <v>538</v>
      </c>
      <c r="M99" s="110" t="s">
        <v>129</v>
      </c>
      <c r="N99" s="110" t="s">
        <v>130</v>
      </c>
      <c r="O99" s="110" t="s">
        <v>539</v>
      </c>
      <c r="P99" s="110" t="s">
        <v>400</v>
      </c>
      <c r="Q99" s="110" t="s">
        <v>97</v>
      </c>
      <c r="R99" s="121">
        <v>6.8900000000000003E-2</v>
      </c>
      <c r="S99" s="113" t="e">
        <f t="shared" si="2"/>
        <v>#VALUE!</v>
      </c>
      <c r="T99" s="113">
        <f t="shared" si="3"/>
        <v>0</v>
      </c>
    </row>
    <row r="100" spans="1:20" s="109" customFormat="1" x14ac:dyDescent="0.2">
      <c r="A100" s="116">
        <v>43883</v>
      </c>
      <c r="B100" s="111"/>
      <c r="C100" s="110" t="s">
        <v>540</v>
      </c>
      <c r="D100" s="110" t="s">
        <v>541</v>
      </c>
      <c r="E100" s="112" t="s">
        <v>542</v>
      </c>
      <c r="F100" s="111" t="s">
        <v>126</v>
      </c>
      <c r="G100" s="133">
        <v>60</v>
      </c>
      <c r="H100" s="124"/>
      <c r="I100" s="133" t="str">
        <f>IF(H100&gt;0,(#REF!*H100),"-")</f>
        <v>-</v>
      </c>
      <c r="J100" s="113">
        <v>125</v>
      </c>
      <c r="K100" s="110" t="s">
        <v>129</v>
      </c>
      <c r="L100" s="110" t="s">
        <v>129</v>
      </c>
      <c r="M100" s="110" t="s">
        <v>129</v>
      </c>
      <c r="N100" s="110" t="s">
        <v>130</v>
      </c>
      <c r="O100" s="110" t="s">
        <v>543</v>
      </c>
      <c r="P100" s="110" t="s">
        <v>400</v>
      </c>
      <c r="Q100" s="110" t="s">
        <v>97</v>
      </c>
      <c r="R100" s="121">
        <v>8.2600000000000007E-2</v>
      </c>
      <c r="S100" s="113" t="e">
        <f t="shared" si="2"/>
        <v>#VALUE!</v>
      </c>
      <c r="T100" s="113">
        <f t="shared" si="3"/>
        <v>0</v>
      </c>
    </row>
    <row r="101" spans="1:20" s="109" customFormat="1" x14ac:dyDescent="0.2">
      <c r="A101" s="116">
        <v>43883</v>
      </c>
      <c r="B101" s="111"/>
      <c r="C101" s="110" t="s">
        <v>544</v>
      </c>
      <c r="D101" s="110" t="s">
        <v>545</v>
      </c>
      <c r="E101" s="112" t="s">
        <v>546</v>
      </c>
      <c r="F101" s="111" t="s">
        <v>126</v>
      </c>
      <c r="G101" s="133">
        <v>170</v>
      </c>
      <c r="H101" s="124"/>
      <c r="I101" s="133" t="str">
        <f>IF(H101&gt;0,(#REF!*H101),"-")</f>
        <v>-</v>
      </c>
      <c r="J101" s="113">
        <v>1118</v>
      </c>
      <c r="K101" s="110" t="s">
        <v>129</v>
      </c>
      <c r="L101" s="110" t="s">
        <v>129</v>
      </c>
      <c r="M101" s="110" t="s">
        <v>129</v>
      </c>
      <c r="N101" s="110" t="s">
        <v>130</v>
      </c>
      <c r="O101" s="110" t="s">
        <v>547</v>
      </c>
      <c r="P101" s="110" t="s">
        <v>132</v>
      </c>
      <c r="Q101" s="110" t="s">
        <v>97</v>
      </c>
      <c r="R101" s="121">
        <v>0.95179999999999998</v>
      </c>
      <c r="S101" s="113" t="e">
        <f t="shared" si="2"/>
        <v>#VALUE!</v>
      </c>
      <c r="T101" s="113">
        <f t="shared" si="3"/>
        <v>0</v>
      </c>
    </row>
    <row r="102" spans="1:20" s="109" customFormat="1" x14ac:dyDescent="0.2">
      <c r="A102" s="116">
        <v>43883</v>
      </c>
      <c r="B102" s="111"/>
      <c r="C102" s="110" t="s">
        <v>548</v>
      </c>
      <c r="D102" s="110" t="s">
        <v>549</v>
      </c>
      <c r="E102" s="112" t="s">
        <v>550</v>
      </c>
      <c r="F102" s="111" t="s">
        <v>126</v>
      </c>
      <c r="G102" s="133">
        <v>165</v>
      </c>
      <c r="H102" s="124"/>
      <c r="I102" s="133" t="str">
        <f>IF(H102&gt;0,(#REF!*H102),"-")</f>
        <v>-</v>
      </c>
      <c r="J102" s="113">
        <v>1253</v>
      </c>
      <c r="K102" s="110" t="s">
        <v>129</v>
      </c>
      <c r="L102" s="110" t="s">
        <v>129</v>
      </c>
      <c r="M102" s="110" t="s">
        <v>129</v>
      </c>
      <c r="N102" s="110" t="s">
        <v>130</v>
      </c>
      <c r="O102" s="110" t="s">
        <v>551</v>
      </c>
      <c r="P102" s="110" t="s">
        <v>137</v>
      </c>
      <c r="Q102" s="110" t="s">
        <v>96</v>
      </c>
      <c r="R102" s="121">
        <v>0.155</v>
      </c>
      <c r="S102" s="113" t="e">
        <f t="shared" si="2"/>
        <v>#VALUE!</v>
      </c>
      <c r="T102" s="113">
        <f t="shared" si="3"/>
        <v>0</v>
      </c>
    </row>
    <row r="103" spans="1:20" s="109" customFormat="1" x14ac:dyDescent="0.2">
      <c r="A103" s="116">
        <v>43883</v>
      </c>
      <c r="B103" s="111"/>
      <c r="C103" s="110" t="s">
        <v>552</v>
      </c>
      <c r="D103" s="110" t="s">
        <v>553</v>
      </c>
      <c r="E103" s="112" t="s">
        <v>554</v>
      </c>
      <c r="F103" s="111" t="s">
        <v>126</v>
      </c>
      <c r="G103" s="133">
        <v>235</v>
      </c>
      <c r="H103" s="124"/>
      <c r="I103" s="133" t="str">
        <f>IF(H103&gt;0,(#REF!*H103),"-")</f>
        <v>-</v>
      </c>
      <c r="J103" s="113">
        <v>2346</v>
      </c>
      <c r="K103" s="110" t="s">
        <v>129</v>
      </c>
      <c r="L103" s="110" t="s">
        <v>129</v>
      </c>
      <c r="M103" s="110" t="s">
        <v>129</v>
      </c>
      <c r="N103" s="110" t="s">
        <v>130</v>
      </c>
      <c r="O103" s="110" t="s">
        <v>555</v>
      </c>
      <c r="P103" s="110" t="s">
        <v>137</v>
      </c>
      <c r="Q103" s="110" t="s">
        <v>96</v>
      </c>
      <c r="R103" s="121">
        <v>0.51160000000000005</v>
      </c>
      <c r="S103" s="113" t="e">
        <f t="shared" si="2"/>
        <v>#VALUE!</v>
      </c>
      <c r="T103" s="113">
        <f t="shared" si="3"/>
        <v>0</v>
      </c>
    </row>
    <row r="104" spans="1:20" s="109" customFormat="1" x14ac:dyDescent="0.2">
      <c r="A104" s="116">
        <v>43883</v>
      </c>
      <c r="B104" s="111"/>
      <c r="C104" s="110" t="s">
        <v>552</v>
      </c>
      <c r="D104" s="110" t="s">
        <v>556</v>
      </c>
      <c r="E104" s="112" t="s">
        <v>557</v>
      </c>
      <c r="F104" s="111" t="s">
        <v>126</v>
      </c>
      <c r="G104" s="133">
        <v>235</v>
      </c>
      <c r="H104" s="124"/>
      <c r="I104" s="133" t="str">
        <f>IF(H104&gt;0,(#REF!*H104),"-")</f>
        <v>-</v>
      </c>
      <c r="J104" s="113">
        <v>2346</v>
      </c>
      <c r="K104" s="110" t="s">
        <v>129</v>
      </c>
      <c r="L104" s="110" t="s">
        <v>129</v>
      </c>
      <c r="M104" s="110" t="s">
        <v>129</v>
      </c>
      <c r="N104" s="110" t="s">
        <v>130</v>
      </c>
      <c r="O104" s="110" t="s">
        <v>558</v>
      </c>
      <c r="P104" s="110" t="s">
        <v>137</v>
      </c>
      <c r="Q104" s="110" t="s">
        <v>96</v>
      </c>
      <c r="R104" s="121">
        <v>0.51160000000000005</v>
      </c>
      <c r="S104" s="113" t="e">
        <f t="shared" si="2"/>
        <v>#VALUE!</v>
      </c>
      <c r="T104" s="113">
        <f t="shared" si="3"/>
        <v>0</v>
      </c>
    </row>
    <row r="105" spans="1:20" s="109" customFormat="1" x14ac:dyDescent="0.2">
      <c r="A105" s="116">
        <v>43882</v>
      </c>
      <c r="B105" s="111"/>
      <c r="C105" s="110" t="s">
        <v>559</v>
      </c>
      <c r="D105" s="110" t="s">
        <v>560</v>
      </c>
      <c r="E105" s="112" t="s">
        <v>561</v>
      </c>
      <c r="F105" s="111" t="s">
        <v>126</v>
      </c>
      <c r="G105" s="133">
        <v>37</v>
      </c>
      <c r="H105" s="124"/>
      <c r="I105" s="133" t="str">
        <f>IF(H105&gt;0,(#REF!*H105),"-")</f>
        <v>-</v>
      </c>
      <c r="J105" s="113">
        <v>568</v>
      </c>
      <c r="K105" s="110" t="s">
        <v>129</v>
      </c>
      <c r="L105" s="110" t="s">
        <v>129</v>
      </c>
      <c r="M105" s="110" t="s">
        <v>129</v>
      </c>
      <c r="N105" s="110" t="s">
        <v>130</v>
      </c>
      <c r="O105" s="110" t="s">
        <v>562</v>
      </c>
      <c r="P105" s="110" t="s">
        <v>197</v>
      </c>
      <c r="Q105" s="110" t="s">
        <v>96</v>
      </c>
      <c r="R105" s="121">
        <v>0.53900000000000003</v>
      </c>
      <c r="S105" s="113" t="e">
        <f t="shared" si="2"/>
        <v>#VALUE!</v>
      </c>
      <c r="T105" s="113">
        <f t="shared" si="3"/>
        <v>0</v>
      </c>
    </row>
    <row r="106" spans="1:20" s="109" customFormat="1" x14ac:dyDescent="0.2">
      <c r="A106" s="116">
        <v>43882</v>
      </c>
      <c r="B106" s="111"/>
      <c r="C106" s="110" t="s">
        <v>563</v>
      </c>
      <c r="D106" s="110" t="s">
        <v>564</v>
      </c>
      <c r="E106" s="112" t="s">
        <v>565</v>
      </c>
      <c r="F106" s="111" t="s">
        <v>126</v>
      </c>
      <c r="G106" s="133">
        <v>37</v>
      </c>
      <c r="H106" s="124"/>
      <c r="I106" s="133" t="str">
        <f>IF(H106&gt;0,(#REF!*H106),"-")</f>
        <v>-</v>
      </c>
      <c r="J106" s="113">
        <v>568</v>
      </c>
      <c r="K106" s="110" t="s">
        <v>129</v>
      </c>
      <c r="L106" s="110" t="s">
        <v>129</v>
      </c>
      <c r="M106" s="110" t="s">
        <v>129</v>
      </c>
      <c r="N106" s="110" t="s">
        <v>130</v>
      </c>
      <c r="O106" s="110" t="s">
        <v>566</v>
      </c>
      <c r="P106" s="110" t="s">
        <v>197</v>
      </c>
      <c r="Q106" s="110" t="s">
        <v>96</v>
      </c>
      <c r="R106" s="121">
        <v>0.53900000000000003</v>
      </c>
      <c r="S106" s="113" t="e">
        <f t="shared" si="2"/>
        <v>#VALUE!</v>
      </c>
      <c r="T106" s="113">
        <f t="shared" si="3"/>
        <v>0</v>
      </c>
    </row>
    <row r="107" spans="1:20" s="109" customFormat="1" x14ac:dyDescent="0.2">
      <c r="A107" s="116">
        <v>43876</v>
      </c>
      <c r="B107" s="111"/>
      <c r="C107" s="110" t="s">
        <v>567</v>
      </c>
      <c r="D107" s="110" t="s">
        <v>568</v>
      </c>
      <c r="E107" s="112" t="s">
        <v>569</v>
      </c>
      <c r="F107" s="111" t="s">
        <v>126</v>
      </c>
      <c r="G107" s="133">
        <v>155</v>
      </c>
      <c r="H107" s="124"/>
      <c r="I107" s="133" t="str">
        <f>IF(H107&gt;0,(#REF!*H107),"-")</f>
        <v>-</v>
      </c>
      <c r="J107" s="113">
        <v>706</v>
      </c>
      <c r="K107" s="110" t="s">
        <v>127</v>
      </c>
      <c r="L107" s="110" t="s">
        <v>128</v>
      </c>
      <c r="M107" s="110" t="s">
        <v>129</v>
      </c>
      <c r="N107" s="110" t="s">
        <v>130</v>
      </c>
      <c r="O107" s="110" t="s">
        <v>570</v>
      </c>
      <c r="P107" s="110" t="s">
        <v>132</v>
      </c>
      <c r="Q107" s="110" t="s">
        <v>97</v>
      </c>
      <c r="R107" s="121">
        <v>0.51700000000000002</v>
      </c>
      <c r="S107" s="113" t="e">
        <f t="shared" si="2"/>
        <v>#VALUE!</v>
      </c>
      <c r="T107" s="113">
        <f t="shared" si="3"/>
        <v>0</v>
      </c>
    </row>
    <row r="108" spans="1:20" s="109" customFormat="1" x14ac:dyDescent="0.2">
      <c r="A108" s="116">
        <v>43876</v>
      </c>
      <c r="B108" s="111"/>
      <c r="C108" s="110" t="s">
        <v>571</v>
      </c>
      <c r="D108" s="110" t="s">
        <v>572</v>
      </c>
      <c r="E108" s="112" t="s">
        <v>573</v>
      </c>
      <c r="F108" s="111" t="s">
        <v>126</v>
      </c>
      <c r="G108" s="133">
        <v>170</v>
      </c>
      <c r="H108" s="124"/>
      <c r="I108" s="133" t="str">
        <f>IF(H108&gt;0,(#REF!*H108),"-")</f>
        <v>-</v>
      </c>
      <c r="J108" s="113">
        <v>1094</v>
      </c>
      <c r="K108" s="110" t="s">
        <v>127</v>
      </c>
      <c r="L108" s="110" t="s">
        <v>574</v>
      </c>
      <c r="M108" s="110" t="s">
        <v>129</v>
      </c>
      <c r="N108" s="110" t="s">
        <v>130</v>
      </c>
      <c r="O108" s="110" t="s">
        <v>575</v>
      </c>
      <c r="P108" s="110" t="s">
        <v>137</v>
      </c>
      <c r="Q108" s="110" t="s">
        <v>96</v>
      </c>
      <c r="R108" s="121">
        <v>0.126</v>
      </c>
      <c r="S108" s="113" t="e">
        <f t="shared" si="2"/>
        <v>#VALUE!</v>
      </c>
      <c r="T108" s="113">
        <f t="shared" si="3"/>
        <v>0</v>
      </c>
    </row>
    <row r="109" spans="1:20" s="109" customFormat="1" x14ac:dyDescent="0.2">
      <c r="A109" s="116">
        <v>43876</v>
      </c>
      <c r="B109" s="111"/>
      <c r="C109" s="110" t="s">
        <v>576</v>
      </c>
      <c r="D109" s="110" t="s">
        <v>577</v>
      </c>
      <c r="E109" s="112" t="s">
        <v>578</v>
      </c>
      <c r="F109" s="111" t="s">
        <v>126</v>
      </c>
      <c r="G109" s="133">
        <v>110</v>
      </c>
      <c r="H109" s="124"/>
      <c r="I109" s="133" t="str">
        <f>IF(H109&gt;0,(#REF!*H109),"-")</f>
        <v>-</v>
      </c>
      <c r="J109" s="113">
        <v>398</v>
      </c>
      <c r="K109" s="110" t="s">
        <v>127</v>
      </c>
      <c r="L109" s="110" t="s">
        <v>579</v>
      </c>
      <c r="M109" s="110" t="s">
        <v>129</v>
      </c>
      <c r="N109" s="110" t="s">
        <v>130</v>
      </c>
      <c r="O109" s="110" t="s">
        <v>580</v>
      </c>
      <c r="P109" s="110" t="s">
        <v>137</v>
      </c>
      <c r="Q109" s="110" t="s">
        <v>96</v>
      </c>
      <c r="R109" s="121">
        <v>2.29E-2</v>
      </c>
      <c r="S109" s="113" t="e">
        <f t="shared" si="2"/>
        <v>#VALUE!</v>
      </c>
      <c r="T109" s="113">
        <f t="shared" si="3"/>
        <v>0</v>
      </c>
    </row>
    <row r="110" spans="1:20" s="109" customFormat="1" x14ac:dyDescent="0.2">
      <c r="A110" s="116">
        <v>43876</v>
      </c>
      <c r="B110" s="111"/>
      <c r="C110" s="110" t="s">
        <v>581</v>
      </c>
      <c r="D110" s="110" t="s">
        <v>582</v>
      </c>
      <c r="E110" s="112" t="s">
        <v>583</v>
      </c>
      <c r="F110" s="111" t="s">
        <v>126</v>
      </c>
      <c r="G110" s="133">
        <v>370</v>
      </c>
      <c r="H110" s="124"/>
      <c r="I110" s="133" t="str">
        <f>IF(H110&gt;0,(#REF!*H110),"-")</f>
        <v>-</v>
      </c>
      <c r="J110" s="113">
        <v>4050</v>
      </c>
      <c r="K110" s="110" t="s">
        <v>127</v>
      </c>
      <c r="L110" s="110" t="s">
        <v>579</v>
      </c>
      <c r="M110" s="110" t="s">
        <v>129</v>
      </c>
      <c r="N110" s="110" t="s">
        <v>130</v>
      </c>
      <c r="O110" s="110" t="s">
        <v>584</v>
      </c>
      <c r="P110" s="110" t="s">
        <v>137</v>
      </c>
      <c r="Q110" s="110" t="s">
        <v>96</v>
      </c>
      <c r="R110" s="121">
        <v>0.55859999999999999</v>
      </c>
      <c r="S110" s="113" t="e">
        <f t="shared" si="2"/>
        <v>#VALUE!</v>
      </c>
      <c r="T110" s="113">
        <f t="shared" si="3"/>
        <v>0</v>
      </c>
    </row>
    <row r="111" spans="1:20" s="109" customFormat="1" x14ac:dyDescent="0.2">
      <c r="A111" s="116">
        <v>43876</v>
      </c>
      <c r="B111" s="111"/>
      <c r="C111" s="110" t="s">
        <v>585</v>
      </c>
      <c r="D111" s="110" t="s">
        <v>586</v>
      </c>
      <c r="E111" s="112" t="s">
        <v>587</v>
      </c>
      <c r="F111" s="111" t="s">
        <v>126</v>
      </c>
      <c r="G111" s="133">
        <v>560</v>
      </c>
      <c r="H111" s="124"/>
      <c r="I111" s="133" t="str">
        <f>IF(H111&gt;0,(#REF!*H111),"-")</f>
        <v>-</v>
      </c>
      <c r="J111" s="113">
        <v>7993</v>
      </c>
      <c r="K111" s="110" t="s">
        <v>129</v>
      </c>
      <c r="L111" s="110" t="s">
        <v>129</v>
      </c>
      <c r="M111" s="110" t="s">
        <v>129</v>
      </c>
      <c r="N111" s="110" t="s">
        <v>130</v>
      </c>
      <c r="O111" s="110" t="s">
        <v>588</v>
      </c>
      <c r="P111" s="110" t="s">
        <v>589</v>
      </c>
      <c r="Q111" s="110" t="s">
        <v>96</v>
      </c>
      <c r="R111" s="121">
        <v>1.6796</v>
      </c>
      <c r="S111" s="113" t="e">
        <f t="shared" si="2"/>
        <v>#VALUE!</v>
      </c>
      <c r="T111" s="113">
        <f t="shared" si="3"/>
        <v>0</v>
      </c>
    </row>
    <row r="112" spans="1:20" s="109" customFormat="1" x14ac:dyDescent="0.2">
      <c r="A112" s="116">
        <v>43876</v>
      </c>
      <c r="B112" s="111"/>
      <c r="C112" s="110" t="s">
        <v>590</v>
      </c>
      <c r="D112" s="110" t="s">
        <v>591</v>
      </c>
      <c r="E112" s="112" t="s">
        <v>592</v>
      </c>
      <c r="F112" s="111" t="s">
        <v>126</v>
      </c>
      <c r="G112" s="133">
        <v>135</v>
      </c>
      <c r="H112" s="124"/>
      <c r="I112" s="133" t="str">
        <f>IF(H112&gt;0,(#REF!*H112),"-")</f>
        <v>-</v>
      </c>
      <c r="J112" s="113">
        <v>883</v>
      </c>
      <c r="K112" s="110" t="s">
        <v>129</v>
      </c>
      <c r="L112" s="110" t="s">
        <v>129</v>
      </c>
      <c r="M112" s="110" t="s">
        <v>129</v>
      </c>
      <c r="N112" s="110" t="s">
        <v>130</v>
      </c>
      <c r="O112" s="110" t="s">
        <v>593</v>
      </c>
      <c r="P112" s="110" t="s">
        <v>132</v>
      </c>
      <c r="Q112" s="110" t="s">
        <v>97</v>
      </c>
      <c r="R112" s="121">
        <v>0.70330000000000004</v>
      </c>
      <c r="S112" s="113" t="e">
        <f t="shared" si="2"/>
        <v>#VALUE!</v>
      </c>
      <c r="T112" s="113">
        <f t="shared" si="3"/>
        <v>0</v>
      </c>
    </row>
    <row r="113" spans="1:20" s="109" customFormat="1" x14ac:dyDescent="0.2">
      <c r="A113" s="116">
        <v>43876</v>
      </c>
      <c r="B113" s="111"/>
      <c r="C113" s="110" t="s">
        <v>594</v>
      </c>
      <c r="D113" s="110" t="s">
        <v>595</v>
      </c>
      <c r="E113" s="112" t="s">
        <v>596</v>
      </c>
      <c r="F113" s="111" t="s">
        <v>126</v>
      </c>
      <c r="G113" s="133">
        <v>340</v>
      </c>
      <c r="H113" s="124"/>
      <c r="I113" s="133" t="str">
        <f>IF(H113&gt;0,(#REF!*H113),"-")</f>
        <v>-</v>
      </c>
      <c r="J113" s="113">
        <v>2633</v>
      </c>
      <c r="K113" s="110" t="s">
        <v>129</v>
      </c>
      <c r="L113" s="110" t="s">
        <v>129</v>
      </c>
      <c r="M113" s="110" t="s">
        <v>129</v>
      </c>
      <c r="N113" s="110" t="s">
        <v>130</v>
      </c>
      <c r="O113" s="110" t="s">
        <v>597</v>
      </c>
      <c r="P113" s="110" t="s">
        <v>137</v>
      </c>
      <c r="Q113" s="110" t="s">
        <v>96</v>
      </c>
      <c r="R113" s="121">
        <v>0.35820000000000002</v>
      </c>
      <c r="S113" s="113" t="e">
        <f t="shared" si="2"/>
        <v>#VALUE!</v>
      </c>
      <c r="T113" s="113">
        <f t="shared" si="3"/>
        <v>0</v>
      </c>
    </row>
    <row r="114" spans="1:20" s="109" customFormat="1" x14ac:dyDescent="0.2">
      <c r="A114" s="116">
        <v>43876</v>
      </c>
      <c r="B114" s="111"/>
      <c r="C114" s="110" t="s">
        <v>598</v>
      </c>
      <c r="D114" s="110" t="s">
        <v>599</v>
      </c>
      <c r="E114" s="112" t="s">
        <v>600</v>
      </c>
      <c r="F114" s="111" t="s">
        <v>126</v>
      </c>
      <c r="G114" s="133">
        <v>185</v>
      </c>
      <c r="H114" s="124"/>
      <c r="I114" s="133" t="str">
        <f>IF(H114&gt;0,(#REF!*H114),"-")</f>
        <v>-</v>
      </c>
      <c r="J114" s="113">
        <v>3496</v>
      </c>
      <c r="K114" s="110" t="s">
        <v>129</v>
      </c>
      <c r="L114" s="110" t="s">
        <v>129</v>
      </c>
      <c r="M114" s="110" t="s">
        <v>129</v>
      </c>
      <c r="N114" s="110" t="s">
        <v>130</v>
      </c>
      <c r="O114" s="110" t="s">
        <v>601</v>
      </c>
      <c r="P114" s="110" t="s">
        <v>137</v>
      </c>
      <c r="Q114" s="110" t="s">
        <v>97</v>
      </c>
      <c r="R114" s="121">
        <v>0.5534</v>
      </c>
      <c r="S114" s="113" t="e">
        <f t="shared" si="2"/>
        <v>#VALUE!</v>
      </c>
      <c r="T114" s="113">
        <f t="shared" si="3"/>
        <v>0</v>
      </c>
    </row>
    <row r="115" spans="1:20" s="109" customFormat="1" x14ac:dyDescent="0.2">
      <c r="A115" s="116">
        <v>43876</v>
      </c>
      <c r="B115" s="111"/>
      <c r="C115" s="110"/>
      <c r="D115" s="110" t="s">
        <v>602</v>
      </c>
      <c r="E115" s="112" t="s">
        <v>603</v>
      </c>
      <c r="F115" s="111" t="s">
        <v>126</v>
      </c>
      <c r="G115" s="133"/>
      <c r="H115" s="124"/>
      <c r="I115" s="133" t="str">
        <f>IF(H115&gt;0,(#REF!*H115),"-")</f>
        <v>-</v>
      </c>
      <c r="J115" s="113">
        <v>15750</v>
      </c>
      <c r="K115" s="110" t="s">
        <v>389</v>
      </c>
      <c r="L115" s="110" t="s">
        <v>468</v>
      </c>
      <c r="M115" s="110" t="s">
        <v>421</v>
      </c>
      <c r="N115" s="110" t="s">
        <v>130</v>
      </c>
      <c r="O115" s="110" t="s">
        <v>604</v>
      </c>
      <c r="P115" s="110" t="s">
        <v>423</v>
      </c>
      <c r="Q115" s="110" t="s">
        <v>96</v>
      </c>
      <c r="R115" s="121">
        <v>1.25</v>
      </c>
      <c r="S115" s="113" t="e">
        <f t="shared" si="2"/>
        <v>#VALUE!</v>
      </c>
      <c r="T115" s="113">
        <f t="shared" si="3"/>
        <v>0</v>
      </c>
    </row>
    <row r="116" spans="1:20" s="109" customFormat="1" x14ac:dyDescent="0.2">
      <c r="A116" s="116">
        <v>43869</v>
      </c>
      <c r="B116" s="111"/>
      <c r="C116" s="110" t="s">
        <v>605</v>
      </c>
      <c r="D116" s="110" t="s">
        <v>606</v>
      </c>
      <c r="E116" s="112" t="s">
        <v>607</v>
      </c>
      <c r="F116" s="111" t="s">
        <v>126</v>
      </c>
      <c r="G116" s="133">
        <v>56</v>
      </c>
      <c r="H116" s="124"/>
      <c r="I116" s="133" t="str">
        <f>IF(H116&gt;0,(#REF!*H116),"-")</f>
        <v>-</v>
      </c>
      <c r="J116" s="113">
        <v>721</v>
      </c>
      <c r="K116" s="110" t="s">
        <v>127</v>
      </c>
      <c r="L116" s="110" t="s">
        <v>148</v>
      </c>
      <c r="M116" s="110" t="s">
        <v>129</v>
      </c>
      <c r="N116" s="110" t="s">
        <v>130</v>
      </c>
      <c r="O116" s="110" t="s">
        <v>608</v>
      </c>
      <c r="P116" s="110" t="s">
        <v>132</v>
      </c>
      <c r="Q116" s="110" t="s">
        <v>96</v>
      </c>
      <c r="R116" s="121">
        <v>0.30070000000000002</v>
      </c>
      <c r="S116" s="113" t="e">
        <f t="shared" si="2"/>
        <v>#VALUE!</v>
      </c>
      <c r="T116" s="113">
        <f t="shared" si="3"/>
        <v>0</v>
      </c>
    </row>
    <row r="117" spans="1:20" s="109" customFormat="1" x14ac:dyDescent="0.2">
      <c r="A117" s="116">
        <v>43869</v>
      </c>
      <c r="B117" s="111"/>
      <c r="C117" s="110" t="s">
        <v>609</v>
      </c>
      <c r="D117" s="110" t="s">
        <v>610</v>
      </c>
      <c r="E117" s="112" t="s">
        <v>611</v>
      </c>
      <c r="F117" s="111" t="s">
        <v>126</v>
      </c>
      <c r="G117" s="133">
        <v>80</v>
      </c>
      <c r="H117" s="124"/>
      <c r="I117" s="133" t="str">
        <f>IF(H117&gt;0,(#REF!*H117),"-")</f>
        <v>-</v>
      </c>
      <c r="J117" s="113">
        <v>816</v>
      </c>
      <c r="K117" s="110" t="s">
        <v>127</v>
      </c>
      <c r="L117" s="110" t="s">
        <v>148</v>
      </c>
      <c r="M117" s="110" t="s">
        <v>129</v>
      </c>
      <c r="N117" s="110" t="s">
        <v>130</v>
      </c>
      <c r="O117" s="110" t="s">
        <v>612</v>
      </c>
      <c r="P117" s="110" t="s">
        <v>132</v>
      </c>
      <c r="Q117" s="110" t="s">
        <v>97</v>
      </c>
      <c r="R117" s="121">
        <v>0.44719999999999999</v>
      </c>
      <c r="S117" s="113" t="e">
        <f t="shared" si="2"/>
        <v>#VALUE!</v>
      </c>
      <c r="T117" s="113">
        <f t="shared" si="3"/>
        <v>0</v>
      </c>
    </row>
    <row r="118" spans="1:20" s="109" customFormat="1" x14ac:dyDescent="0.2">
      <c r="A118" s="116">
        <v>43869</v>
      </c>
      <c r="B118" s="111"/>
      <c r="C118" s="110" t="s">
        <v>613</v>
      </c>
      <c r="D118" s="110" t="s">
        <v>614</v>
      </c>
      <c r="E118" s="112" t="s">
        <v>615</v>
      </c>
      <c r="F118" s="111" t="s">
        <v>126</v>
      </c>
      <c r="G118" s="133">
        <v>185</v>
      </c>
      <c r="H118" s="124"/>
      <c r="I118" s="133" t="str">
        <f>IF(H118&gt;0,(#REF!*H118),"-")</f>
        <v>-</v>
      </c>
      <c r="J118" s="113">
        <v>892</v>
      </c>
      <c r="K118" s="110" t="s">
        <v>389</v>
      </c>
      <c r="L118" s="110" t="s">
        <v>468</v>
      </c>
      <c r="M118" s="110" t="s">
        <v>129</v>
      </c>
      <c r="N118" s="110" t="s">
        <v>130</v>
      </c>
      <c r="O118" s="110" t="s">
        <v>616</v>
      </c>
      <c r="P118" s="110" t="s">
        <v>132</v>
      </c>
      <c r="Q118" s="110" t="s">
        <v>97</v>
      </c>
      <c r="R118" s="121">
        <v>0.65559999999999996</v>
      </c>
      <c r="S118" s="113" t="e">
        <f t="shared" si="2"/>
        <v>#VALUE!</v>
      </c>
      <c r="T118" s="113">
        <f t="shared" si="3"/>
        <v>0</v>
      </c>
    </row>
    <row r="119" spans="1:20" s="109" customFormat="1" x14ac:dyDescent="0.2">
      <c r="A119" s="116">
        <v>43869</v>
      </c>
      <c r="B119" s="111"/>
      <c r="C119" s="110" t="s">
        <v>617</v>
      </c>
      <c r="D119" s="110" t="s">
        <v>618</v>
      </c>
      <c r="E119" s="112" t="s">
        <v>619</v>
      </c>
      <c r="F119" s="111" t="s">
        <v>126</v>
      </c>
      <c r="G119" s="133">
        <v>95</v>
      </c>
      <c r="H119" s="124"/>
      <c r="I119" s="133" t="str">
        <f>IF(H119&gt;0,(#REF!*H119),"-")</f>
        <v>-</v>
      </c>
      <c r="J119" s="113">
        <v>1364</v>
      </c>
      <c r="K119" s="110" t="s">
        <v>389</v>
      </c>
      <c r="L119" s="110" t="s">
        <v>148</v>
      </c>
      <c r="M119" s="110" t="s">
        <v>129</v>
      </c>
      <c r="N119" s="110" t="s">
        <v>130</v>
      </c>
      <c r="O119" s="110" t="s">
        <v>620</v>
      </c>
      <c r="P119" s="110" t="s">
        <v>132</v>
      </c>
      <c r="Q119" s="110" t="s">
        <v>96</v>
      </c>
      <c r="R119" s="121">
        <v>0.60329999999999995</v>
      </c>
      <c r="S119" s="113" t="e">
        <f t="shared" si="2"/>
        <v>#VALUE!</v>
      </c>
      <c r="T119" s="113">
        <f t="shared" si="3"/>
        <v>0</v>
      </c>
    </row>
    <row r="120" spans="1:20" s="109" customFormat="1" x14ac:dyDescent="0.2">
      <c r="A120" s="116">
        <v>43869</v>
      </c>
      <c r="B120" s="111" t="s">
        <v>202</v>
      </c>
      <c r="C120" s="110" t="s">
        <v>621</v>
      </c>
      <c r="D120" s="110" t="s">
        <v>622</v>
      </c>
      <c r="E120" s="112" t="s">
        <v>623</v>
      </c>
      <c r="F120" s="111" t="s">
        <v>130</v>
      </c>
      <c r="G120" s="133">
        <v>125</v>
      </c>
      <c r="H120" s="124"/>
      <c r="I120" s="133" t="str">
        <f>IF(H120&gt;0,(#REF!*H120),"-")</f>
        <v>-</v>
      </c>
      <c r="J120" s="113">
        <v>1252</v>
      </c>
      <c r="K120" s="110" t="s">
        <v>129</v>
      </c>
      <c r="L120" s="110" t="s">
        <v>473</v>
      </c>
      <c r="M120" s="110" t="s">
        <v>129</v>
      </c>
      <c r="N120" s="110" t="s">
        <v>130</v>
      </c>
      <c r="O120" s="110" t="s">
        <v>624</v>
      </c>
      <c r="P120" s="110" t="s">
        <v>137</v>
      </c>
      <c r="Q120" s="110" t="s">
        <v>96</v>
      </c>
      <c r="R120" s="121">
        <v>0.2157</v>
      </c>
      <c r="S120" s="113" t="e">
        <f t="shared" si="2"/>
        <v>#VALUE!</v>
      </c>
      <c r="T120" s="113">
        <f t="shared" si="3"/>
        <v>0</v>
      </c>
    </row>
    <row r="121" spans="1:20" s="109" customFormat="1" x14ac:dyDescent="0.2">
      <c r="A121" s="116">
        <v>43869</v>
      </c>
      <c r="B121" s="111" t="s">
        <v>202</v>
      </c>
      <c r="C121" s="110" t="s">
        <v>621</v>
      </c>
      <c r="D121" s="110" t="s">
        <v>625</v>
      </c>
      <c r="E121" s="112" t="s">
        <v>626</v>
      </c>
      <c r="F121" s="111" t="s">
        <v>130</v>
      </c>
      <c r="G121" s="133">
        <v>125</v>
      </c>
      <c r="H121" s="124"/>
      <c r="I121" s="133" t="str">
        <f>IF(H121&gt;0,(#REF!*H121),"-")</f>
        <v>-</v>
      </c>
      <c r="J121" s="113">
        <v>1252</v>
      </c>
      <c r="K121" s="110" t="s">
        <v>129</v>
      </c>
      <c r="L121" s="110" t="s">
        <v>473</v>
      </c>
      <c r="M121" s="110" t="s">
        <v>129</v>
      </c>
      <c r="N121" s="110" t="s">
        <v>130</v>
      </c>
      <c r="O121" s="110" t="s">
        <v>627</v>
      </c>
      <c r="P121" s="110" t="s">
        <v>137</v>
      </c>
      <c r="Q121" s="110" t="s">
        <v>96</v>
      </c>
      <c r="R121" s="121">
        <v>0.2157</v>
      </c>
      <c r="S121" s="113" t="e">
        <f t="shared" si="2"/>
        <v>#VALUE!</v>
      </c>
      <c r="T121" s="113">
        <f t="shared" si="3"/>
        <v>0</v>
      </c>
    </row>
    <row r="122" spans="1:20" s="109" customFormat="1" x14ac:dyDescent="0.2">
      <c r="A122" s="116">
        <v>43869</v>
      </c>
      <c r="B122" s="111" t="s">
        <v>207</v>
      </c>
      <c r="C122" s="110" t="s">
        <v>628</v>
      </c>
      <c r="D122" s="110" t="s">
        <v>629</v>
      </c>
      <c r="E122" s="112" t="s">
        <v>630</v>
      </c>
      <c r="F122" s="111" t="s">
        <v>130</v>
      </c>
      <c r="G122" s="133">
        <v>125</v>
      </c>
      <c r="H122" s="124"/>
      <c r="I122" s="133" t="str">
        <f>IF(H122&gt;0,(#REF!*H122),"-")</f>
        <v>-</v>
      </c>
      <c r="J122" s="113">
        <v>1252</v>
      </c>
      <c r="K122" s="110" t="s">
        <v>129</v>
      </c>
      <c r="L122" s="110" t="s">
        <v>631</v>
      </c>
      <c r="M122" s="110" t="s">
        <v>129</v>
      </c>
      <c r="N122" s="110" t="s">
        <v>130</v>
      </c>
      <c r="O122" s="110" t="s">
        <v>632</v>
      </c>
      <c r="P122" s="110" t="s">
        <v>137</v>
      </c>
      <c r="Q122" s="110" t="s">
        <v>96</v>
      </c>
      <c r="R122" s="121">
        <v>0.2233</v>
      </c>
      <c r="S122" s="113" t="e">
        <f t="shared" si="2"/>
        <v>#VALUE!</v>
      </c>
      <c r="T122" s="113">
        <f t="shared" si="3"/>
        <v>0</v>
      </c>
    </row>
    <row r="123" spans="1:20" s="109" customFormat="1" x14ac:dyDescent="0.2">
      <c r="A123" s="116">
        <v>43869</v>
      </c>
      <c r="B123" s="111" t="s">
        <v>207</v>
      </c>
      <c r="C123" s="110" t="s">
        <v>628</v>
      </c>
      <c r="D123" s="110" t="s">
        <v>633</v>
      </c>
      <c r="E123" s="112" t="s">
        <v>634</v>
      </c>
      <c r="F123" s="111" t="s">
        <v>130</v>
      </c>
      <c r="G123" s="133">
        <v>125</v>
      </c>
      <c r="H123" s="124"/>
      <c r="I123" s="133" t="str">
        <f>IF(H123&gt;0,(#REF!*H123),"-")</f>
        <v>-</v>
      </c>
      <c r="J123" s="113">
        <v>1252</v>
      </c>
      <c r="K123" s="110" t="s">
        <v>129</v>
      </c>
      <c r="L123" s="110" t="s">
        <v>631</v>
      </c>
      <c r="M123" s="110" t="s">
        <v>129</v>
      </c>
      <c r="N123" s="110" t="s">
        <v>130</v>
      </c>
      <c r="O123" s="110" t="s">
        <v>635</v>
      </c>
      <c r="P123" s="110" t="s">
        <v>137</v>
      </c>
      <c r="Q123" s="110" t="s">
        <v>96</v>
      </c>
      <c r="R123" s="121">
        <v>0.2233</v>
      </c>
      <c r="S123" s="113" t="e">
        <f t="shared" si="2"/>
        <v>#VALUE!</v>
      </c>
      <c r="T123" s="113">
        <f t="shared" si="3"/>
        <v>0</v>
      </c>
    </row>
    <row r="124" spans="1:20" s="109" customFormat="1" x14ac:dyDescent="0.2">
      <c r="A124" s="116">
        <v>43862</v>
      </c>
      <c r="B124" s="111"/>
      <c r="C124" s="110" t="s">
        <v>636</v>
      </c>
      <c r="D124" s="110" t="s">
        <v>637</v>
      </c>
      <c r="E124" s="112" t="s">
        <v>638</v>
      </c>
      <c r="F124" s="111" t="s">
        <v>126</v>
      </c>
      <c r="G124" s="133">
        <v>56</v>
      </c>
      <c r="H124" s="124"/>
      <c r="I124" s="133" t="str">
        <f>IF(H124&gt;0,(#REF!*H124),"-")</f>
        <v>-</v>
      </c>
      <c r="J124" s="113">
        <v>541</v>
      </c>
      <c r="K124" s="110" t="s">
        <v>127</v>
      </c>
      <c r="L124" s="110" t="s">
        <v>148</v>
      </c>
      <c r="M124" s="110" t="s">
        <v>129</v>
      </c>
      <c r="N124" s="110" t="s">
        <v>130</v>
      </c>
      <c r="O124" s="110" t="s">
        <v>639</v>
      </c>
      <c r="P124" s="110" t="s">
        <v>132</v>
      </c>
      <c r="Q124" s="110" t="s">
        <v>96</v>
      </c>
      <c r="R124" s="121">
        <v>0.23649999999999999</v>
      </c>
      <c r="S124" s="113" t="e">
        <f t="shared" si="2"/>
        <v>#VALUE!</v>
      </c>
      <c r="T124" s="113">
        <f t="shared" si="3"/>
        <v>0</v>
      </c>
    </row>
    <row r="125" spans="1:20" s="109" customFormat="1" x14ac:dyDescent="0.2">
      <c r="A125" s="116">
        <v>43862</v>
      </c>
      <c r="B125" s="111"/>
      <c r="C125" s="110" t="s">
        <v>640</v>
      </c>
      <c r="D125" s="110" t="s">
        <v>641</v>
      </c>
      <c r="E125" s="112" t="s">
        <v>642</v>
      </c>
      <c r="F125" s="111" t="s">
        <v>126</v>
      </c>
      <c r="G125" s="133">
        <v>370</v>
      </c>
      <c r="H125" s="124"/>
      <c r="I125" s="133" t="str">
        <f>IF(H125&gt;0,(#REF!*H125),"-")</f>
        <v>-</v>
      </c>
      <c r="J125" s="113">
        <v>9635</v>
      </c>
      <c r="K125" s="110" t="s">
        <v>389</v>
      </c>
      <c r="L125" s="110" t="s">
        <v>468</v>
      </c>
      <c r="M125" s="110" t="s">
        <v>129</v>
      </c>
      <c r="N125" s="110" t="s">
        <v>130</v>
      </c>
      <c r="O125" s="110" t="s">
        <v>643</v>
      </c>
      <c r="P125" s="110" t="s">
        <v>137</v>
      </c>
      <c r="Q125" s="110" t="s">
        <v>97</v>
      </c>
      <c r="R125" s="121">
        <v>1.8452999999999999</v>
      </c>
      <c r="S125" s="113" t="e">
        <f t="shared" si="2"/>
        <v>#VALUE!</v>
      </c>
      <c r="T125" s="113">
        <f t="shared" si="3"/>
        <v>0</v>
      </c>
    </row>
    <row r="126" spans="1:20" s="109" customFormat="1" x14ac:dyDescent="0.2">
      <c r="A126" s="116">
        <v>43862</v>
      </c>
      <c r="B126" s="111"/>
      <c r="C126" s="110" t="s">
        <v>644</v>
      </c>
      <c r="D126" s="110" t="s">
        <v>645</v>
      </c>
      <c r="E126" s="112" t="s">
        <v>646</v>
      </c>
      <c r="F126" s="111" t="s">
        <v>126</v>
      </c>
      <c r="G126" s="133">
        <v>155</v>
      </c>
      <c r="H126" s="124"/>
      <c r="I126" s="133" t="str">
        <f>IF(H126&gt;0,(#REF!*H126),"-")</f>
        <v>-</v>
      </c>
      <c r="J126" s="113">
        <v>541</v>
      </c>
      <c r="K126" s="110" t="s">
        <v>389</v>
      </c>
      <c r="L126" s="110" t="s">
        <v>473</v>
      </c>
      <c r="M126" s="110" t="s">
        <v>129</v>
      </c>
      <c r="N126" s="110" t="s">
        <v>130</v>
      </c>
      <c r="O126" s="110" t="s">
        <v>647</v>
      </c>
      <c r="P126" s="110" t="s">
        <v>137</v>
      </c>
      <c r="Q126" s="110" t="s">
        <v>96</v>
      </c>
      <c r="R126" s="121">
        <v>0.1067</v>
      </c>
      <c r="S126" s="113" t="e">
        <f t="shared" si="2"/>
        <v>#VALUE!</v>
      </c>
      <c r="T126" s="113">
        <f t="shared" si="3"/>
        <v>0</v>
      </c>
    </row>
    <row r="127" spans="1:20" s="109" customFormat="1" x14ac:dyDescent="0.2">
      <c r="A127" s="116">
        <v>43862</v>
      </c>
      <c r="B127" s="111"/>
      <c r="C127" s="110" t="s">
        <v>648</v>
      </c>
      <c r="D127" s="110" t="s">
        <v>649</v>
      </c>
      <c r="E127" s="112" t="s">
        <v>650</v>
      </c>
      <c r="F127" s="111" t="s">
        <v>126</v>
      </c>
      <c r="G127" s="133">
        <v>185</v>
      </c>
      <c r="H127" s="124"/>
      <c r="I127" s="133" t="str">
        <f>IF(H127&gt;0,(#REF!*H127),"-")</f>
        <v>-</v>
      </c>
      <c r="J127" s="113">
        <v>1233</v>
      </c>
      <c r="K127" s="110" t="s">
        <v>389</v>
      </c>
      <c r="L127" s="110" t="s">
        <v>473</v>
      </c>
      <c r="M127" s="110" t="s">
        <v>129</v>
      </c>
      <c r="N127" s="110" t="s">
        <v>130</v>
      </c>
      <c r="O127" s="110" t="s">
        <v>651</v>
      </c>
      <c r="P127" s="110" t="s">
        <v>137</v>
      </c>
      <c r="Q127" s="110" t="s">
        <v>96</v>
      </c>
      <c r="R127" s="121">
        <v>0.23219999999999999</v>
      </c>
      <c r="S127" s="113" t="e">
        <f t="shared" si="2"/>
        <v>#VALUE!</v>
      </c>
      <c r="T127" s="113">
        <f t="shared" si="3"/>
        <v>0</v>
      </c>
    </row>
    <row r="128" spans="1:20" s="109" customFormat="1" x14ac:dyDescent="0.2">
      <c r="A128" s="116">
        <v>43862</v>
      </c>
      <c r="B128" s="111"/>
      <c r="C128" s="110" t="s">
        <v>652</v>
      </c>
      <c r="D128" s="110" t="s">
        <v>653</v>
      </c>
      <c r="E128" s="112" t="s">
        <v>654</v>
      </c>
      <c r="F128" s="111" t="s">
        <v>126</v>
      </c>
      <c r="G128" s="133">
        <v>35</v>
      </c>
      <c r="H128" s="124"/>
      <c r="I128" s="133" t="str">
        <f>IF(H128&gt;0,(#REF!*H128),"-")</f>
        <v>-</v>
      </c>
      <c r="J128" s="113">
        <v>291</v>
      </c>
      <c r="K128" s="110" t="s">
        <v>389</v>
      </c>
      <c r="L128" s="110" t="s">
        <v>473</v>
      </c>
      <c r="M128" s="110" t="s">
        <v>129</v>
      </c>
      <c r="N128" s="110" t="s">
        <v>130</v>
      </c>
      <c r="O128" s="110" t="s">
        <v>655</v>
      </c>
      <c r="P128" s="110" t="s">
        <v>400</v>
      </c>
      <c r="Q128" s="110" t="s">
        <v>97</v>
      </c>
      <c r="R128" s="121">
        <v>7.51E-2</v>
      </c>
      <c r="S128" s="113" t="e">
        <f t="shared" si="2"/>
        <v>#VALUE!</v>
      </c>
      <c r="T128" s="113">
        <f t="shared" si="3"/>
        <v>0</v>
      </c>
    </row>
    <row r="129" spans="1:20" s="109" customFormat="1" x14ac:dyDescent="0.2">
      <c r="A129" s="116">
        <v>43862</v>
      </c>
      <c r="B129" s="111"/>
      <c r="C129" s="110" t="s">
        <v>656</v>
      </c>
      <c r="D129" s="110" t="s">
        <v>657</v>
      </c>
      <c r="E129" s="112" t="s">
        <v>658</v>
      </c>
      <c r="F129" s="111" t="s">
        <v>126</v>
      </c>
      <c r="G129" s="133">
        <v>35</v>
      </c>
      <c r="H129" s="124"/>
      <c r="I129" s="133" t="str">
        <f>IF(H129&gt;0,(#REF!*H129),"-")</f>
        <v>-</v>
      </c>
      <c r="J129" s="113">
        <v>340</v>
      </c>
      <c r="K129" s="110" t="s">
        <v>389</v>
      </c>
      <c r="L129" s="110" t="s">
        <v>473</v>
      </c>
      <c r="M129" s="110" t="s">
        <v>129</v>
      </c>
      <c r="N129" s="110" t="s">
        <v>130</v>
      </c>
      <c r="O129" s="110" t="s">
        <v>659</v>
      </c>
      <c r="P129" s="110" t="s">
        <v>400</v>
      </c>
      <c r="Q129" s="110" t="s">
        <v>97</v>
      </c>
      <c r="R129" s="121">
        <v>8.4199999999999997E-2</v>
      </c>
      <c r="S129" s="113" t="e">
        <f t="shared" si="2"/>
        <v>#VALUE!</v>
      </c>
      <c r="T129" s="113">
        <f t="shared" si="3"/>
        <v>0</v>
      </c>
    </row>
    <row r="130" spans="1:20" s="109" customFormat="1" x14ac:dyDescent="0.2">
      <c r="A130" s="116">
        <v>43862</v>
      </c>
      <c r="B130" s="111"/>
      <c r="C130" s="110" t="s">
        <v>660</v>
      </c>
      <c r="D130" s="110" t="s">
        <v>661</v>
      </c>
      <c r="E130" s="112" t="s">
        <v>662</v>
      </c>
      <c r="F130" s="111" t="s">
        <v>126</v>
      </c>
      <c r="G130" s="133">
        <v>35</v>
      </c>
      <c r="H130" s="124"/>
      <c r="I130" s="133" t="str">
        <f>IF(H130&gt;0,(#REF!*H130),"-")</f>
        <v>-</v>
      </c>
      <c r="J130" s="113">
        <v>340</v>
      </c>
      <c r="K130" s="110" t="s">
        <v>389</v>
      </c>
      <c r="L130" s="110" t="s">
        <v>473</v>
      </c>
      <c r="M130" s="110" t="s">
        <v>129</v>
      </c>
      <c r="N130" s="110" t="s">
        <v>130</v>
      </c>
      <c r="O130" s="110" t="s">
        <v>663</v>
      </c>
      <c r="P130" s="110" t="s">
        <v>400</v>
      </c>
      <c r="Q130" s="110" t="s">
        <v>97</v>
      </c>
      <c r="R130" s="121">
        <v>6.7000000000000004E-2</v>
      </c>
      <c r="S130" s="113" t="e">
        <f t="shared" ref="S130:S193" si="4">Q130*H130</f>
        <v>#VALUE!</v>
      </c>
      <c r="T130" s="113">
        <f t="shared" ref="T130:T193" si="5">R130*H130</f>
        <v>0</v>
      </c>
    </row>
    <row r="131" spans="1:20" s="109" customFormat="1" x14ac:dyDescent="0.2">
      <c r="A131" s="116">
        <v>43862</v>
      </c>
      <c r="B131" s="111"/>
      <c r="C131" s="110" t="s">
        <v>664</v>
      </c>
      <c r="D131" s="110" t="s">
        <v>665</v>
      </c>
      <c r="E131" s="112" t="s">
        <v>666</v>
      </c>
      <c r="F131" s="111" t="s">
        <v>126</v>
      </c>
      <c r="G131" s="133">
        <v>35</v>
      </c>
      <c r="H131" s="124"/>
      <c r="I131" s="133" t="str">
        <f>IF(H131&gt;0,(#REF!*H131),"-")</f>
        <v>-</v>
      </c>
      <c r="J131" s="113">
        <v>558</v>
      </c>
      <c r="K131" s="110" t="s">
        <v>389</v>
      </c>
      <c r="L131" s="110" t="s">
        <v>667</v>
      </c>
      <c r="M131" s="110" t="s">
        <v>129</v>
      </c>
      <c r="N131" s="110" t="s">
        <v>130</v>
      </c>
      <c r="O131" s="110" t="s">
        <v>668</v>
      </c>
      <c r="P131" s="110" t="s">
        <v>400</v>
      </c>
      <c r="Q131" s="110" t="s">
        <v>97</v>
      </c>
      <c r="R131" s="121">
        <v>0.96599999999999997</v>
      </c>
      <c r="S131" s="113" t="e">
        <f t="shared" si="4"/>
        <v>#VALUE!</v>
      </c>
      <c r="T131" s="113">
        <f t="shared" si="5"/>
        <v>0</v>
      </c>
    </row>
    <row r="132" spans="1:20" s="109" customFormat="1" x14ac:dyDescent="0.2">
      <c r="A132" s="116">
        <v>43862</v>
      </c>
      <c r="B132" s="111"/>
      <c r="C132" s="110" t="s">
        <v>669</v>
      </c>
      <c r="D132" s="110" t="s">
        <v>670</v>
      </c>
      <c r="E132" s="112" t="s">
        <v>671</v>
      </c>
      <c r="F132" s="111" t="s">
        <v>126</v>
      </c>
      <c r="G132" s="133">
        <v>35</v>
      </c>
      <c r="H132" s="124"/>
      <c r="I132" s="133" t="str">
        <f>IF(H132&gt;0,(#REF!*H132),"-")</f>
        <v>-</v>
      </c>
      <c r="J132" s="113">
        <v>437</v>
      </c>
      <c r="K132" s="110" t="s">
        <v>389</v>
      </c>
      <c r="L132" s="110" t="s">
        <v>511</v>
      </c>
      <c r="M132" s="110" t="s">
        <v>129</v>
      </c>
      <c r="N132" s="110" t="s">
        <v>130</v>
      </c>
      <c r="O132" s="110" t="s">
        <v>672</v>
      </c>
      <c r="P132" s="110" t="s">
        <v>400</v>
      </c>
      <c r="Q132" s="110" t="s">
        <v>97</v>
      </c>
      <c r="R132" s="121">
        <v>0.91600000000000004</v>
      </c>
      <c r="S132" s="113" t="e">
        <f t="shared" si="4"/>
        <v>#VALUE!</v>
      </c>
      <c r="T132" s="113">
        <f t="shared" si="5"/>
        <v>0</v>
      </c>
    </row>
    <row r="133" spans="1:20" s="109" customFormat="1" x14ac:dyDescent="0.2">
      <c r="A133" s="116">
        <v>43862</v>
      </c>
      <c r="B133" s="111"/>
      <c r="C133" s="110" t="s">
        <v>673</v>
      </c>
      <c r="D133" s="110" t="s">
        <v>674</v>
      </c>
      <c r="E133" s="112" t="s">
        <v>675</v>
      </c>
      <c r="F133" s="111" t="s">
        <v>126</v>
      </c>
      <c r="G133" s="133">
        <v>185</v>
      </c>
      <c r="H133" s="124"/>
      <c r="I133" s="133" t="str">
        <f>IF(H133&gt;0,(#REF!*H133),"-")</f>
        <v>-</v>
      </c>
      <c r="J133" s="113">
        <v>2530</v>
      </c>
      <c r="K133" s="110" t="s">
        <v>389</v>
      </c>
      <c r="L133" s="110" t="s">
        <v>516</v>
      </c>
      <c r="M133" s="110" t="s">
        <v>129</v>
      </c>
      <c r="N133" s="110" t="s">
        <v>130</v>
      </c>
      <c r="O133" s="110" t="s">
        <v>676</v>
      </c>
      <c r="P133" s="110" t="s">
        <v>137</v>
      </c>
      <c r="Q133" s="110" t="s">
        <v>96</v>
      </c>
      <c r="R133" s="121">
        <v>0.42220000000000002</v>
      </c>
      <c r="S133" s="113" t="e">
        <f t="shared" si="4"/>
        <v>#VALUE!</v>
      </c>
      <c r="T133" s="113">
        <f t="shared" si="5"/>
        <v>0</v>
      </c>
    </row>
    <row r="134" spans="1:20" s="109" customFormat="1" x14ac:dyDescent="0.2">
      <c r="A134" s="116">
        <v>43862</v>
      </c>
      <c r="B134" s="111"/>
      <c r="C134" s="110" t="s">
        <v>677</v>
      </c>
      <c r="D134" s="110" t="s">
        <v>678</v>
      </c>
      <c r="E134" s="112" t="s">
        <v>679</v>
      </c>
      <c r="F134" s="111" t="s">
        <v>126</v>
      </c>
      <c r="G134" s="133">
        <v>35</v>
      </c>
      <c r="H134" s="124"/>
      <c r="I134" s="133" t="str">
        <f>IF(H134&gt;0,(#REF!*H134),"-")</f>
        <v>-</v>
      </c>
      <c r="J134" s="113">
        <v>291</v>
      </c>
      <c r="K134" s="110" t="s">
        <v>389</v>
      </c>
      <c r="L134" s="110" t="s">
        <v>516</v>
      </c>
      <c r="M134" s="110" t="s">
        <v>129</v>
      </c>
      <c r="N134" s="110" t="s">
        <v>130</v>
      </c>
      <c r="O134" s="110" t="s">
        <v>680</v>
      </c>
      <c r="P134" s="110" t="s">
        <v>400</v>
      </c>
      <c r="Q134" s="110" t="s">
        <v>97</v>
      </c>
      <c r="R134" s="121">
        <v>6.8900000000000003E-2</v>
      </c>
      <c r="S134" s="113" t="e">
        <f t="shared" si="4"/>
        <v>#VALUE!</v>
      </c>
      <c r="T134" s="113">
        <f t="shared" si="5"/>
        <v>0</v>
      </c>
    </row>
    <row r="135" spans="1:20" s="109" customFormat="1" x14ac:dyDescent="0.2">
      <c r="A135" s="116">
        <v>43862</v>
      </c>
      <c r="B135" s="111"/>
      <c r="C135" s="110" t="s">
        <v>681</v>
      </c>
      <c r="D135" s="110" t="s">
        <v>682</v>
      </c>
      <c r="E135" s="112" t="s">
        <v>683</v>
      </c>
      <c r="F135" s="111" t="s">
        <v>126</v>
      </c>
      <c r="G135" s="133">
        <v>185</v>
      </c>
      <c r="H135" s="124"/>
      <c r="I135" s="133" t="str">
        <f>IF(H135&gt;0,(#REF!*H135),"-")</f>
        <v>-</v>
      </c>
      <c r="J135" s="113">
        <v>1935</v>
      </c>
      <c r="K135" s="110" t="s">
        <v>389</v>
      </c>
      <c r="L135" s="110" t="s">
        <v>408</v>
      </c>
      <c r="M135" s="110" t="s">
        <v>129</v>
      </c>
      <c r="N135" s="110" t="s">
        <v>130</v>
      </c>
      <c r="O135" s="110" t="s">
        <v>684</v>
      </c>
      <c r="P135" s="110" t="s">
        <v>137</v>
      </c>
      <c r="Q135" s="110" t="s">
        <v>96</v>
      </c>
      <c r="R135" s="121">
        <v>0.46560000000000001</v>
      </c>
      <c r="S135" s="113" t="e">
        <f t="shared" si="4"/>
        <v>#VALUE!</v>
      </c>
      <c r="T135" s="113">
        <f t="shared" si="5"/>
        <v>0</v>
      </c>
    </row>
    <row r="136" spans="1:20" s="109" customFormat="1" x14ac:dyDescent="0.2">
      <c r="A136" s="116">
        <v>43862</v>
      </c>
      <c r="B136" s="111"/>
      <c r="C136" s="110" t="s">
        <v>685</v>
      </c>
      <c r="D136" s="110" t="s">
        <v>686</v>
      </c>
      <c r="E136" s="112" t="s">
        <v>687</v>
      </c>
      <c r="F136" s="111" t="s">
        <v>126</v>
      </c>
      <c r="G136" s="133">
        <v>35</v>
      </c>
      <c r="H136" s="124"/>
      <c r="I136" s="133" t="str">
        <f>IF(H136&gt;0,(#REF!*H136),"-")</f>
        <v>-</v>
      </c>
      <c r="J136" s="113">
        <v>316</v>
      </c>
      <c r="K136" s="110" t="s">
        <v>389</v>
      </c>
      <c r="L136" s="110" t="s">
        <v>533</v>
      </c>
      <c r="M136" s="110" t="s">
        <v>129</v>
      </c>
      <c r="N136" s="110" t="s">
        <v>130</v>
      </c>
      <c r="O136" s="110" t="s">
        <v>688</v>
      </c>
      <c r="P136" s="110" t="s">
        <v>400</v>
      </c>
      <c r="Q136" s="110" t="s">
        <v>97</v>
      </c>
      <c r="R136" s="121">
        <v>6.8000000000000005E-2</v>
      </c>
      <c r="S136" s="113" t="e">
        <f t="shared" si="4"/>
        <v>#VALUE!</v>
      </c>
      <c r="T136" s="113">
        <f t="shared" si="5"/>
        <v>0</v>
      </c>
    </row>
    <row r="137" spans="1:20" s="109" customFormat="1" x14ac:dyDescent="0.2">
      <c r="A137" s="116">
        <v>43862</v>
      </c>
      <c r="B137" s="111"/>
      <c r="C137" s="110" t="s">
        <v>689</v>
      </c>
      <c r="D137" s="110" t="s">
        <v>690</v>
      </c>
      <c r="E137" s="112" t="s">
        <v>691</v>
      </c>
      <c r="F137" s="111" t="s">
        <v>126</v>
      </c>
      <c r="G137" s="133">
        <v>35</v>
      </c>
      <c r="H137" s="124"/>
      <c r="I137" s="133" t="str">
        <f>IF(H137&gt;0,(#REF!*H137),"-")</f>
        <v>-</v>
      </c>
      <c r="J137" s="113">
        <v>243</v>
      </c>
      <c r="K137" s="110" t="s">
        <v>389</v>
      </c>
      <c r="L137" s="110" t="s">
        <v>692</v>
      </c>
      <c r="M137" s="110" t="s">
        <v>129</v>
      </c>
      <c r="N137" s="110" t="s">
        <v>130</v>
      </c>
      <c r="O137" s="110" t="s">
        <v>693</v>
      </c>
      <c r="P137" s="110" t="s">
        <v>400</v>
      </c>
      <c r="Q137" s="110" t="s">
        <v>97</v>
      </c>
      <c r="R137" s="121">
        <v>8.6400000000000005E-2</v>
      </c>
      <c r="S137" s="113" t="e">
        <f t="shared" si="4"/>
        <v>#VALUE!</v>
      </c>
      <c r="T137" s="113">
        <f t="shared" si="5"/>
        <v>0</v>
      </c>
    </row>
    <row r="138" spans="1:20" s="109" customFormat="1" x14ac:dyDescent="0.2">
      <c r="A138" s="116">
        <v>43862</v>
      </c>
      <c r="B138" s="111"/>
      <c r="C138" s="110" t="s">
        <v>694</v>
      </c>
      <c r="D138" s="110" t="s">
        <v>695</v>
      </c>
      <c r="E138" s="112" t="s">
        <v>696</v>
      </c>
      <c r="F138" s="111" t="s">
        <v>126</v>
      </c>
      <c r="G138" s="133">
        <v>185</v>
      </c>
      <c r="H138" s="124"/>
      <c r="I138" s="133" t="str">
        <f>IF(H138&gt;0,(#REF!*H138),"-")</f>
        <v>-</v>
      </c>
      <c r="J138" s="113">
        <v>2140</v>
      </c>
      <c r="K138" s="110" t="s">
        <v>389</v>
      </c>
      <c r="L138" s="110" t="s">
        <v>538</v>
      </c>
      <c r="M138" s="110" t="s">
        <v>129</v>
      </c>
      <c r="N138" s="110" t="s">
        <v>130</v>
      </c>
      <c r="O138" s="110" t="s">
        <v>697</v>
      </c>
      <c r="P138" s="110" t="s">
        <v>137</v>
      </c>
      <c r="Q138" s="110" t="s">
        <v>96</v>
      </c>
      <c r="R138" s="121">
        <v>0.47689999999999999</v>
      </c>
      <c r="S138" s="113" t="e">
        <f t="shared" si="4"/>
        <v>#VALUE!</v>
      </c>
      <c r="T138" s="113">
        <f t="shared" si="5"/>
        <v>0</v>
      </c>
    </row>
    <row r="139" spans="1:20" s="109" customFormat="1" x14ac:dyDescent="0.2">
      <c r="A139" s="116">
        <v>43862</v>
      </c>
      <c r="B139" s="111"/>
      <c r="C139" s="110" t="s">
        <v>698</v>
      </c>
      <c r="D139" s="110" t="s">
        <v>699</v>
      </c>
      <c r="E139" s="112" t="s">
        <v>700</v>
      </c>
      <c r="F139" s="111" t="s">
        <v>126</v>
      </c>
      <c r="G139" s="133">
        <v>45</v>
      </c>
      <c r="H139" s="124"/>
      <c r="I139" s="133" t="str">
        <f>IF(H139&gt;0,(#REF!*H139),"-")</f>
        <v>-</v>
      </c>
      <c r="J139" s="113">
        <v>510</v>
      </c>
      <c r="K139" s="110" t="s">
        <v>389</v>
      </c>
      <c r="L139" s="110" t="s">
        <v>538</v>
      </c>
      <c r="M139" s="110" t="s">
        <v>129</v>
      </c>
      <c r="N139" s="110" t="s">
        <v>130</v>
      </c>
      <c r="O139" s="110" t="s">
        <v>701</v>
      </c>
      <c r="P139" s="110" t="s">
        <v>400</v>
      </c>
      <c r="Q139" s="110" t="s">
        <v>97</v>
      </c>
      <c r="R139" s="121">
        <v>0.11</v>
      </c>
      <c r="S139" s="113" t="e">
        <f t="shared" si="4"/>
        <v>#VALUE!</v>
      </c>
      <c r="T139" s="113">
        <f t="shared" si="5"/>
        <v>0</v>
      </c>
    </row>
    <row r="140" spans="1:20" s="109" customFormat="1" x14ac:dyDescent="0.2">
      <c r="A140" s="116">
        <v>43862</v>
      </c>
      <c r="B140" s="111"/>
      <c r="C140" s="110" t="s">
        <v>702</v>
      </c>
      <c r="D140" s="110" t="s">
        <v>703</v>
      </c>
      <c r="E140" s="112" t="s">
        <v>704</v>
      </c>
      <c r="F140" s="111" t="s">
        <v>126</v>
      </c>
      <c r="G140" s="133">
        <v>56</v>
      </c>
      <c r="H140" s="124"/>
      <c r="I140" s="133" t="str">
        <f>IF(H140&gt;0,(#REF!*H140),"-")</f>
        <v>-</v>
      </c>
      <c r="J140" s="113">
        <v>566</v>
      </c>
      <c r="K140" s="110" t="s">
        <v>389</v>
      </c>
      <c r="L140" s="110" t="s">
        <v>148</v>
      </c>
      <c r="M140" s="110" t="s">
        <v>129</v>
      </c>
      <c r="N140" s="110" t="s">
        <v>130</v>
      </c>
      <c r="O140" s="110" t="s">
        <v>705</v>
      </c>
      <c r="P140" s="110" t="s">
        <v>132</v>
      </c>
      <c r="Q140" s="110" t="s">
        <v>96</v>
      </c>
      <c r="R140" s="121">
        <v>0.24199999999999999</v>
      </c>
      <c r="S140" s="113" t="e">
        <f t="shared" si="4"/>
        <v>#VALUE!</v>
      </c>
      <c r="T140" s="113">
        <f t="shared" si="5"/>
        <v>0</v>
      </c>
    </row>
    <row r="141" spans="1:20" s="109" customFormat="1" x14ac:dyDescent="0.2">
      <c r="A141" s="116">
        <v>43862</v>
      </c>
      <c r="B141" s="111"/>
      <c r="C141" s="110" t="s">
        <v>706</v>
      </c>
      <c r="D141" s="110" t="s">
        <v>707</v>
      </c>
      <c r="E141" s="112" t="s">
        <v>708</v>
      </c>
      <c r="F141" s="111" t="s">
        <v>126</v>
      </c>
      <c r="G141" s="133">
        <v>60</v>
      </c>
      <c r="H141" s="124"/>
      <c r="I141" s="133" t="str">
        <f>IF(H141&gt;0,(#REF!*H141),"-")</f>
        <v>-</v>
      </c>
      <c r="J141" s="113">
        <v>93</v>
      </c>
      <c r="K141" s="110" t="s">
        <v>129</v>
      </c>
      <c r="L141" s="110" t="s">
        <v>129</v>
      </c>
      <c r="M141" s="110" t="s">
        <v>129</v>
      </c>
      <c r="N141" s="110" t="s">
        <v>130</v>
      </c>
      <c r="O141" s="110" t="s">
        <v>709</v>
      </c>
      <c r="P141" s="110" t="s">
        <v>589</v>
      </c>
      <c r="Q141" s="110" t="s">
        <v>97</v>
      </c>
      <c r="R141" s="121">
        <v>6.3E-2</v>
      </c>
      <c r="S141" s="113" t="e">
        <f t="shared" si="4"/>
        <v>#VALUE!</v>
      </c>
      <c r="T141" s="113">
        <f t="shared" si="5"/>
        <v>0</v>
      </c>
    </row>
    <row r="142" spans="1:20" s="109" customFormat="1" x14ac:dyDescent="0.2">
      <c r="A142" s="116">
        <v>43862</v>
      </c>
      <c r="B142" s="111"/>
      <c r="C142" s="110" t="s">
        <v>710</v>
      </c>
      <c r="D142" s="110" t="s">
        <v>711</v>
      </c>
      <c r="E142" s="112" t="s">
        <v>712</v>
      </c>
      <c r="F142" s="111" t="s">
        <v>126</v>
      </c>
      <c r="G142" s="133">
        <v>165</v>
      </c>
      <c r="H142" s="124"/>
      <c r="I142" s="133" t="str">
        <f>IF(H142&gt;0,(#REF!*H142),"-")</f>
        <v>-</v>
      </c>
      <c r="J142" s="113">
        <v>1221</v>
      </c>
      <c r="K142" s="110" t="s">
        <v>129</v>
      </c>
      <c r="L142" s="110" t="s">
        <v>129</v>
      </c>
      <c r="M142" s="110" t="s">
        <v>129</v>
      </c>
      <c r="N142" s="110" t="s">
        <v>130</v>
      </c>
      <c r="O142" s="110" t="s">
        <v>713</v>
      </c>
      <c r="P142" s="110" t="s">
        <v>137</v>
      </c>
      <c r="Q142" s="110" t="s">
        <v>96</v>
      </c>
      <c r="R142" s="121">
        <v>0.14130000000000001</v>
      </c>
      <c r="S142" s="113" t="e">
        <f t="shared" si="4"/>
        <v>#VALUE!</v>
      </c>
      <c r="T142" s="113">
        <f t="shared" si="5"/>
        <v>0</v>
      </c>
    </row>
    <row r="143" spans="1:20" s="109" customFormat="1" x14ac:dyDescent="0.2">
      <c r="A143" s="116">
        <v>43862</v>
      </c>
      <c r="B143" s="111"/>
      <c r="C143" s="110" t="s">
        <v>714</v>
      </c>
      <c r="D143" s="110" t="s">
        <v>715</v>
      </c>
      <c r="E143" s="112" t="s">
        <v>716</v>
      </c>
      <c r="F143" s="111" t="s">
        <v>126</v>
      </c>
      <c r="G143" s="133">
        <v>165</v>
      </c>
      <c r="H143" s="124"/>
      <c r="I143" s="133" t="str">
        <f>IF(H143&gt;0,(#REF!*H143),"-")</f>
        <v>-</v>
      </c>
      <c r="J143" s="113">
        <v>1384</v>
      </c>
      <c r="K143" s="110" t="s">
        <v>129</v>
      </c>
      <c r="L143" s="110" t="s">
        <v>129</v>
      </c>
      <c r="M143" s="110" t="s">
        <v>129</v>
      </c>
      <c r="N143" s="110" t="s">
        <v>130</v>
      </c>
      <c r="O143" s="110" t="s">
        <v>717</v>
      </c>
      <c r="P143" s="110" t="s">
        <v>137</v>
      </c>
      <c r="Q143" s="110" t="s">
        <v>96</v>
      </c>
      <c r="R143" s="121">
        <v>0.1472</v>
      </c>
      <c r="S143" s="113" t="e">
        <f t="shared" si="4"/>
        <v>#VALUE!</v>
      </c>
      <c r="T143" s="113">
        <f t="shared" si="5"/>
        <v>0</v>
      </c>
    </row>
    <row r="144" spans="1:20" s="109" customFormat="1" x14ac:dyDescent="0.2">
      <c r="A144" s="116">
        <v>43862</v>
      </c>
      <c r="B144" s="111"/>
      <c r="C144" s="110" t="s">
        <v>718</v>
      </c>
      <c r="D144" s="110" t="s">
        <v>719</v>
      </c>
      <c r="E144" s="112" t="s">
        <v>720</v>
      </c>
      <c r="F144" s="111" t="s">
        <v>126</v>
      </c>
      <c r="G144" s="133">
        <v>310</v>
      </c>
      <c r="H144" s="124"/>
      <c r="I144" s="133" t="str">
        <f>IF(H144&gt;0,(#REF!*H144),"-")</f>
        <v>-</v>
      </c>
      <c r="J144" s="113">
        <v>5215</v>
      </c>
      <c r="K144" s="110" t="s">
        <v>129</v>
      </c>
      <c r="L144" s="110" t="s">
        <v>129</v>
      </c>
      <c r="M144" s="110" t="s">
        <v>129</v>
      </c>
      <c r="N144" s="110" t="s">
        <v>130</v>
      </c>
      <c r="O144" s="110" t="s">
        <v>721</v>
      </c>
      <c r="P144" s="110" t="s">
        <v>137</v>
      </c>
      <c r="Q144" s="110" t="s">
        <v>97</v>
      </c>
      <c r="R144" s="121">
        <v>1.0427999999999999</v>
      </c>
      <c r="S144" s="113" t="e">
        <f t="shared" si="4"/>
        <v>#VALUE!</v>
      </c>
      <c r="T144" s="113">
        <f t="shared" si="5"/>
        <v>0</v>
      </c>
    </row>
    <row r="145" spans="1:20" s="109" customFormat="1" x14ac:dyDescent="0.2">
      <c r="A145" s="116">
        <v>43862</v>
      </c>
      <c r="B145" s="111"/>
      <c r="C145" s="110" t="s">
        <v>722</v>
      </c>
      <c r="D145" s="110" t="s">
        <v>723</v>
      </c>
      <c r="E145" s="112" t="s">
        <v>724</v>
      </c>
      <c r="F145" s="111" t="s">
        <v>126</v>
      </c>
      <c r="G145" s="133">
        <v>235</v>
      </c>
      <c r="H145" s="124"/>
      <c r="I145" s="133" t="str">
        <f>IF(H145&gt;0,(#REF!*H145),"-")</f>
        <v>-</v>
      </c>
      <c r="J145" s="113">
        <v>3553</v>
      </c>
      <c r="K145" s="110" t="s">
        <v>129</v>
      </c>
      <c r="L145" s="110" t="s">
        <v>129</v>
      </c>
      <c r="M145" s="110" t="s">
        <v>129</v>
      </c>
      <c r="N145" s="110" t="s">
        <v>130</v>
      </c>
      <c r="O145" s="110" t="s">
        <v>725</v>
      </c>
      <c r="P145" s="110" t="s">
        <v>137</v>
      </c>
      <c r="Q145" s="110" t="s">
        <v>97</v>
      </c>
      <c r="R145" s="121">
        <v>0.67500000000000004</v>
      </c>
      <c r="S145" s="113" t="e">
        <f t="shared" si="4"/>
        <v>#VALUE!</v>
      </c>
      <c r="T145" s="113">
        <f t="shared" si="5"/>
        <v>0</v>
      </c>
    </row>
    <row r="146" spans="1:20" s="109" customFormat="1" x14ac:dyDescent="0.2">
      <c r="A146" s="116">
        <v>43862</v>
      </c>
      <c r="B146" s="111"/>
      <c r="C146" s="110" t="s">
        <v>726</v>
      </c>
      <c r="D146" s="110" t="s">
        <v>727</v>
      </c>
      <c r="E146" s="112" t="s">
        <v>728</v>
      </c>
      <c r="F146" s="111" t="s">
        <v>126</v>
      </c>
      <c r="G146" s="133">
        <v>60</v>
      </c>
      <c r="H146" s="124"/>
      <c r="I146" s="133" t="str">
        <f>IF(H146&gt;0,(#REF!*H146),"-")</f>
        <v>-</v>
      </c>
      <c r="J146" s="113">
        <v>115</v>
      </c>
      <c r="K146" s="110" t="s">
        <v>129</v>
      </c>
      <c r="L146" s="110" t="s">
        <v>129</v>
      </c>
      <c r="M146" s="110" t="s">
        <v>129</v>
      </c>
      <c r="N146" s="110" t="s">
        <v>130</v>
      </c>
      <c r="O146" s="110" t="s">
        <v>729</v>
      </c>
      <c r="P146" s="110" t="s">
        <v>400</v>
      </c>
      <c r="Q146" s="110" t="s">
        <v>97</v>
      </c>
      <c r="R146" s="121">
        <v>8.5000000000000006E-2</v>
      </c>
      <c r="S146" s="113" t="e">
        <f t="shared" si="4"/>
        <v>#VALUE!</v>
      </c>
      <c r="T146" s="113">
        <f t="shared" si="5"/>
        <v>0</v>
      </c>
    </row>
    <row r="147" spans="1:20" s="109" customFormat="1" x14ac:dyDescent="0.2">
      <c r="A147" s="116">
        <v>43862</v>
      </c>
      <c r="B147" s="111"/>
      <c r="C147" s="110" t="s">
        <v>730</v>
      </c>
      <c r="D147" s="110" t="s">
        <v>731</v>
      </c>
      <c r="E147" s="112" t="s">
        <v>732</v>
      </c>
      <c r="F147" s="111" t="s">
        <v>126</v>
      </c>
      <c r="G147" s="133">
        <v>50</v>
      </c>
      <c r="H147" s="124"/>
      <c r="I147" s="133" t="str">
        <f>IF(H147&gt;0,(#REF!*H147),"-")</f>
        <v>-</v>
      </c>
      <c r="J147" s="113">
        <v>320</v>
      </c>
      <c r="K147" s="110" t="s">
        <v>129</v>
      </c>
      <c r="L147" s="110" t="s">
        <v>148</v>
      </c>
      <c r="M147" s="110" t="s">
        <v>129</v>
      </c>
      <c r="N147" s="110" t="s">
        <v>130</v>
      </c>
      <c r="O147" s="110" t="s">
        <v>733</v>
      </c>
      <c r="P147" s="110" t="s">
        <v>132</v>
      </c>
      <c r="Q147" s="110" t="s">
        <v>96</v>
      </c>
      <c r="R147" s="121">
        <v>0.1943</v>
      </c>
      <c r="S147" s="113" t="e">
        <f t="shared" si="4"/>
        <v>#VALUE!</v>
      </c>
      <c r="T147" s="113">
        <f t="shared" si="5"/>
        <v>0</v>
      </c>
    </row>
    <row r="148" spans="1:20" s="109" customFormat="1" x14ac:dyDescent="0.2">
      <c r="A148" s="116">
        <v>43862</v>
      </c>
      <c r="B148" s="111"/>
      <c r="C148" s="110" t="s">
        <v>734</v>
      </c>
      <c r="D148" s="110" t="s">
        <v>735</v>
      </c>
      <c r="E148" s="112" t="s">
        <v>736</v>
      </c>
      <c r="F148" s="111" t="s">
        <v>126</v>
      </c>
      <c r="G148" s="133">
        <v>50</v>
      </c>
      <c r="H148" s="124"/>
      <c r="I148" s="133" t="str">
        <f>IF(H148&gt;0,(#REF!*H148),"-")</f>
        <v>-</v>
      </c>
      <c r="J148" s="113">
        <v>282</v>
      </c>
      <c r="K148" s="110" t="s">
        <v>129</v>
      </c>
      <c r="L148" s="110" t="s">
        <v>148</v>
      </c>
      <c r="M148" s="110" t="s">
        <v>129</v>
      </c>
      <c r="N148" s="110" t="s">
        <v>130</v>
      </c>
      <c r="O148" s="110" t="s">
        <v>737</v>
      </c>
      <c r="P148" s="110" t="s">
        <v>132</v>
      </c>
      <c r="Q148" s="110" t="s">
        <v>96</v>
      </c>
      <c r="R148" s="121">
        <v>0.18720000000000001</v>
      </c>
      <c r="S148" s="113" t="e">
        <f t="shared" si="4"/>
        <v>#VALUE!</v>
      </c>
      <c r="T148" s="113">
        <f t="shared" si="5"/>
        <v>0</v>
      </c>
    </row>
    <row r="149" spans="1:20" s="109" customFormat="1" x14ac:dyDescent="0.2">
      <c r="A149" s="116">
        <v>43855</v>
      </c>
      <c r="B149" s="111"/>
      <c r="C149" s="110" t="s">
        <v>738</v>
      </c>
      <c r="D149" s="110" t="s">
        <v>739</v>
      </c>
      <c r="E149" s="112" t="s">
        <v>740</v>
      </c>
      <c r="F149" s="111" t="s">
        <v>126</v>
      </c>
      <c r="G149" s="133">
        <v>155</v>
      </c>
      <c r="H149" s="124"/>
      <c r="I149" s="133" t="str">
        <f>IF(H149&gt;0,(#REF!*H149),"-")</f>
        <v>-</v>
      </c>
      <c r="J149" s="113">
        <v>695</v>
      </c>
      <c r="K149" s="110" t="s">
        <v>127</v>
      </c>
      <c r="L149" s="110" t="s">
        <v>128</v>
      </c>
      <c r="M149" s="110" t="s">
        <v>129</v>
      </c>
      <c r="N149" s="110" t="s">
        <v>130</v>
      </c>
      <c r="O149" s="110" t="s">
        <v>741</v>
      </c>
      <c r="P149" s="110" t="s">
        <v>132</v>
      </c>
      <c r="Q149" s="110" t="s">
        <v>97</v>
      </c>
      <c r="R149" s="121">
        <v>0.54800000000000004</v>
      </c>
      <c r="S149" s="113" t="e">
        <f t="shared" si="4"/>
        <v>#VALUE!</v>
      </c>
      <c r="T149" s="113">
        <f t="shared" si="5"/>
        <v>0</v>
      </c>
    </row>
    <row r="150" spans="1:20" s="109" customFormat="1" x14ac:dyDescent="0.2">
      <c r="A150" s="116">
        <v>43855</v>
      </c>
      <c r="B150" s="111"/>
      <c r="C150" s="110" t="s">
        <v>742</v>
      </c>
      <c r="D150" s="110" t="s">
        <v>743</v>
      </c>
      <c r="E150" s="112" t="s">
        <v>744</v>
      </c>
      <c r="F150" s="111" t="s">
        <v>126</v>
      </c>
      <c r="G150" s="133">
        <v>310</v>
      </c>
      <c r="H150" s="124"/>
      <c r="I150" s="133" t="str">
        <f>IF(H150&gt;0,(#REF!*H150),"-")</f>
        <v>-</v>
      </c>
      <c r="J150" s="113">
        <v>3557</v>
      </c>
      <c r="K150" s="110" t="s">
        <v>127</v>
      </c>
      <c r="L150" s="110" t="s">
        <v>163</v>
      </c>
      <c r="M150" s="110" t="s">
        <v>129</v>
      </c>
      <c r="N150" s="110" t="s">
        <v>130</v>
      </c>
      <c r="O150" s="110" t="s">
        <v>745</v>
      </c>
      <c r="P150" s="110" t="s">
        <v>137</v>
      </c>
      <c r="Q150" s="110" t="s">
        <v>96</v>
      </c>
      <c r="R150" s="121">
        <v>0.37730000000000002</v>
      </c>
      <c r="S150" s="113" t="e">
        <f t="shared" si="4"/>
        <v>#VALUE!</v>
      </c>
      <c r="T150" s="113">
        <f t="shared" si="5"/>
        <v>0</v>
      </c>
    </row>
    <row r="151" spans="1:20" s="109" customFormat="1" x14ac:dyDescent="0.2">
      <c r="A151" s="116">
        <v>43855</v>
      </c>
      <c r="B151" s="111"/>
      <c r="C151" s="110" t="s">
        <v>746</v>
      </c>
      <c r="D151" s="110" t="s">
        <v>747</v>
      </c>
      <c r="E151" s="112" t="s">
        <v>748</v>
      </c>
      <c r="F151" s="111" t="s">
        <v>126</v>
      </c>
      <c r="G151" s="133">
        <v>170</v>
      </c>
      <c r="H151" s="124"/>
      <c r="I151" s="133" t="str">
        <f>IF(H151&gt;0,(#REF!*H151),"-")</f>
        <v>-</v>
      </c>
      <c r="J151" s="113">
        <v>804</v>
      </c>
      <c r="K151" s="110" t="s">
        <v>127</v>
      </c>
      <c r="L151" s="110" t="s">
        <v>163</v>
      </c>
      <c r="M151" s="110" t="s">
        <v>129</v>
      </c>
      <c r="N151" s="110" t="s">
        <v>130</v>
      </c>
      <c r="O151" s="110" t="s">
        <v>749</v>
      </c>
      <c r="P151" s="110" t="s">
        <v>137</v>
      </c>
      <c r="Q151" s="110" t="s">
        <v>96</v>
      </c>
      <c r="R151" s="121">
        <v>0.1144</v>
      </c>
      <c r="S151" s="113" t="e">
        <f t="shared" si="4"/>
        <v>#VALUE!</v>
      </c>
      <c r="T151" s="113">
        <f t="shared" si="5"/>
        <v>0</v>
      </c>
    </row>
    <row r="152" spans="1:20" s="109" customFormat="1" x14ac:dyDescent="0.2">
      <c r="A152" s="116">
        <v>43855</v>
      </c>
      <c r="B152" s="111"/>
      <c r="C152" s="110" t="s">
        <v>750</v>
      </c>
      <c r="D152" s="110" t="s">
        <v>751</v>
      </c>
      <c r="E152" s="112" t="s">
        <v>752</v>
      </c>
      <c r="F152" s="111" t="s">
        <v>126</v>
      </c>
      <c r="G152" s="133">
        <v>140</v>
      </c>
      <c r="H152" s="124"/>
      <c r="I152" s="133" t="str">
        <f>IF(H152&gt;0,(#REF!*H152),"-")</f>
        <v>-</v>
      </c>
      <c r="J152" s="113">
        <v>825</v>
      </c>
      <c r="K152" s="110" t="s">
        <v>127</v>
      </c>
      <c r="L152" s="110" t="s">
        <v>163</v>
      </c>
      <c r="M152" s="110" t="s">
        <v>129</v>
      </c>
      <c r="N152" s="110" t="s">
        <v>130</v>
      </c>
      <c r="O152" s="110" t="s">
        <v>753</v>
      </c>
      <c r="P152" s="110" t="s">
        <v>137</v>
      </c>
      <c r="Q152" s="110" t="s">
        <v>96</v>
      </c>
      <c r="R152" s="121">
        <v>7.1900000000000006E-2</v>
      </c>
      <c r="S152" s="113" t="e">
        <f t="shared" si="4"/>
        <v>#VALUE!</v>
      </c>
      <c r="T152" s="113">
        <f t="shared" si="5"/>
        <v>0</v>
      </c>
    </row>
    <row r="153" spans="1:20" s="109" customFormat="1" x14ac:dyDescent="0.2">
      <c r="A153" s="116">
        <v>43855</v>
      </c>
      <c r="B153" s="111"/>
      <c r="C153" s="110" t="s">
        <v>754</v>
      </c>
      <c r="D153" s="110" t="s">
        <v>755</v>
      </c>
      <c r="E153" s="112" t="s">
        <v>756</v>
      </c>
      <c r="F153" s="111" t="s">
        <v>126</v>
      </c>
      <c r="G153" s="133">
        <v>185</v>
      </c>
      <c r="H153" s="124"/>
      <c r="I153" s="133" t="str">
        <f>IF(H153&gt;0,(#REF!*H153),"-")</f>
        <v>-</v>
      </c>
      <c r="J153" s="113">
        <v>1121</v>
      </c>
      <c r="K153" s="110" t="s">
        <v>127</v>
      </c>
      <c r="L153" s="110" t="s">
        <v>163</v>
      </c>
      <c r="M153" s="110" t="s">
        <v>129</v>
      </c>
      <c r="N153" s="110" t="s">
        <v>130</v>
      </c>
      <c r="O153" s="110" t="s">
        <v>757</v>
      </c>
      <c r="P153" s="110" t="s">
        <v>137</v>
      </c>
      <c r="Q153" s="110" t="s">
        <v>96</v>
      </c>
      <c r="R153" s="121">
        <v>0.1014</v>
      </c>
      <c r="S153" s="113" t="e">
        <f t="shared" si="4"/>
        <v>#VALUE!</v>
      </c>
      <c r="T153" s="113">
        <f t="shared" si="5"/>
        <v>0</v>
      </c>
    </row>
    <row r="154" spans="1:20" s="109" customFormat="1" x14ac:dyDescent="0.2">
      <c r="A154" s="116">
        <v>43855</v>
      </c>
      <c r="B154" s="111"/>
      <c r="C154" s="110" t="s">
        <v>758</v>
      </c>
      <c r="D154" s="110" t="s">
        <v>759</v>
      </c>
      <c r="E154" s="112" t="s">
        <v>760</v>
      </c>
      <c r="F154" s="111" t="s">
        <v>126</v>
      </c>
      <c r="G154" s="133">
        <v>215</v>
      </c>
      <c r="H154" s="124"/>
      <c r="I154" s="133" t="str">
        <f>IF(H154&gt;0,(#REF!*H154),"-")</f>
        <v>-</v>
      </c>
      <c r="J154" s="113">
        <v>1421</v>
      </c>
      <c r="K154" s="110" t="s">
        <v>127</v>
      </c>
      <c r="L154" s="110" t="s">
        <v>163</v>
      </c>
      <c r="M154" s="110" t="s">
        <v>129</v>
      </c>
      <c r="N154" s="110" t="s">
        <v>130</v>
      </c>
      <c r="O154" s="110" t="s">
        <v>761</v>
      </c>
      <c r="P154" s="110" t="s">
        <v>137</v>
      </c>
      <c r="Q154" s="110" t="s">
        <v>96</v>
      </c>
      <c r="R154" s="121">
        <v>0.20100000000000001</v>
      </c>
      <c r="S154" s="113" t="e">
        <f t="shared" si="4"/>
        <v>#VALUE!</v>
      </c>
      <c r="T154" s="113">
        <f t="shared" si="5"/>
        <v>0</v>
      </c>
    </row>
    <row r="155" spans="1:20" s="109" customFormat="1" x14ac:dyDescent="0.2">
      <c r="A155" s="116">
        <v>43855</v>
      </c>
      <c r="B155" s="111"/>
      <c r="C155" s="110" t="s">
        <v>762</v>
      </c>
      <c r="D155" s="110" t="s">
        <v>763</v>
      </c>
      <c r="E155" s="112" t="s">
        <v>764</v>
      </c>
      <c r="F155" s="111" t="s">
        <v>126</v>
      </c>
      <c r="G155" s="133">
        <v>56</v>
      </c>
      <c r="H155" s="124"/>
      <c r="I155" s="133" t="str">
        <f>IF(H155&gt;0,(#REF!*H155),"-")</f>
        <v>-</v>
      </c>
      <c r="J155" s="113">
        <v>875</v>
      </c>
      <c r="K155" s="110" t="s">
        <v>127</v>
      </c>
      <c r="L155" s="110" t="s">
        <v>148</v>
      </c>
      <c r="M155" s="110" t="s">
        <v>129</v>
      </c>
      <c r="N155" s="110" t="s">
        <v>130</v>
      </c>
      <c r="O155" s="110" t="s">
        <v>765</v>
      </c>
      <c r="P155" s="110" t="s">
        <v>132</v>
      </c>
      <c r="Q155" s="110" t="s">
        <v>96</v>
      </c>
      <c r="R155" s="121">
        <v>0.38100000000000001</v>
      </c>
      <c r="S155" s="113" t="e">
        <f t="shared" si="4"/>
        <v>#VALUE!</v>
      </c>
      <c r="T155" s="113">
        <f t="shared" si="5"/>
        <v>0</v>
      </c>
    </row>
    <row r="156" spans="1:20" s="109" customFormat="1" x14ac:dyDescent="0.2">
      <c r="A156" s="116">
        <v>43855</v>
      </c>
      <c r="B156" s="111"/>
      <c r="C156" s="110" t="s">
        <v>766</v>
      </c>
      <c r="D156" s="110" t="s">
        <v>767</v>
      </c>
      <c r="E156" s="112" t="s">
        <v>768</v>
      </c>
      <c r="F156" s="111" t="s">
        <v>126</v>
      </c>
      <c r="G156" s="133">
        <v>56</v>
      </c>
      <c r="H156" s="124"/>
      <c r="I156" s="133" t="str">
        <f>IF(H156&gt;0,(#REF!*H156),"-")</f>
        <v>-</v>
      </c>
      <c r="J156" s="113">
        <v>592</v>
      </c>
      <c r="K156" s="110" t="s">
        <v>127</v>
      </c>
      <c r="L156" s="110" t="s">
        <v>148</v>
      </c>
      <c r="M156" s="110" t="s">
        <v>129</v>
      </c>
      <c r="N156" s="110" t="s">
        <v>130</v>
      </c>
      <c r="O156" s="110" t="s">
        <v>769</v>
      </c>
      <c r="P156" s="110" t="s">
        <v>132</v>
      </c>
      <c r="Q156" s="110" t="s">
        <v>96</v>
      </c>
      <c r="R156" s="121">
        <v>0.24940000000000001</v>
      </c>
      <c r="S156" s="113" t="e">
        <f t="shared" si="4"/>
        <v>#VALUE!</v>
      </c>
      <c r="T156" s="113">
        <f t="shared" si="5"/>
        <v>0</v>
      </c>
    </row>
    <row r="157" spans="1:20" s="109" customFormat="1" x14ac:dyDescent="0.2">
      <c r="A157" s="116">
        <v>43855</v>
      </c>
      <c r="B157" s="111"/>
      <c r="C157" s="110"/>
      <c r="D157" s="110" t="s">
        <v>770</v>
      </c>
      <c r="E157" s="112" t="s">
        <v>771</v>
      </c>
      <c r="F157" s="111" t="s">
        <v>126</v>
      </c>
      <c r="G157" s="133"/>
      <c r="H157" s="124"/>
      <c r="I157" s="133" t="str">
        <f>IF(H157&gt;0,(#REF!*H157),"-")</f>
        <v>-</v>
      </c>
      <c r="J157" s="113">
        <v>11405</v>
      </c>
      <c r="K157" s="110" t="s">
        <v>129</v>
      </c>
      <c r="L157" s="110" t="s">
        <v>129</v>
      </c>
      <c r="M157" s="110" t="s">
        <v>421</v>
      </c>
      <c r="N157" s="110" t="s">
        <v>130</v>
      </c>
      <c r="O157" s="110" t="s">
        <v>772</v>
      </c>
      <c r="P157" s="110" t="s">
        <v>423</v>
      </c>
      <c r="Q157" s="110" t="s">
        <v>96</v>
      </c>
      <c r="R157" s="121">
        <v>1.2250000000000001</v>
      </c>
      <c r="S157" s="113" t="e">
        <f t="shared" si="4"/>
        <v>#VALUE!</v>
      </c>
      <c r="T157" s="113">
        <f t="shared" si="5"/>
        <v>0</v>
      </c>
    </row>
    <row r="158" spans="1:20" s="109" customFormat="1" x14ac:dyDescent="0.2">
      <c r="A158" s="116">
        <v>43855</v>
      </c>
      <c r="B158" s="111"/>
      <c r="C158" s="110"/>
      <c r="D158" s="110" t="s">
        <v>773</v>
      </c>
      <c r="E158" s="112" t="s">
        <v>774</v>
      </c>
      <c r="F158" s="111" t="s">
        <v>126</v>
      </c>
      <c r="G158" s="133"/>
      <c r="H158" s="124"/>
      <c r="I158" s="133" t="str">
        <f>IF(H158&gt;0,(#REF!*H158),"-")</f>
        <v>-</v>
      </c>
      <c r="J158" s="113">
        <v>11405</v>
      </c>
      <c r="K158" s="110" t="s">
        <v>129</v>
      </c>
      <c r="L158" s="110" t="s">
        <v>129</v>
      </c>
      <c r="M158" s="110" t="s">
        <v>421</v>
      </c>
      <c r="N158" s="110" t="s">
        <v>130</v>
      </c>
      <c r="O158" s="110" t="s">
        <v>775</v>
      </c>
      <c r="P158" s="110" t="s">
        <v>423</v>
      </c>
      <c r="Q158" s="110" t="s">
        <v>96</v>
      </c>
      <c r="R158" s="121">
        <v>1.2250000000000001</v>
      </c>
      <c r="S158" s="113" t="e">
        <f t="shared" si="4"/>
        <v>#VALUE!</v>
      </c>
      <c r="T158" s="113">
        <f t="shared" si="5"/>
        <v>0</v>
      </c>
    </row>
    <row r="159" spans="1:20" s="109" customFormat="1" x14ac:dyDescent="0.2">
      <c r="A159" s="116">
        <v>43848</v>
      </c>
      <c r="B159" s="111"/>
      <c r="C159" s="110" t="s">
        <v>776</v>
      </c>
      <c r="D159" s="110" t="s">
        <v>777</v>
      </c>
      <c r="E159" s="112" t="s">
        <v>778</v>
      </c>
      <c r="F159" s="111" t="s">
        <v>126</v>
      </c>
      <c r="G159" s="133">
        <v>155</v>
      </c>
      <c r="H159" s="124"/>
      <c r="I159" s="133" t="str">
        <f>IF(H159&gt;0,(#REF!*H159),"-")</f>
        <v>-</v>
      </c>
      <c r="J159" s="113">
        <v>695</v>
      </c>
      <c r="K159" s="110" t="s">
        <v>127</v>
      </c>
      <c r="L159" s="110" t="s">
        <v>163</v>
      </c>
      <c r="M159" s="110" t="s">
        <v>129</v>
      </c>
      <c r="N159" s="110" t="s">
        <v>130</v>
      </c>
      <c r="O159" s="110" t="s">
        <v>779</v>
      </c>
      <c r="P159" s="110" t="s">
        <v>132</v>
      </c>
      <c r="Q159" s="110" t="s">
        <v>97</v>
      </c>
      <c r="R159" s="121">
        <v>0.62290000000000001</v>
      </c>
      <c r="S159" s="113" t="e">
        <f t="shared" si="4"/>
        <v>#VALUE!</v>
      </c>
      <c r="T159" s="113">
        <f t="shared" si="5"/>
        <v>0</v>
      </c>
    </row>
    <row r="160" spans="1:20" s="109" customFormat="1" x14ac:dyDescent="0.2">
      <c r="A160" s="116">
        <v>43848</v>
      </c>
      <c r="B160" s="111"/>
      <c r="C160" s="110" t="s">
        <v>780</v>
      </c>
      <c r="D160" s="110" t="s">
        <v>781</v>
      </c>
      <c r="E160" s="112" t="s">
        <v>782</v>
      </c>
      <c r="F160" s="111" t="s">
        <v>126</v>
      </c>
      <c r="G160" s="133">
        <v>90</v>
      </c>
      <c r="H160" s="124"/>
      <c r="I160" s="133" t="str">
        <f>IF(H160&gt;0,(#REF!*H160),"-")</f>
        <v>-</v>
      </c>
      <c r="J160" s="113">
        <v>239</v>
      </c>
      <c r="K160" s="110" t="s">
        <v>127</v>
      </c>
      <c r="L160" s="110" t="s">
        <v>163</v>
      </c>
      <c r="M160" s="110" t="s">
        <v>129</v>
      </c>
      <c r="N160" s="110" t="s">
        <v>130</v>
      </c>
      <c r="O160" s="110" t="s">
        <v>783</v>
      </c>
      <c r="P160" s="110" t="s">
        <v>400</v>
      </c>
      <c r="Q160" s="110" t="s">
        <v>97</v>
      </c>
      <c r="R160" s="121">
        <v>0.17560000000000001</v>
      </c>
      <c r="S160" s="113" t="e">
        <f t="shared" si="4"/>
        <v>#VALUE!</v>
      </c>
      <c r="T160" s="113">
        <f t="shared" si="5"/>
        <v>0</v>
      </c>
    </row>
    <row r="161" spans="1:20" s="109" customFormat="1" x14ac:dyDescent="0.2">
      <c r="A161" s="116">
        <v>43848</v>
      </c>
      <c r="B161" s="111"/>
      <c r="C161" s="110" t="s">
        <v>784</v>
      </c>
      <c r="D161" s="110" t="s">
        <v>785</v>
      </c>
      <c r="E161" s="112" t="s">
        <v>786</v>
      </c>
      <c r="F161" s="111" t="s">
        <v>126</v>
      </c>
      <c r="G161" s="133">
        <v>215</v>
      </c>
      <c r="H161" s="124"/>
      <c r="I161" s="133" t="str">
        <f>IF(H161&gt;0,(#REF!*H161),"-")</f>
        <v>-</v>
      </c>
      <c r="J161" s="113">
        <v>1594</v>
      </c>
      <c r="K161" s="110" t="s">
        <v>127</v>
      </c>
      <c r="L161" s="110" t="s">
        <v>163</v>
      </c>
      <c r="M161" s="110" t="s">
        <v>129</v>
      </c>
      <c r="N161" s="110" t="s">
        <v>130</v>
      </c>
      <c r="O161" s="110" t="s">
        <v>787</v>
      </c>
      <c r="P161" s="110" t="s">
        <v>137</v>
      </c>
      <c r="Q161" s="110" t="s">
        <v>96</v>
      </c>
      <c r="R161" s="121">
        <v>0.2203</v>
      </c>
      <c r="S161" s="113" t="e">
        <f t="shared" si="4"/>
        <v>#VALUE!</v>
      </c>
      <c r="T161" s="113">
        <f t="shared" si="5"/>
        <v>0</v>
      </c>
    </row>
    <row r="162" spans="1:20" s="109" customFormat="1" x14ac:dyDescent="0.2">
      <c r="A162" s="116">
        <v>43848</v>
      </c>
      <c r="B162" s="111"/>
      <c r="C162" s="110" t="s">
        <v>788</v>
      </c>
      <c r="D162" s="110" t="s">
        <v>789</v>
      </c>
      <c r="E162" s="112" t="s">
        <v>790</v>
      </c>
      <c r="F162" s="111" t="s">
        <v>126</v>
      </c>
      <c r="G162" s="133">
        <v>400</v>
      </c>
      <c r="H162" s="124"/>
      <c r="I162" s="133" t="str">
        <f>IF(H162&gt;0,(#REF!*H162),"-")</f>
        <v>-</v>
      </c>
      <c r="J162" s="113">
        <v>2760</v>
      </c>
      <c r="K162" s="110" t="s">
        <v>127</v>
      </c>
      <c r="L162" s="110" t="s">
        <v>163</v>
      </c>
      <c r="M162" s="110" t="s">
        <v>129</v>
      </c>
      <c r="N162" s="110" t="s">
        <v>130</v>
      </c>
      <c r="O162" s="110" t="s">
        <v>791</v>
      </c>
      <c r="P162" s="110" t="s">
        <v>137</v>
      </c>
      <c r="Q162" s="110" t="s">
        <v>96</v>
      </c>
      <c r="R162" s="121">
        <v>0.36299999999999999</v>
      </c>
      <c r="S162" s="113" t="e">
        <f t="shared" si="4"/>
        <v>#VALUE!</v>
      </c>
      <c r="T162" s="113">
        <f t="shared" si="5"/>
        <v>0</v>
      </c>
    </row>
    <row r="163" spans="1:20" s="109" customFormat="1" x14ac:dyDescent="0.2">
      <c r="A163" s="116">
        <v>43848</v>
      </c>
      <c r="B163" s="111"/>
      <c r="C163" s="110" t="s">
        <v>792</v>
      </c>
      <c r="D163" s="110" t="s">
        <v>793</v>
      </c>
      <c r="E163" s="112" t="s">
        <v>794</v>
      </c>
      <c r="F163" s="111" t="s">
        <v>126</v>
      </c>
      <c r="G163" s="133">
        <v>200</v>
      </c>
      <c r="H163" s="124"/>
      <c r="I163" s="133" t="str">
        <f>IF(H163&gt;0,(#REF!*H163),"-")</f>
        <v>-</v>
      </c>
      <c r="J163" s="113">
        <v>1151</v>
      </c>
      <c r="K163" s="110" t="s">
        <v>127</v>
      </c>
      <c r="L163" s="110" t="s">
        <v>163</v>
      </c>
      <c r="M163" s="110" t="s">
        <v>129</v>
      </c>
      <c r="N163" s="110" t="s">
        <v>130</v>
      </c>
      <c r="O163" s="110" t="s">
        <v>795</v>
      </c>
      <c r="P163" s="110" t="s">
        <v>137</v>
      </c>
      <c r="Q163" s="110" t="s">
        <v>96</v>
      </c>
      <c r="R163" s="121">
        <v>0.15709999999999999</v>
      </c>
      <c r="S163" s="113" t="e">
        <f t="shared" si="4"/>
        <v>#VALUE!</v>
      </c>
      <c r="T163" s="113">
        <f t="shared" si="5"/>
        <v>0</v>
      </c>
    </row>
    <row r="164" spans="1:20" s="109" customFormat="1" x14ac:dyDescent="0.2">
      <c r="A164" s="116">
        <v>43847</v>
      </c>
      <c r="B164" s="111"/>
      <c r="C164" s="110" t="s">
        <v>796</v>
      </c>
      <c r="D164" s="110" t="s">
        <v>797</v>
      </c>
      <c r="E164" s="112" t="s">
        <v>798</v>
      </c>
      <c r="F164" s="111" t="s">
        <v>126</v>
      </c>
      <c r="G164" s="133">
        <v>37</v>
      </c>
      <c r="H164" s="124"/>
      <c r="I164" s="133" t="str">
        <f>IF(H164&gt;0,(#REF!*H164),"-")</f>
        <v>-</v>
      </c>
      <c r="J164" s="113">
        <v>568</v>
      </c>
      <c r="K164" s="110" t="s">
        <v>129</v>
      </c>
      <c r="L164" s="110" t="s">
        <v>129</v>
      </c>
      <c r="M164" s="110" t="s">
        <v>129</v>
      </c>
      <c r="N164" s="110" t="s">
        <v>130</v>
      </c>
      <c r="O164" s="110" t="s">
        <v>799</v>
      </c>
      <c r="P164" s="110" t="s">
        <v>197</v>
      </c>
      <c r="Q164" s="110" t="s">
        <v>96</v>
      </c>
      <c r="R164" s="121">
        <v>0.53900000000000003</v>
      </c>
      <c r="S164" s="113" t="e">
        <f t="shared" si="4"/>
        <v>#VALUE!</v>
      </c>
      <c r="T164" s="113">
        <f t="shared" si="5"/>
        <v>0</v>
      </c>
    </row>
    <row r="165" spans="1:20" s="109" customFormat="1" x14ac:dyDescent="0.2">
      <c r="A165" s="116"/>
      <c r="B165" s="111" t="s">
        <v>207</v>
      </c>
      <c r="C165" s="110" t="s">
        <v>800</v>
      </c>
      <c r="D165" s="110" t="s">
        <v>801</v>
      </c>
      <c r="E165" s="112" t="s">
        <v>802</v>
      </c>
      <c r="F165" s="111" t="s">
        <v>130</v>
      </c>
      <c r="G165" s="133">
        <v>155</v>
      </c>
      <c r="H165" s="124"/>
      <c r="I165" s="133" t="str">
        <f>IF(H165&gt;0,(#REF!*H165),"-")</f>
        <v>-</v>
      </c>
      <c r="J165" s="113">
        <v>774</v>
      </c>
      <c r="K165" s="110" t="s">
        <v>127</v>
      </c>
      <c r="L165" s="110" t="s">
        <v>128</v>
      </c>
      <c r="M165" s="110" t="s">
        <v>129</v>
      </c>
      <c r="N165" s="110" t="s">
        <v>130</v>
      </c>
      <c r="O165" s="110" t="s">
        <v>803</v>
      </c>
      <c r="P165" s="110" t="s">
        <v>132</v>
      </c>
      <c r="Q165" s="110" t="s">
        <v>96</v>
      </c>
      <c r="R165" s="121">
        <v>0.79369999999999996</v>
      </c>
      <c r="S165" s="113" t="e">
        <f t="shared" si="4"/>
        <v>#VALUE!</v>
      </c>
      <c r="T165" s="113">
        <f t="shared" si="5"/>
        <v>0</v>
      </c>
    </row>
    <row r="166" spans="1:20" s="109" customFormat="1" x14ac:dyDescent="0.2">
      <c r="A166" s="116"/>
      <c r="B166" s="111" t="s">
        <v>207</v>
      </c>
      <c r="C166" s="110" t="s">
        <v>800</v>
      </c>
      <c r="D166" s="110" t="s">
        <v>804</v>
      </c>
      <c r="E166" s="112" t="s">
        <v>805</v>
      </c>
      <c r="F166" s="111" t="s">
        <v>130</v>
      </c>
      <c r="G166" s="133">
        <v>155</v>
      </c>
      <c r="H166" s="124"/>
      <c r="I166" s="133" t="str">
        <f>IF(H166&gt;0,(#REF!*H166),"-")</f>
        <v>-</v>
      </c>
      <c r="J166" s="113">
        <v>774</v>
      </c>
      <c r="K166" s="110" t="s">
        <v>127</v>
      </c>
      <c r="L166" s="110" t="s">
        <v>128</v>
      </c>
      <c r="M166" s="110" t="s">
        <v>129</v>
      </c>
      <c r="N166" s="110" t="s">
        <v>130</v>
      </c>
      <c r="O166" s="110" t="s">
        <v>806</v>
      </c>
      <c r="P166" s="110" t="s">
        <v>132</v>
      </c>
      <c r="Q166" s="110" t="s">
        <v>97</v>
      </c>
      <c r="R166" s="121">
        <v>0.79369999999999996</v>
      </c>
      <c r="S166" s="113" t="e">
        <f t="shared" si="4"/>
        <v>#VALUE!</v>
      </c>
      <c r="T166" s="113">
        <f t="shared" si="5"/>
        <v>0</v>
      </c>
    </row>
    <row r="167" spans="1:20" s="109" customFormat="1" x14ac:dyDescent="0.2">
      <c r="A167" s="116"/>
      <c r="B167" s="111"/>
      <c r="C167" s="110" t="s">
        <v>807</v>
      </c>
      <c r="D167" s="110" t="s">
        <v>808</v>
      </c>
      <c r="E167" s="112" t="s">
        <v>809</v>
      </c>
      <c r="F167" s="111" t="s">
        <v>126</v>
      </c>
      <c r="G167" s="133">
        <v>590</v>
      </c>
      <c r="H167" s="124"/>
      <c r="I167" s="133" t="str">
        <f>IF(H167&gt;0,(#REF!*H167),"-")</f>
        <v>-</v>
      </c>
      <c r="J167" s="113">
        <v>15840</v>
      </c>
      <c r="K167" s="110" t="s">
        <v>127</v>
      </c>
      <c r="L167" s="110" t="s">
        <v>128</v>
      </c>
      <c r="M167" s="110" t="s">
        <v>129</v>
      </c>
      <c r="N167" s="110" t="s">
        <v>130</v>
      </c>
      <c r="O167" s="110" t="s">
        <v>810</v>
      </c>
      <c r="P167" s="110" t="s">
        <v>589</v>
      </c>
      <c r="Q167" s="110" t="s">
        <v>96</v>
      </c>
      <c r="R167" s="121">
        <v>3.944</v>
      </c>
      <c r="S167" s="113" t="e">
        <f t="shared" si="4"/>
        <v>#VALUE!</v>
      </c>
      <c r="T167" s="113">
        <f t="shared" si="5"/>
        <v>0</v>
      </c>
    </row>
    <row r="168" spans="1:20" s="109" customFormat="1" x14ac:dyDescent="0.2">
      <c r="A168" s="116"/>
      <c r="B168" s="111"/>
      <c r="C168" s="110" t="s">
        <v>811</v>
      </c>
      <c r="D168" s="110" t="s">
        <v>812</v>
      </c>
      <c r="E168" s="112" t="s">
        <v>813</v>
      </c>
      <c r="F168" s="111" t="s">
        <v>126</v>
      </c>
      <c r="G168" s="133">
        <v>590</v>
      </c>
      <c r="H168" s="124"/>
      <c r="I168" s="133" t="str">
        <f>IF(H168&gt;0,(#REF!*H168),"-")</f>
        <v>-</v>
      </c>
      <c r="J168" s="113">
        <v>15840</v>
      </c>
      <c r="K168" s="110" t="s">
        <v>127</v>
      </c>
      <c r="L168" s="110" t="s">
        <v>128</v>
      </c>
      <c r="M168" s="110" t="s">
        <v>129</v>
      </c>
      <c r="N168" s="110" t="s">
        <v>130</v>
      </c>
      <c r="O168" s="110" t="s">
        <v>814</v>
      </c>
      <c r="P168" s="110" t="s">
        <v>589</v>
      </c>
      <c r="Q168" s="110" t="s">
        <v>96</v>
      </c>
      <c r="R168" s="121">
        <v>3.944</v>
      </c>
      <c r="S168" s="113" t="e">
        <f t="shared" si="4"/>
        <v>#VALUE!</v>
      </c>
      <c r="T168" s="113">
        <f t="shared" si="5"/>
        <v>0</v>
      </c>
    </row>
    <row r="169" spans="1:20" s="109" customFormat="1" x14ac:dyDescent="0.2">
      <c r="A169" s="116"/>
      <c r="B169" s="111"/>
      <c r="C169" s="110" t="s">
        <v>815</v>
      </c>
      <c r="D169" s="110" t="s">
        <v>816</v>
      </c>
      <c r="E169" s="112" t="s">
        <v>817</v>
      </c>
      <c r="F169" s="111" t="s">
        <v>126</v>
      </c>
      <c r="G169" s="133">
        <v>495</v>
      </c>
      <c r="H169" s="124"/>
      <c r="I169" s="133" t="str">
        <f>IF(H169&gt;0,(#REF!*H169),"-")</f>
        <v>-</v>
      </c>
      <c r="J169" s="113">
        <v>8408</v>
      </c>
      <c r="K169" s="110" t="s">
        <v>127</v>
      </c>
      <c r="L169" s="110" t="s">
        <v>128</v>
      </c>
      <c r="M169" s="110" t="s">
        <v>129</v>
      </c>
      <c r="N169" s="110" t="s">
        <v>130</v>
      </c>
      <c r="O169" s="110" t="s">
        <v>818</v>
      </c>
      <c r="P169" s="110" t="s">
        <v>589</v>
      </c>
      <c r="Q169" s="110" t="s">
        <v>96</v>
      </c>
      <c r="R169" s="121">
        <v>2.1756000000000002</v>
      </c>
      <c r="S169" s="113" t="e">
        <f t="shared" si="4"/>
        <v>#VALUE!</v>
      </c>
      <c r="T169" s="113">
        <f t="shared" si="5"/>
        <v>0</v>
      </c>
    </row>
    <row r="170" spans="1:20" s="109" customFormat="1" x14ac:dyDescent="0.2">
      <c r="A170" s="116"/>
      <c r="B170" s="111"/>
      <c r="C170" s="110" t="s">
        <v>819</v>
      </c>
      <c r="D170" s="110" t="s">
        <v>820</v>
      </c>
      <c r="E170" s="112" t="s">
        <v>821</v>
      </c>
      <c r="F170" s="111" t="s">
        <v>126</v>
      </c>
      <c r="G170" s="133">
        <v>215</v>
      </c>
      <c r="H170" s="124"/>
      <c r="I170" s="133" t="str">
        <f>IF(H170&gt;0,(#REF!*H170),"-")</f>
        <v>-</v>
      </c>
      <c r="J170" s="113">
        <v>2112</v>
      </c>
      <c r="K170" s="110" t="s">
        <v>127</v>
      </c>
      <c r="L170" s="110" t="s">
        <v>128</v>
      </c>
      <c r="M170" s="110" t="s">
        <v>129</v>
      </c>
      <c r="N170" s="110" t="s">
        <v>130</v>
      </c>
      <c r="O170" s="110" t="s">
        <v>822</v>
      </c>
      <c r="P170" s="110" t="s">
        <v>400</v>
      </c>
      <c r="Q170" s="110" t="s">
        <v>97</v>
      </c>
      <c r="R170" s="121">
        <v>0.90700000000000003</v>
      </c>
      <c r="S170" s="113" t="e">
        <f t="shared" si="4"/>
        <v>#VALUE!</v>
      </c>
      <c r="T170" s="113">
        <f t="shared" si="5"/>
        <v>0</v>
      </c>
    </row>
    <row r="171" spans="1:20" s="109" customFormat="1" x14ac:dyDescent="0.2">
      <c r="A171" s="116"/>
      <c r="B171" s="111"/>
      <c r="C171" s="110" t="s">
        <v>823</v>
      </c>
      <c r="D171" s="110" t="s">
        <v>824</v>
      </c>
      <c r="E171" s="112" t="s">
        <v>825</v>
      </c>
      <c r="F171" s="111" t="s">
        <v>126</v>
      </c>
      <c r="G171" s="133">
        <v>215</v>
      </c>
      <c r="H171" s="124"/>
      <c r="I171" s="133" t="str">
        <f>IF(H171&gt;0,(#REF!*H171),"-")</f>
        <v>-</v>
      </c>
      <c r="J171" s="113">
        <v>2112</v>
      </c>
      <c r="K171" s="110" t="s">
        <v>127</v>
      </c>
      <c r="L171" s="110" t="s">
        <v>128</v>
      </c>
      <c r="M171" s="110" t="s">
        <v>129</v>
      </c>
      <c r="N171" s="110" t="s">
        <v>130</v>
      </c>
      <c r="O171" s="110" t="s">
        <v>826</v>
      </c>
      <c r="P171" s="110" t="s">
        <v>400</v>
      </c>
      <c r="Q171" s="110" t="s">
        <v>97</v>
      </c>
      <c r="R171" s="121">
        <v>0.90700000000000003</v>
      </c>
      <c r="S171" s="113" t="e">
        <f t="shared" si="4"/>
        <v>#VALUE!</v>
      </c>
      <c r="T171" s="113">
        <f t="shared" si="5"/>
        <v>0</v>
      </c>
    </row>
    <row r="172" spans="1:20" s="109" customFormat="1" x14ac:dyDescent="0.2">
      <c r="A172" s="116"/>
      <c r="B172" s="111"/>
      <c r="C172" s="110" t="s">
        <v>827</v>
      </c>
      <c r="D172" s="110" t="s">
        <v>828</v>
      </c>
      <c r="E172" s="112" t="s">
        <v>829</v>
      </c>
      <c r="F172" s="111" t="s">
        <v>126</v>
      </c>
      <c r="G172" s="133">
        <v>340</v>
      </c>
      <c r="H172" s="124"/>
      <c r="I172" s="133" t="str">
        <f>IF(H172&gt;0,(#REF!*H172),"-")</f>
        <v>-</v>
      </c>
      <c r="J172" s="113">
        <v>8538</v>
      </c>
      <c r="K172" s="110" t="s">
        <v>127</v>
      </c>
      <c r="L172" s="110" t="s">
        <v>128</v>
      </c>
      <c r="M172" s="110" t="s">
        <v>129</v>
      </c>
      <c r="N172" s="110" t="s">
        <v>130</v>
      </c>
      <c r="O172" s="110" t="s">
        <v>830</v>
      </c>
      <c r="P172" s="110" t="s">
        <v>137</v>
      </c>
      <c r="Q172" s="110" t="s">
        <v>97</v>
      </c>
      <c r="R172" s="121">
        <v>2.5640000000000001</v>
      </c>
      <c r="S172" s="113" t="e">
        <f t="shared" si="4"/>
        <v>#VALUE!</v>
      </c>
      <c r="T172" s="113">
        <f t="shared" si="5"/>
        <v>0</v>
      </c>
    </row>
    <row r="173" spans="1:20" s="109" customFormat="1" x14ac:dyDescent="0.2">
      <c r="A173" s="116"/>
      <c r="B173" s="111"/>
      <c r="C173" s="110" t="s">
        <v>831</v>
      </c>
      <c r="D173" s="110" t="s">
        <v>832</v>
      </c>
      <c r="E173" s="112" t="s">
        <v>833</v>
      </c>
      <c r="F173" s="111" t="s">
        <v>126</v>
      </c>
      <c r="G173" s="133">
        <v>340</v>
      </c>
      <c r="H173" s="124"/>
      <c r="I173" s="133" t="str">
        <f>IF(H173&gt;0,(#REF!*H173),"-")</f>
        <v>-</v>
      </c>
      <c r="J173" s="113">
        <v>8538</v>
      </c>
      <c r="K173" s="110" t="s">
        <v>127</v>
      </c>
      <c r="L173" s="110" t="s">
        <v>128</v>
      </c>
      <c r="M173" s="110" t="s">
        <v>129</v>
      </c>
      <c r="N173" s="110" t="s">
        <v>130</v>
      </c>
      <c r="O173" s="110" t="s">
        <v>834</v>
      </c>
      <c r="P173" s="110" t="s">
        <v>137</v>
      </c>
      <c r="Q173" s="110" t="s">
        <v>97</v>
      </c>
      <c r="R173" s="121">
        <v>2.5640000000000001</v>
      </c>
      <c r="S173" s="113" t="e">
        <f t="shared" si="4"/>
        <v>#VALUE!</v>
      </c>
      <c r="T173" s="113">
        <f t="shared" si="5"/>
        <v>0</v>
      </c>
    </row>
    <row r="174" spans="1:20" s="109" customFormat="1" x14ac:dyDescent="0.2">
      <c r="A174" s="116"/>
      <c r="B174" s="111"/>
      <c r="C174" s="110" t="s">
        <v>835</v>
      </c>
      <c r="D174" s="110" t="s">
        <v>836</v>
      </c>
      <c r="E174" s="112" t="s">
        <v>837</v>
      </c>
      <c r="F174" s="111" t="s">
        <v>126</v>
      </c>
      <c r="G174" s="133">
        <v>155</v>
      </c>
      <c r="H174" s="124"/>
      <c r="I174" s="133" t="str">
        <f>IF(H174&gt;0,(#REF!*H174),"-")</f>
        <v>-</v>
      </c>
      <c r="J174" s="113">
        <v>558</v>
      </c>
      <c r="K174" s="110" t="s">
        <v>127</v>
      </c>
      <c r="L174" s="110" t="s">
        <v>128</v>
      </c>
      <c r="M174" s="110" t="s">
        <v>129</v>
      </c>
      <c r="N174" s="110" t="s">
        <v>130</v>
      </c>
      <c r="O174" s="110" t="s">
        <v>838</v>
      </c>
      <c r="P174" s="110" t="s">
        <v>132</v>
      </c>
      <c r="Q174" s="110" t="s">
        <v>97</v>
      </c>
      <c r="R174" s="121">
        <v>0.55900000000000005</v>
      </c>
      <c r="S174" s="113" t="e">
        <f t="shared" si="4"/>
        <v>#VALUE!</v>
      </c>
      <c r="T174" s="113">
        <f t="shared" si="5"/>
        <v>0</v>
      </c>
    </row>
    <row r="175" spans="1:20" s="109" customFormat="1" x14ac:dyDescent="0.2">
      <c r="A175" s="116"/>
      <c r="B175" s="111"/>
      <c r="C175" s="110" t="s">
        <v>839</v>
      </c>
      <c r="D175" s="110" t="s">
        <v>840</v>
      </c>
      <c r="E175" s="112" t="s">
        <v>841</v>
      </c>
      <c r="F175" s="111" t="s">
        <v>126</v>
      </c>
      <c r="G175" s="133">
        <v>155</v>
      </c>
      <c r="H175" s="124"/>
      <c r="I175" s="133" t="str">
        <f>IF(H175&gt;0,(#REF!*H175),"-")</f>
        <v>-</v>
      </c>
      <c r="J175" s="113">
        <v>558</v>
      </c>
      <c r="K175" s="110" t="s">
        <v>127</v>
      </c>
      <c r="L175" s="110" t="s">
        <v>128</v>
      </c>
      <c r="M175" s="110" t="s">
        <v>129</v>
      </c>
      <c r="N175" s="110" t="s">
        <v>130</v>
      </c>
      <c r="O175" s="110" t="s">
        <v>842</v>
      </c>
      <c r="P175" s="110" t="s">
        <v>132</v>
      </c>
      <c r="Q175" s="110" t="s">
        <v>97</v>
      </c>
      <c r="R175" s="121">
        <v>0.55900000000000005</v>
      </c>
      <c r="S175" s="113" t="e">
        <f t="shared" si="4"/>
        <v>#VALUE!</v>
      </c>
      <c r="T175" s="113">
        <f t="shared" si="5"/>
        <v>0</v>
      </c>
    </row>
    <row r="176" spans="1:20" s="109" customFormat="1" x14ac:dyDescent="0.2">
      <c r="A176" s="116"/>
      <c r="B176" s="111"/>
      <c r="C176" s="110" t="s">
        <v>843</v>
      </c>
      <c r="D176" s="110" t="s">
        <v>844</v>
      </c>
      <c r="E176" s="112" t="s">
        <v>845</v>
      </c>
      <c r="F176" s="111" t="s">
        <v>126</v>
      </c>
      <c r="G176" s="133">
        <v>310</v>
      </c>
      <c r="H176" s="124"/>
      <c r="I176" s="133" t="str">
        <f>IF(H176&gt;0,(#REF!*H176),"-")</f>
        <v>-</v>
      </c>
      <c r="J176" s="113">
        <v>7508</v>
      </c>
      <c r="K176" s="110" t="s">
        <v>127</v>
      </c>
      <c r="L176" s="110" t="s">
        <v>128</v>
      </c>
      <c r="M176" s="110" t="s">
        <v>129</v>
      </c>
      <c r="N176" s="110" t="s">
        <v>130</v>
      </c>
      <c r="O176" s="110" t="s">
        <v>846</v>
      </c>
      <c r="P176" s="110" t="s">
        <v>137</v>
      </c>
      <c r="Q176" s="110" t="s">
        <v>96</v>
      </c>
      <c r="R176" s="121">
        <v>1.7</v>
      </c>
      <c r="S176" s="113" t="e">
        <f t="shared" si="4"/>
        <v>#VALUE!</v>
      </c>
      <c r="T176" s="113">
        <f t="shared" si="5"/>
        <v>0</v>
      </c>
    </row>
    <row r="177" spans="1:20" s="109" customFormat="1" x14ac:dyDescent="0.2">
      <c r="A177" s="116"/>
      <c r="B177" s="111"/>
      <c r="C177" s="110" t="s">
        <v>847</v>
      </c>
      <c r="D177" s="110" t="s">
        <v>848</v>
      </c>
      <c r="E177" s="112" t="s">
        <v>849</v>
      </c>
      <c r="F177" s="111" t="s">
        <v>126</v>
      </c>
      <c r="G177" s="133">
        <v>310</v>
      </c>
      <c r="H177" s="124"/>
      <c r="I177" s="133" t="str">
        <f>IF(H177&gt;0,(#REF!*H177),"-")</f>
        <v>-</v>
      </c>
      <c r="J177" s="113">
        <v>7508</v>
      </c>
      <c r="K177" s="110" t="s">
        <v>127</v>
      </c>
      <c r="L177" s="110" t="s">
        <v>128</v>
      </c>
      <c r="M177" s="110" t="s">
        <v>129</v>
      </c>
      <c r="N177" s="110" t="s">
        <v>130</v>
      </c>
      <c r="O177" s="110" t="s">
        <v>850</v>
      </c>
      <c r="P177" s="110" t="s">
        <v>137</v>
      </c>
      <c r="Q177" s="110" t="s">
        <v>97</v>
      </c>
      <c r="R177" s="121">
        <v>1.7</v>
      </c>
      <c r="S177" s="113" t="e">
        <f t="shared" si="4"/>
        <v>#VALUE!</v>
      </c>
      <c r="T177" s="113">
        <f t="shared" si="5"/>
        <v>0</v>
      </c>
    </row>
    <row r="178" spans="1:20" s="109" customFormat="1" x14ac:dyDescent="0.2">
      <c r="A178" s="116"/>
      <c r="B178" s="111"/>
      <c r="C178" s="110" t="s">
        <v>851</v>
      </c>
      <c r="D178" s="110" t="s">
        <v>852</v>
      </c>
      <c r="E178" s="112" t="s">
        <v>853</v>
      </c>
      <c r="F178" s="111" t="s">
        <v>126</v>
      </c>
      <c r="G178" s="133">
        <v>125</v>
      </c>
      <c r="H178" s="124"/>
      <c r="I178" s="133" t="str">
        <f>IF(H178&gt;0,(#REF!*H178),"-")</f>
        <v>-</v>
      </c>
      <c r="J178" s="113">
        <v>826</v>
      </c>
      <c r="K178" s="110" t="s">
        <v>127</v>
      </c>
      <c r="L178" s="110" t="s">
        <v>128</v>
      </c>
      <c r="M178" s="110" t="s">
        <v>129</v>
      </c>
      <c r="N178" s="110" t="s">
        <v>130</v>
      </c>
      <c r="O178" s="110" t="s">
        <v>854</v>
      </c>
      <c r="P178" s="110" t="s">
        <v>132</v>
      </c>
      <c r="Q178" s="110" t="s">
        <v>97</v>
      </c>
      <c r="R178" s="121">
        <v>0.74790000000000001</v>
      </c>
      <c r="S178" s="113" t="e">
        <f t="shared" si="4"/>
        <v>#VALUE!</v>
      </c>
      <c r="T178" s="113">
        <f t="shared" si="5"/>
        <v>0</v>
      </c>
    </row>
    <row r="179" spans="1:20" s="109" customFormat="1" x14ac:dyDescent="0.2">
      <c r="A179" s="116"/>
      <c r="B179" s="111"/>
      <c r="C179" s="110" t="s">
        <v>851</v>
      </c>
      <c r="D179" s="110" t="s">
        <v>855</v>
      </c>
      <c r="E179" s="112" t="s">
        <v>856</v>
      </c>
      <c r="F179" s="111" t="s">
        <v>126</v>
      </c>
      <c r="G179" s="133">
        <v>125</v>
      </c>
      <c r="H179" s="124"/>
      <c r="I179" s="133" t="str">
        <f>IF(H179&gt;0,(#REF!*H179),"-")</f>
        <v>-</v>
      </c>
      <c r="J179" s="113">
        <v>826</v>
      </c>
      <c r="K179" s="110" t="s">
        <v>127</v>
      </c>
      <c r="L179" s="110" t="s">
        <v>128</v>
      </c>
      <c r="M179" s="110" t="s">
        <v>129</v>
      </c>
      <c r="N179" s="110" t="s">
        <v>130</v>
      </c>
      <c r="O179" s="110" t="s">
        <v>857</v>
      </c>
      <c r="P179" s="110" t="s">
        <v>132</v>
      </c>
      <c r="Q179" s="110" t="s">
        <v>97</v>
      </c>
      <c r="R179" s="121">
        <v>0.74790000000000001</v>
      </c>
      <c r="S179" s="113" t="e">
        <f t="shared" si="4"/>
        <v>#VALUE!</v>
      </c>
      <c r="T179" s="113">
        <f t="shared" si="5"/>
        <v>0</v>
      </c>
    </row>
    <row r="180" spans="1:20" s="109" customFormat="1" x14ac:dyDescent="0.2">
      <c r="A180" s="116"/>
      <c r="B180" s="111" t="s">
        <v>207</v>
      </c>
      <c r="C180" s="110" t="s">
        <v>858</v>
      </c>
      <c r="D180" s="110" t="s">
        <v>859</v>
      </c>
      <c r="E180" s="112" t="s">
        <v>860</v>
      </c>
      <c r="F180" s="111" t="s">
        <v>130</v>
      </c>
      <c r="G180" s="133">
        <v>590</v>
      </c>
      <c r="H180" s="124"/>
      <c r="I180" s="133" t="str">
        <f>IF(H180&gt;0,(#REF!*H180),"-")</f>
        <v>-</v>
      </c>
      <c r="J180" s="113">
        <v>12516</v>
      </c>
      <c r="K180" s="110" t="s">
        <v>127</v>
      </c>
      <c r="L180" s="110" t="s">
        <v>128</v>
      </c>
      <c r="M180" s="110" t="s">
        <v>129</v>
      </c>
      <c r="N180" s="110" t="s">
        <v>130</v>
      </c>
      <c r="O180" s="110" t="s">
        <v>861</v>
      </c>
      <c r="P180" s="110" t="s">
        <v>589</v>
      </c>
      <c r="Q180" s="110" t="s">
        <v>96</v>
      </c>
      <c r="R180" s="121">
        <v>2.66</v>
      </c>
      <c r="S180" s="113" t="e">
        <f t="shared" si="4"/>
        <v>#VALUE!</v>
      </c>
      <c r="T180" s="113">
        <f t="shared" si="5"/>
        <v>0</v>
      </c>
    </row>
    <row r="181" spans="1:20" s="109" customFormat="1" x14ac:dyDescent="0.2">
      <c r="A181" s="116"/>
      <c r="B181" s="111" t="s">
        <v>289</v>
      </c>
      <c r="C181" s="110" t="s">
        <v>862</v>
      </c>
      <c r="D181" s="110" t="s">
        <v>863</v>
      </c>
      <c r="E181" s="112" t="s">
        <v>864</v>
      </c>
      <c r="F181" s="111" t="s">
        <v>130</v>
      </c>
      <c r="G181" s="133">
        <v>215</v>
      </c>
      <c r="H181" s="124"/>
      <c r="I181" s="133" t="str">
        <f>IF(H181&gt;0,(#REF!*H181),"-")</f>
        <v>-</v>
      </c>
      <c r="J181" s="113">
        <v>1341</v>
      </c>
      <c r="K181" s="110" t="s">
        <v>127</v>
      </c>
      <c r="L181" s="110" t="s">
        <v>128</v>
      </c>
      <c r="M181" s="110" t="s">
        <v>129</v>
      </c>
      <c r="N181" s="110" t="s">
        <v>130</v>
      </c>
      <c r="O181" s="110" t="s">
        <v>865</v>
      </c>
      <c r="P181" s="110" t="s">
        <v>132</v>
      </c>
      <c r="Q181" s="110" t="s">
        <v>97</v>
      </c>
      <c r="R181" s="121">
        <v>1.236</v>
      </c>
      <c r="S181" s="113" t="e">
        <f t="shared" si="4"/>
        <v>#VALUE!</v>
      </c>
      <c r="T181" s="113">
        <f t="shared" si="5"/>
        <v>0</v>
      </c>
    </row>
    <row r="182" spans="1:20" s="109" customFormat="1" x14ac:dyDescent="0.2">
      <c r="A182" s="116"/>
      <c r="B182" s="111" t="s">
        <v>289</v>
      </c>
      <c r="C182" s="110" t="s">
        <v>866</v>
      </c>
      <c r="D182" s="110" t="s">
        <v>867</v>
      </c>
      <c r="E182" s="112" t="s">
        <v>868</v>
      </c>
      <c r="F182" s="111" t="s">
        <v>130</v>
      </c>
      <c r="G182" s="133">
        <v>300</v>
      </c>
      <c r="H182" s="124"/>
      <c r="I182" s="133" t="str">
        <f>IF(H182&gt;0,(#REF!*H182),"-")</f>
        <v>-</v>
      </c>
      <c r="J182" s="113">
        <v>5100</v>
      </c>
      <c r="K182" s="110" t="s">
        <v>127</v>
      </c>
      <c r="L182" s="110" t="s">
        <v>128</v>
      </c>
      <c r="M182" s="110" t="s">
        <v>129</v>
      </c>
      <c r="N182" s="110" t="s">
        <v>130</v>
      </c>
      <c r="O182" s="110" t="s">
        <v>869</v>
      </c>
      <c r="P182" s="110" t="s">
        <v>589</v>
      </c>
      <c r="Q182" s="110" t="s">
        <v>96</v>
      </c>
      <c r="R182" s="121">
        <v>1.0612999999999999</v>
      </c>
      <c r="S182" s="113" t="e">
        <f t="shared" si="4"/>
        <v>#VALUE!</v>
      </c>
      <c r="T182" s="113">
        <f t="shared" si="5"/>
        <v>0</v>
      </c>
    </row>
    <row r="183" spans="1:20" s="109" customFormat="1" x14ac:dyDescent="0.2">
      <c r="A183" s="116"/>
      <c r="B183" s="111" t="s">
        <v>289</v>
      </c>
      <c r="C183" s="110" t="s">
        <v>870</v>
      </c>
      <c r="D183" s="110" t="s">
        <v>871</v>
      </c>
      <c r="E183" s="112" t="s">
        <v>872</v>
      </c>
      <c r="F183" s="111" t="s">
        <v>130</v>
      </c>
      <c r="G183" s="133">
        <v>282</v>
      </c>
      <c r="H183" s="124"/>
      <c r="I183" s="133" t="str">
        <f>IF(H183&gt;0,(#REF!*H183),"-")</f>
        <v>-</v>
      </c>
      <c r="J183" s="113">
        <v>5100</v>
      </c>
      <c r="K183" s="110" t="s">
        <v>127</v>
      </c>
      <c r="L183" s="110" t="s">
        <v>128</v>
      </c>
      <c r="M183" s="110" t="s">
        <v>129</v>
      </c>
      <c r="N183" s="110" t="s">
        <v>130</v>
      </c>
      <c r="O183" s="110" t="s">
        <v>873</v>
      </c>
      <c r="P183" s="110" t="s">
        <v>589</v>
      </c>
      <c r="Q183" s="110" t="s">
        <v>96</v>
      </c>
      <c r="R183" s="121">
        <v>1.077</v>
      </c>
      <c r="S183" s="113" t="e">
        <f t="shared" si="4"/>
        <v>#VALUE!</v>
      </c>
      <c r="T183" s="113">
        <f t="shared" si="5"/>
        <v>0</v>
      </c>
    </row>
    <row r="184" spans="1:20" s="109" customFormat="1" x14ac:dyDescent="0.2">
      <c r="A184" s="116"/>
      <c r="B184" s="111" t="s">
        <v>289</v>
      </c>
      <c r="C184" s="110" t="s">
        <v>874</v>
      </c>
      <c r="D184" s="110" t="s">
        <v>875</v>
      </c>
      <c r="E184" s="112" t="s">
        <v>876</v>
      </c>
      <c r="F184" s="111" t="s">
        <v>130</v>
      </c>
      <c r="G184" s="133">
        <v>300</v>
      </c>
      <c r="H184" s="124"/>
      <c r="I184" s="133" t="str">
        <f>IF(H184&gt;0,(#REF!*H184),"-")</f>
        <v>-</v>
      </c>
      <c r="J184" s="113">
        <v>5100</v>
      </c>
      <c r="K184" s="110" t="s">
        <v>127</v>
      </c>
      <c r="L184" s="110" t="s">
        <v>128</v>
      </c>
      <c r="M184" s="110" t="s">
        <v>129</v>
      </c>
      <c r="N184" s="110" t="s">
        <v>130</v>
      </c>
      <c r="O184" s="110" t="s">
        <v>877</v>
      </c>
      <c r="P184" s="110" t="s">
        <v>589</v>
      </c>
      <c r="Q184" s="110" t="s">
        <v>96</v>
      </c>
      <c r="R184" s="121">
        <v>1.0549999999999999</v>
      </c>
      <c r="S184" s="113" t="e">
        <f t="shared" si="4"/>
        <v>#VALUE!</v>
      </c>
      <c r="T184" s="113">
        <f t="shared" si="5"/>
        <v>0</v>
      </c>
    </row>
    <row r="185" spans="1:20" s="109" customFormat="1" x14ac:dyDescent="0.2">
      <c r="A185" s="116"/>
      <c r="B185" s="111" t="s">
        <v>289</v>
      </c>
      <c r="C185" s="110" t="s">
        <v>878</v>
      </c>
      <c r="D185" s="110" t="s">
        <v>879</v>
      </c>
      <c r="E185" s="112" t="s">
        <v>880</v>
      </c>
      <c r="F185" s="111" t="s">
        <v>130</v>
      </c>
      <c r="G185" s="133">
        <v>150</v>
      </c>
      <c r="H185" s="124"/>
      <c r="I185" s="133" t="str">
        <f>IF(H185&gt;0,(#REF!*H185),"-")</f>
        <v>-</v>
      </c>
      <c r="J185" s="113">
        <v>1860</v>
      </c>
      <c r="K185" s="110" t="s">
        <v>127</v>
      </c>
      <c r="L185" s="110" t="s">
        <v>128</v>
      </c>
      <c r="M185" s="110" t="s">
        <v>129</v>
      </c>
      <c r="N185" s="110" t="s">
        <v>130</v>
      </c>
      <c r="O185" s="110" t="s">
        <v>881</v>
      </c>
      <c r="P185" s="110" t="s">
        <v>589</v>
      </c>
      <c r="Q185" s="110" t="s">
        <v>96</v>
      </c>
      <c r="R185" s="121">
        <v>0.50800000000000001</v>
      </c>
      <c r="S185" s="113" t="e">
        <f t="shared" si="4"/>
        <v>#VALUE!</v>
      </c>
      <c r="T185" s="113">
        <f t="shared" si="5"/>
        <v>0</v>
      </c>
    </row>
    <row r="186" spans="1:20" s="109" customFormat="1" x14ac:dyDescent="0.2">
      <c r="A186" s="116"/>
      <c r="B186" s="111" t="s">
        <v>289</v>
      </c>
      <c r="C186" s="110" t="s">
        <v>882</v>
      </c>
      <c r="D186" s="110" t="s">
        <v>883</v>
      </c>
      <c r="E186" s="112" t="s">
        <v>884</v>
      </c>
      <c r="F186" s="111" t="s">
        <v>130</v>
      </c>
      <c r="G186" s="133">
        <v>150</v>
      </c>
      <c r="H186" s="124"/>
      <c r="I186" s="133" t="str">
        <f>IF(H186&gt;0,(#REF!*H186),"-")</f>
        <v>-</v>
      </c>
      <c r="J186" s="113">
        <v>2054</v>
      </c>
      <c r="K186" s="110" t="s">
        <v>127</v>
      </c>
      <c r="L186" s="110" t="s">
        <v>128</v>
      </c>
      <c r="M186" s="110" t="s">
        <v>129</v>
      </c>
      <c r="N186" s="110" t="s">
        <v>130</v>
      </c>
      <c r="O186" s="110" t="s">
        <v>885</v>
      </c>
      <c r="P186" s="110" t="s">
        <v>589</v>
      </c>
      <c r="Q186" s="110" t="s">
        <v>96</v>
      </c>
      <c r="R186" s="121">
        <v>0.51</v>
      </c>
      <c r="S186" s="113" t="e">
        <f t="shared" si="4"/>
        <v>#VALUE!</v>
      </c>
      <c r="T186" s="113">
        <f t="shared" si="5"/>
        <v>0</v>
      </c>
    </row>
    <row r="187" spans="1:20" s="109" customFormat="1" x14ac:dyDescent="0.2">
      <c r="A187" s="116"/>
      <c r="B187" s="111"/>
      <c r="C187" s="110" t="s">
        <v>886</v>
      </c>
      <c r="D187" s="110" t="s">
        <v>887</v>
      </c>
      <c r="E187" s="112" t="s">
        <v>888</v>
      </c>
      <c r="F187" s="111" t="s">
        <v>126</v>
      </c>
      <c r="G187" s="133">
        <v>60</v>
      </c>
      <c r="H187" s="124"/>
      <c r="I187" s="133" t="str">
        <f>IF(H187&gt;0,(#REF!*H187),"-")</f>
        <v>-</v>
      </c>
      <c r="J187" s="113">
        <v>185</v>
      </c>
      <c r="K187" s="110" t="s">
        <v>127</v>
      </c>
      <c r="L187" s="110" t="s">
        <v>128</v>
      </c>
      <c r="M187" s="110" t="s">
        <v>129</v>
      </c>
      <c r="N187" s="110" t="s">
        <v>130</v>
      </c>
      <c r="O187" s="110" t="s">
        <v>889</v>
      </c>
      <c r="P187" s="110" t="s">
        <v>400</v>
      </c>
      <c r="Q187" s="110" t="s">
        <v>97</v>
      </c>
      <c r="R187" s="121">
        <v>0.112</v>
      </c>
      <c r="S187" s="113" t="e">
        <f t="shared" si="4"/>
        <v>#VALUE!</v>
      </c>
      <c r="T187" s="113">
        <f t="shared" si="5"/>
        <v>0</v>
      </c>
    </row>
    <row r="188" spans="1:20" s="109" customFormat="1" x14ac:dyDescent="0.2">
      <c r="A188" s="116"/>
      <c r="B188" s="111" t="s">
        <v>289</v>
      </c>
      <c r="C188" s="110" t="s">
        <v>890</v>
      </c>
      <c r="D188" s="110" t="s">
        <v>891</v>
      </c>
      <c r="E188" s="112" t="s">
        <v>892</v>
      </c>
      <c r="F188" s="111" t="s">
        <v>130</v>
      </c>
      <c r="G188" s="133">
        <v>30</v>
      </c>
      <c r="H188" s="124"/>
      <c r="I188" s="133" t="str">
        <f>IF(H188&gt;0,(#REF!*H188),"-")</f>
        <v>-</v>
      </c>
      <c r="J188" s="113">
        <v>1670</v>
      </c>
      <c r="K188" s="110" t="s">
        <v>127</v>
      </c>
      <c r="L188" s="110" t="s">
        <v>128</v>
      </c>
      <c r="M188" s="110" t="s">
        <v>129</v>
      </c>
      <c r="N188" s="110" t="s">
        <v>130</v>
      </c>
      <c r="O188" s="110" t="s">
        <v>893</v>
      </c>
      <c r="P188" s="110" t="s">
        <v>132</v>
      </c>
      <c r="Q188" s="110" t="s">
        <v>96</v>
      </c>
      <c r="R188" s="121">
        <v>0.46679999999999999</v>
      </c>
      <c r="S188" s="113" t="e">
        <f t="shared" si="4"/>
        <v>#VALUE!</v>
      </c>
      <c r="T188" s="113">
        <f t="shared" si="5"/>
        <v>0</v>
      </c>
    </row>
    <row r="189" spans="1:20" s="109" customFormat="1" x14ac:dyDescent="0.2">
      <c r="A189" s="116"/>
      <c r="B189" s="111" t="s">
        <v>289</v>
      </c>
      <c r="C189" s="110" t="s">
        <v>894</v>
      </c>
      <c r="D189" s="110" t="s">
        <v>895</v>
      </c>
      <c r="E189" s="112" t="s">
        <v>896</v>
      </c>
      <c r="F189" s="111" t="s">
        <v>130</v>
      </c>
      <c r="G189" s="133">
        <v>30</v>
      </c>
      <c r="H189" s="124"/>
      <c r="I189" s="133" t="str">
        <f>IF(H189&gt;0,(#REF!*H189),"-")</f>
        <v>-</v>
      </c>
      <c r="J189" s="113">
        <v>1670</v>
      </c>
      <c r="K189" s="110" t="s">
        <v>127</v>
      </c>
      <c r="L189" s="110" t="s">
        <v>128</v>
      </c>
      <c r="M189" s="110" t="s">
        <v>129</v>
      </c>
      <c r="N189" s="110" t="s">
        <v>130</v>
      </c>
      <c r="O189" s="110" t="s">
        <v>897</v>
      </c>
      <c r="P189" s="110" t="s">
        <v>132</v>
      </c>
      <c r="Q189" s="110" t="s">
        <v>96</v>
      </c>
      <c r="R189" s="121">
        <v>0.46679999999999999</v>
      </c>
      <c r="S189" s="113" t="e">
        <f t="shared" si="4"/>
        <v>#VALUE!</v>
      </c>
      <c r="T189" s="113">
        <f t="shared" si="5"/>
        <v>0</v>
      </c>
    </row>
    <row r="190" spans="1:20" s="109" customFormat="1" x14ac:dyDescent="0.2">
      <c r="A190" s="116"/>
      <c r="B190" s="111" t="s">
        <v>289</v>
      </c>
      <c r="C190" s="110" t="s">
        <v>898</v>
      </c>
      <c r="D190" s="110" t="s">
        <v>899</v>
      </c>
      <c r="E190" s="112" t="s">
        <v>900</v>
      </c>
      <c r="F190" s="111" t="s">
        <v>130</v>
      </c>
      <c r="G190" s="133">
        <v>30</v>
      </c>
      <c r="H190" s="124"/>
      <c r="I190" s="133" t="str">
        <f>IF(H190&gt;0,(#REF!*H190),"-")</f>
        <v>-</v>
      </c>
      <c r="J190" s="113">
        <v>1670</v>
      </c>
      <c r="K190" s="110" t="s">
        <v>127</v>
      </c>
      <c r="L190" s="110" t="s">
        <v>128</v>
      </c>
      <c r="M190" s="110" t="s">
        <v>129</v>
      </c>
      <c r="N190" s="110" t="s">
        <v>130</v>
      </c>
      <c r="O190" s="110" t="s">
        <v>901</v>
      </c>
      <c r="P190" s="110" t="s">
        <v>132</v>
      </c>
      <c r="Q190" s="110" t="s">
        <v>96</v>
      </c>
      <c r="R190" s="121">
        <v>0.46679999999999999</v>
      </c>
      <c r="S190" s="113" t="e">
        <f t="shared" si="4"/>
        <v>#VALUE!</v>
      </c>
      <c r="T190" s="113">
        <f t="shared" si="5"/>
        <v>0</v>
      </c>
    </row>
    <row r="191" spans="1:20" s="109" customFormat="1" x14ac:dyDescent="0.2">
      <c r="A191" s="116"/>
      <c r="B191" s="111"/>
      <c r="C191" s="110" t="s">
        <v>902</v>
      </c>
      <c r="D191" s="110" t="s">
        <v>903</v>
      </c>
      <c r="E191" s="112" t="s">
        <v>904</v>
      </c>
      <c r="F191" s="111" t="s">
        <v>126</v>
      </c>
      <c r="G191" s="133">
        <v>125</v>
      </c>
      <c r="H191" s="124"/>
      <c r="I191" s="133" t="str">
        <f>IF(H191&gt;0,(#REF!*H191),"-")</f>
        <v>-</v>
      </c>
      <c r="J191" s="113">
        <v>715</v>
      </c>
      <c r="K191" s="110" t="s">
        <v>127</v>
      </c>
      <c r="L191" s="110" t="s">
        <v>128</v>
      </c>
      <c r="M191" s="110" t="s">
        <v>129</v>
      </c>
      <c r="N191" s="110" t="s">
        <v>130</v>
      </c>
      <c r="O191" s="110" t="s">
        <v>905</v>
      </c>
      <c r="P191" s="110" t="s">
        <v>132</v>
      </c>
      <c r="Q191" s="110" t="s">
        <v>97</v>
      </c>
      <c r="R191" s="121">
        <v>0.68700000000000006</v>
      </c>
      <c r="S191" s="113" t="e">
        <f t="shared" si="4"/>
        <v>#VALUE!</v>
      </c>
      <c r="T191" s="113">
        <f t="shared" si="5"/>
        <v>0</v>
      </c>
    </row>
    <row r="192" spans="1:20" s="109" customFormat="1" x14ac:dyDescent="0.2">
      <c r="A192" s="116"/>
      <c r="B192" s="111"/>
      <c r="C192" s="110" t="s">
        <v>902</v>
      </c>
      <c r="D192" s="110" t="s">
        <v>906</v>
      </c>
      <c r="E192" s="112" t="s">
        <v>907</v>
      </c>
      <c r="F192" s="111" t="s">
        <v>126</v>
      </c>
      <c r="G192" s="133">
        <v>125</v>
      </c>
      <c r="H192" s="124"/>
      <c r="I192" s="133" t="str">
        <f>IF(H192&gt;0,(#REF!*H192),"-")</f>
        <v>-</v>
      </c>
      <c r="J192" s="113">
        <v>715</v>
      </c>
      <c r="K192" s="110" t="s">
        <v>127</v>
      </c>
      <c r="L192" s="110" t="s">
        <v>128</v>
      </c>
      <c r="M192" s="110" t="s">
        <v>129</v>
      </c>
      <c r="N192" s="110" t="s">
        <v>130</v>
      </c>
      <c r="O192" s="110" t="s">
        <v>908</v>
      </c>
      <c r="P192" s="110" t="s">
        <v>132</v>
      </c>
      <c r="Q192" s="110" t="s">
        <v>97</v>
      </c>
      <c r="R192" s="121">
        <v>0.68700000000000006</v>
      </c>
      <c r="S192" s="113" t="e">
        <f t="shared" si="4"/>
        <v>#VALUE!</v>
      </c>
      <c r="T192" s="113">
        <f t="shared" si="5"/>
        <v>0</v>
      </c>
    </row>
    <row r="193" spans="1:20" s="109" customFormat="1" x14ac:dyDescent="0.2">
      <c r="A193" s="116"/>
      <c r="B193" s="111"/>
      <c r="C193" s="110" t="s">
        <v>909</v>
      </c>
      <c r="D193" s="110" t="s">
        <v>910</v>
      </c>
      <c r="E193" s="112" t="s">
        <v>911</v>
      </c>
      <c r="F193" s="111" t="s">
        <v>126</v>
      </c>
      <c r="G193" s="133">
        <v>370</v>
      </c>
      <c r="H193" s="124"/>
      <c r="I193" s="133" t="str">
        <f>IF(H193&gt;0,(#REF!*H193),"-")</f>
        <v>-</v>
      </c>
      <c r="J193" s="113">
        <v>7285</v>
      </c>
      <c r="K193" s="110" t="s">
        <v>127</v>
      </c>
      <c r="L193" s="110" t="s">
        <v>128</v>
      </c>
      <c r="M193" s="110" t="s">
        <v>129</v>
      </c>
      <c r="N193" s="110" t="s">
        <v>130</v>
      </c>
      <c r="O193" s="110" t="s">
        <v>912</v>
      </c>
      <c r="P193" s="110" t="s">
        <v>400</v>
      </c>
      <c r="Q193" s="110" t="s">
        <v>97</v>
      </c>
      <c r="R193" s="121">
        <v>1.98</v>
      </c>
      <c r="S193" s="113" t="e">
        <f t="shared" si="4"/>
        <v>#VALUE!</v>
      </c>
      <c r="T193" s="113">
        <f t="shared" si="5"/>
        <v>0</v>
      </c>
    </row>
    <row r="194" spans="1:20" s="109" customFormat="1" x14ac:dyDescent="0.2">
      <c r="A194" s="116"/>
      <c r="B194" s="111"/>
      <c r="C194" s="110" t="s">
        <v>913</v>
      </c>
      <c r="D194" s="110" t="s">
        <v>914</v>
      </c>
      <c r="E194" s="112" t="s">
        <v>915</v>
      </c>
      <c r="F194" s="111" t="s">
        <v>126</v>
      </c>
      <c r="G194" s="133">
        <v>370</v>
      </c>
      <c r="H194" s="124"/>
      <c r="I194" s="133" t="str">
        <f>IF(H194&gt;0,(#REF!*H194),"-")</f>
        <v>-</v>
      </c>
      <c r="J194" s="113">
        <v>7285</v>
      </c>
      <c r="K194" s="110" t="s">
        <v>127</v>
      </c>
      <c r="L194" s="110" t="s">
        <v>128</v>
      </c>
      <c r="M194" s="110" t="s">
        <v>129</v>
      </c>
      <c r="N194" s="110" t="s">
        <v>130</v>
      </c>
      <c r="O194" s="110" t="s">
        <v>916</v>
      </c>
      <c r="P194" s="110" t="s">
        <v>400</v>
      </c>
      <c r="Q194" s="110" t="s">
        <v>97</v>
      </c>
      <c r="R194" s="121">
        <v>1.98</v>
      </c>
      <c r="S194" s="113" t="e">
        <f t="shared" ref="S194:S257" si="6">Q194*H194</f>
        <v>#VALUE!</v>
      </c>
      <c r="T194" s="113">
        <f t="shared" ref="T194:T257" si="7">R194*H194</f>
        <v>0</v>
      </c>
    </row>
    <row r="195" spans="1:20" s="109" customFormat="1" x14ac:dyDescent="0.2">
      <c r="A195" s="116"/>
      <c r="B195" s="111"/>
      <c r="C195" s="110" t="s">
        <v>917</v>
      </c>
      <c r="D195" s="110" t="s">
        <v>918</v>
      </c>
      <c r="E195" s="112" t="s">
        <v>919</v>
      </c>
      <c r="F195" s="111" t="s">
        <v>126</v>
      </c>
      <c r="G195" s="133">
        <v>50</v>
      </c>
      <c r="H195" s="124"/>
      <c r="I195" s="133" t="str">
        <f>IF(H195&gt;0,(#REF!*H195),"-")</f>
        <v>-</v>
      </c>
      <c r="J195" s="113">
        <v>123</v>
      </c>
      <c r="K195" s="110" t="s">
        <v>127</v>
      </c>
      <c r="L195" s="110" t="s">
        <v>128</v>
      </c>
      <c r="M195" s="110" t="s">
        <v>129</v>
      </c>
      <c r="N195" s="110" t="s">
        <v>130</v>
      </c>
      <c r="O195" s="110" t="s">
        <v>920</v>
      </c>
      <c r="P195" s="110" t="s">
        <v>400</v>
      </c>
      <c r="Q195" s="110" t="s">
        <v>97</v>
      </c>
      <c r="R195" s="121">
        <v>8.4000000000000005E-2</v>
      </c>
      <c r="S195" s="113" t="e">
        <f t="shared" si="6"/>
        <v>#VALUE!</v>
      </c>
      <c r="T195" s="113">
        <f t="shared" si="7"/>
        <v>0</v>
      </c>
    </row>
    <row r="196" spans="1:20" s="109" customFormat="1" x14ac:dyDescent="0.2">
      <c r="A196" s="116"/>
      <c r="B196" s="111"/>
      <c r="C196" s="110" t="s">
        <v>921</v>
      </c>
      <c r="D196" s="110" t="s">
        <v>922</v>
      </c>
      <c r="E196" s="112" t="s">
        <v>923</v>
      </c>
      <c r="F196" s="111" t="s">
        <v>126</v>
      </c>
      <c r="G196" s="133">
        <v>185</v>
      </c>
      <c r="H196" s="124"/>
      <c r="I196" s="133" t="str">
        <f>IF(H196&gt;0,(#REF!*H196),"-")</f>
        <v>-</v>
      </c>
      <c r="J196" s="113">
        <v>1042</v>
      </c>
      <c r="K196" s="110" t="s">
        <v>127</v>
      </c>
      <c r="L196" s="110" t="s">
        <v>128</v>
      </c>
      <c r="M196" s="110" t="s">
        <v>129</v>
      </c>
      <c r="N196" s="110" t="s">
        <v>130</v>
      </c>
      <c r="O196" s="110" t="s">
        <v>924</v>
      </c>
      <c r="P196" s="110" t="s">
        <v>132</v>
      </c>
      <c r="Q196" s="110" t="s">
        <v>97</v>
      </c>
      <c r="R196" s="121">
        <v>0.94199999999999995</v>
      </c>
      <c r="S196" s="113" t="e">
        <f t="shared" si="6"/>
        <v>#VALUE!</v>
      </c>
      <c r="T196" s="113">
        <f t="shared" si="7"/>
        <v>0</v>
      </c>
    </row>
    <row r="197" spans="1:20" s="109" customFormat="1" x14ac:dyDescent="0.2">
      <c r="A197" s="116"/>
      <c r="B197" s="111"/>
      <c r="C197" s="110" t="s">
        <v>925</v>
      </c>
      <c r="D197" s="110" t="s">
        <v>926</v>
      </c>
      <c r="E197" s="112" t="s">
        <v>927</v>
      </c>
      <c r="F197" s="111" t="s">
        <v>126</v>
      </c>
      <c r="G197" s="133">
        <v>155</v>
      </c>
      <c r="H197" s="124"/>
      <c r="I197" s="133" t="str">
        <f>IF(H197&gt;0,(#REF!*H197),"-")</f>
        <v>-</v>
      </c>
      <c r="J197" s="113">
        <v>700</v>
      </c>
      <c r="K197" s="110" t="s">
        <v>127</v>
      </c>
      <c r="L197" s="110" t="s">
        <v>128</v>
      </c>
      <c r="M197" s="110" t="s">
        <v>129</v>
      </c>
      <c r="N197" s="110" t="s">
        <v>130</v>
      </c>
      <c r="O197" s="110" t="s">
        <v>928</v>
      </c>
      <c r="P197" s="110" t="s">
        <v>132</v>
      </c>
      <c r="Q197" s="110" t="s">
        <v>97</v>
      </c>
      <c r="R197" s="121">
        <v>0.59399999999999997</v>
      </c>
      <c r="S197" s="113" t="e">
        <f t="shared" si="6"/>
        <v>#VALUE!</v>
      </c>
      <c r="T197" s="113">
        <f t="shared" si="7"/>
        <v>0</v>
      </c>
    </row>
    <row r="198" spans="1:20" s="109" customFormat="1" x14ac:dyDescent="0.2">
      <c r="A198" s="116"/>
      <c r="B198" s="111"/>
      <c r="C198" s="110" t="s">
        <v>929</v>
      </c>
      <c r="D198" s="110" t="s">
        <v>930</v>
      </c>
      <c r="E198" s="112" t="s">
        <v>931</v>
      </c>
      <c r="F198" s="111" t="s">
        <v>126</v>
      </c>
      <c r="G198" s="133">
        <v>155</v>
      </c>
      <c r="H198" s="124"/>
      <c r="I198" s="133" t="str">
        <f>IF(H198&gt;0,(#REF!*H198),"-")</f>
        <v>-</v>
      </c>
      <c r="J198" s="113">
        <v>706</v>
      </c>
      <c r="K198" s="110" t="s">
        <v>127</v>
      </c>
      <c r="L198" s="110" t="s">
        <v>128</v>
      </c>
      <c r="M198" s="110" t="s">
        <v>129</v>
      </c>
      <c r="N198" s="110" t="s">
        <v>130</v>
      </c>
      <c r="O198" s="110" t="s">
        <v>932</v>
      </c>
      <c r="P198" s="110" t="s">
        <v>132</v>
      </c>
      <c r="Q198" s="110" t="s">
        <v>97</v>
      </c>
      <c r="R198" s="121">
        <v>0.54</v>
      </c>
      <c r="S198" s="113" t="e">
        <f t="shared" si="6"/>
        <v>#VALUE!</v>
      </c>
      <c r="T198" s="113">
        <f t="shared" si="7"/>
        <v>0</v>
      </c>
    </row>
    <row r="199" spans="1:20" s="109" customFormat="1" x14ac:dyDescent="0.2">
      <c r="A199" s="116"/>
      <c r="B199" s="111"/>
      <c r="C199" s="110" t="s">
        <v>933</v>
      </c>
      <c r="D199" s="110" t="s">
        <v>934</v>
      </c>
      <c r="E199" s="112" t="s">
        <v>935</v>
      </c>
      <c r="F199" s="111" t="s">
        <v>126</v>
      </c>
      <c r="G199" s="133">
        <v>155</v>
      </c>
      <c r="H199" s="124"/>
      <c r="I199" s="133" t="str">
        <f>IF(H199&gt;0,(#REF!*H199),"-")</f>
        <v>-</v>
      </c>
      <c r="J199" s="113">
        <v>706</v>
      </c>
      <c r="K199" s="110" t="s">
        <v>127</v>
      </c>
      <c r="L199" s="110" t="s">
        <v>128</v>
      </c>
      <c r="M199" s="110" t="s">
        <v>129</v>
      </c>
      <c r="N199" s="110" t="s">
        <v>130</v>
      </c>
      <c r="O199" s="110" t="s">
        <v>936</v>
      </c>
      <c r="P199" s="110" t="s">
        <v>132</v>
      </c>
      <c r="Q199" s="110" t="s">
        <v>97</v>
      </c>
      <c r="R199" s="121">
        <v>0.51939999999999997</v>
      </c>
      <c r="S199" s="113" t="e">
        <f t="shared" si="6"/>
        <v>#VALUE!</v>
      </c>
      <c r="T199" s="113">
        <f t="shared" si="7"/>
        <v>0</v>
      </c>
    </row>
    <row r="200" spans="1:20" s="109" customFormat="1" x14ac:dyDescent="0.2">
      <c r="A200" s="116"/>
      <c r="B200" s="111"/>
      <c r="C200" s="110" t="s">
        <v>937</v>
      </c>
      <c r="D200" s="110" t="s">
        <v>938</v>
      </c>
      <c r="E200" s="112" t="s">
        <v>939</v>
      </c>
      <c r="F200" s="111" t="s">
        <v>126</v>
      </c>
      <c r="G200" s="133">
        <v>140</v>
      </c>
      <c r="H200" s="124"/>
      <c r="I200" s="133" t="str">
        <f>IF(H200&gt;0,(#REF!*H200),"-")</f>
        <v>-</v>
      </c>
      <c r="J200" s="113">
        <v>1192</v>
      </c>
      <c r="K200" s="110" t="s">
        <v>127</v>
      </c>
      <c r="L200" s="110" t="s">
        <v>128</v>
      </c>
      <c r="M200" s="110" t="s">
        <v>129</v>
      </c>
      <c r="N200" s="110" t="s">
        <v>130</v>
      </c>
      <c r="O200" s="110" t="s">
        <v>940</v>
      </c>
      <c r="P200" s="110" t="s">
        <v>137</v>
      </c>
      <c r="Q200" s="110" t="s">
        <v>97</v>
      </c>
      <c r="R200" s="121">
        <v>0.16600000000000001</v>
      </c>
      <c r="S200" s="113" t="e">
        <f t="shared" si="6"/>
        <v>#VALUE!</v>
      </c>
      <c r="T200" s="113">
        <f t="shared" si="7"/>
        <v>0</v>
      </c>
    </row>
    <row r="201" spans="1:20" s="109" customFormat="1" x14ac:dyDescent="0.2">
      <c r="A201" s="116"/>
      <c r="B201" s="111"/>
      <c r="C201" s="110" t="s">
        <v>941</v>
      </c>
      <c r="D201" s="110" t="s">
        <v>942</v>
      </c>
      <c r="E201" s="112" t="s">
        <v>943</v>
      </c>
      <c r="F201" s="111" t="s">
        <v>126</v>
      </c>
      <c r="G201" s="133">
        <v>50</v>
      </c>
      <c r="H201" s="124"/>
      <c r="I201" s="133" t="str">
        <f>IF(H201&gt;0,(#REF!*H201),"-")</f>
        <v>-</v>
      </c>
      <c r="J201" s="113">
        <v>772</v>
      </c>
      <c r="K201" s="110" t="s">
        <v>127</v>
      </c>
      <c r="L201" s="110" t="s">
        <v>128</v>
      </c>
      <c r="M201" s="110" t="s">
        <v>129</v>
      </c>
      <c r="N201" s="110" t="s">
        <v>944</v>
      </c>
      <c r="O201" s="110" t="s">
        <v>945</v>
      </c>
      <c r="P201" s="110" t="s">
        <v>589</v>
      </c>
      <c r="Q201" s="110" t="s">
        <v>97</v>
      </c>
      <c r="R201" s="121">
        <v>0.42299999999999999</v>
      </c>
      <c r="S201" s="113" t="e">
        <f t="shared" si="6"/>
        <v>#VALUE!</v>
      </c>
      <c r="T201" s="113">
        <f t="shared" si="7"/>
        <v>0</v>
      </c>
    </row>
    <row r="202" spans="1:20" s="109" customFormat="1" x14ac:dyDescent="0.2">
      <c r="A202" s="116"/>
      <c r="B202" s="111"/>
      <c r="C202" s="110" t="s">
        <v>946</v>
      </c>
      <c r="D202" s="110" t="s">
        <v>947</v>
      </c>
      <c r="E202" s="112" t="s">
        <v>948</v>
      </c>
      <c r="F202" s="111" t="s">
        <v>126</v>
      </c>
      <c r="G202" s="133">
        <v>90</v>
      </c>
      <c r="H202" s="124"/>
      <c r="I202" s="133" t="str">
        <f>IF(H202&gt;0,(#REF!*H202),"-")</f>
        <v>-</v>
      </c>
      <c r="J202" s="113">
        <v>499</v>
      </c>
      <c r="K202" s="110" t="s">
        <v>127</v>
      </c>
      <c r="L202" s="110" t="s">
        <v>128</v>
      </c>
      <c r="M202" s="110" t="s">
        <v>129</v>
      </c>
      <c r="N202" s="110" t="s">
        <v>130</v>
      </c>
      <c r="O202" s="110" t="s">
        <v>949</v>
      </c>
      <c r="P202" s="110" t="s">
        <v>132</v>
      </c>
      <c r="Q202" s="110" t="s">
        <v>97</v>
      </c>
      <c r="R202" s="121">
        <v>0.499</v>
      </c>
      <c r="S202" s="113" t="e">
        <f t="shared" si="6"/>
        <v>#VALUE!</v>
      </c>
      <c r="T202" s="113">
        <f t="shared" si="7"/>
        <v>0</v>
      </c>
    </row>
    <row r="203" spans="1:20" s="109" customFormat="1" x14ac:dyDescent="0.2">
      <c r="A203" s="116"/>
      <c r="B203" s="111"/>
      <c r="C203" s="110" t="s">
        <v>950</v>
      </c>
      <c r="D203" s="110" t="s">
        <v>951</v>
      </c>
      <c r="E203" s="112" t="s">
        <v>952</v>
      </c>
      <c r="F203" s="111" t="s">
        <v>126</v>
      </c>
      <c r="G203" s="133">
        <v>90</v>
      </c>
      <c r="H203" s="124"/>
      <c r="I203" s="133" t="str">
        <f>IF(H203&gt;0,(#REF!*H203),"-")</f>
        <v>-</v>
      </c>
      <c r="J203" s="113">
        <v>555</v>
      </c>
      <c r="K203" s="110" t="s">
        <v>127</v>
      </c>
      <c r="L203" s="110" t="s">
        <v>128</v>
      </c>
      <c r="M203" s="110" t="s">
        <v>129</v>
      </c>
      <c r="N203" s="110" t="s">
        <v>130</v>
      </c>
      <c r="O203" s="110" t="s">
        <v>953</v>
      </c>
      <c r="P203" s="110" t="s">
        <v>132</v>
      </c>
      <c r="Q203" s="110" t="s">
        <v>97</v>
      </c>
      <c r="R203" s="121">
        <v>0.55900000000000005</v>
      </c>
      <c r="S203" s="113" t="e">
        <f t="shared" si="6"/>
        <v>#VALUE!</v>
      </c>
      <c r="T203" s="113">
        <f t="shared" si="7"/>
        <v>0</v>
      </c>
    </row>
    <row r="204" spans="1:20" s="109" customFormat="1" x14ac:dyDescent="0.2">
      <c r="A204" s="116"/>
      <c r="B204" s="111" t="s">
        <v>289</v>
      </c>
      <c r="C204" s="110" t="s">
        <v>954</v>
      </c>
      <c r="D204" s="110" t="s">
        <v>955</v>
      </c>
      <c r="E204" s="112" t="s">
        <v>956</v>
      </c>
      <c r="F204" s="111" t="s">
        <v>130</v>
      </c>
      <c r="G204" s="133">
        <v>150</v>
      </c>
      <c r="H204" s="124"/>
      <c r="I204" s="133" t="str">
        <f>IF(H204&gt;0,(#REF!*H204),"-")</f>
        <v>-</v>
      </c>
      <c r="J204" s="113">
        <v>1633</v>
      </c>
      <c r="K204" s="110" t="s">
        <v>127</v>
      </c>
      <c r="L204" s="110" t="s">
        <v>128</v>
      </c>
      <c r="M204" s="110" t="s">
        <v>129</v>
      </c>
      <c r="N204" s="110" t="s">
        <v>130</v>
      </c>
      <c r="O204" s="110" t="s">
        <v>957</v>
      </c>
      <c r="P204" s="110" t="s">
        <v>958</v>
      </c>
      <c r="Q204" s="110" t="s">
        <v>96</v>
      </c>
      <c r="R204" s="121">
        <v>0.44890000000000002</v>
      </c>
      <c r="S204" s="113" t="e">
        <f t="shared" si="6"/>
        <v>#VALUE!</v>
      </c>
      <c r="T204" s="113">
        <f t="shared" si="7"/>
        <v>0</v>
      </c>
    </row>
    <row r="205" spans="1:20" s="109" customFormat="1" x14ac:dyDescent="0.2">
      <c r="A205" s="116"/>
      <c r="B205" s="111" t="s">
        <v>959</v>
      </c>
      <c r="C205" s="110" t="s">
        <v>960</v>
      </c>
      <c r="D205" s="110" t="s">
        <v>961</v>
      </c>
      <c r="E205" s="112" t="s">
        <v>962</v>
      </c>
      <c r="F205" s="111" t="s">
        <v>130</v>
      </c>
      <c r="G205" s="133">
        <v>140</v>
      </c>
      <c r="H205" s="124"/>
      <c r="I205" s="133" t="str">
        <f>IF(H205&gt;0,(#REF!*H205),"-")</f>
        <v>-</v>
      </c>
      <c r="J205" s="113">
        <v>1424</v>
      </c>
      <c r="K205" s="110" t="s">
        <v>127</v>
      </c>
      <c r="L205" s="110" t="s">
        <v>128</v>
      </c>
      <c r="M205" s="110" t="s">
        <v>129</v>
      </c>
      <c r="N205" s="110" t="s">
        <v>130</v>
      </c>
      <c r="O205" s="110" t="s">
        <v>963</v>
      </c>
      <c r="P205" s="110" t="s">
        <v>137</v>
      </c>
      <c r="Q205" s="110" t="s">
        <v>96</v>
      </c>
      <c r="R205" s="121">
        <v>0.15110000000000001</v>
      </c>
      <c r="S205" s="113" t="e">
        <f t="shared" si="6"/>
        <v>#VALUE!</v>
      </c>
      <c r="T205" s="113">
        <f t="shared" si="7"/>
        <v>0</v>
      </c>
    </row>
    <row r="206" spans="1:20" s="109" customFormat="1" x14ac:dyDescent="0.2">
      <c r="A206" s="116"/>
      <c r="B206" s="111"/>
      <c r="C206" s="110" t="s">
        <v>964</v>
      </c>
      <c r="D206" s="110" t="s">
        <v>965</v>
      </c>
      <c r="E206" s="112" t="s">
        <v>966</v>
      </c>
      <c r="F206" s="111" t="s">
        <v>126</v>
      </c>
      <c r="G206" s="133">
        <v>110</v>
      </c>
      <c r="H206" s="124"/>
      <c r="I206" s="133" t="str">
        <f>IF(H206&gt;0,(#REF!*H206),"-")</f>
        <v>-</v>
      </c>
      <c r="J206" s="113">
        <v>2493</v>
      </c>
      <c r="K206" s="110" t="s">
        <v>127</v>
      </c>
      <c r="L206" s="110" t="s">
        <v>128</v>
      </c>
      <c r="M206" s="110" t="s">
        <v>129</v>
      </c>
      <c r="N206" s="110" t="s">
        <v>130</v>
      </c>
      <c r="O206" s="110" t="s">
        <v>967</v>
      </c>
      <c r="P206" s="110" t="s">
        <v>137</v>
      </c>
      <c r="Q206" s="110" t="s">
        <v>97</v>
      </c>
      <c r="R206" s="121">
        <v>0.30099999999999999</v>
      </c>
      <c r="S206" s="113" t="e">
        <f t="shared" si="6"/>
        <v>#VALUE!</v>
      </c>
      <c r="T206" s="113">
        <f t="shared" si="7"/>
        <v>0</v>
      </c>
    </row>
    <row r="207" spans="1:20" s="109" customFormat="1" x14ac:dyDescent="0.2">
      <c r="A207" s="116"/>
      <c r="B207" s="111"/>
      <c r="C207" s="110" t="s">
        <v>968</v>
      </c>
      <c r="D207" s="110" t="s">
        <v>969</v>
      </c>
      <c r="E207" s="112" t="s">
        <v>970</v>
      </c>
      <c r="F207" s="111" t="s">
        <v>126</v>
      </c>
      <c r="G207" s="133">
        <v>1240</v>
      </c>
      <c r="H207" s="124"/>
      <c r="I207" s="133" t="str">
        <f>IF(H207&gt;0,(#REF!*H207),"-")</f>
        <v>-</v>
      </c>
      <c r="J207" s="113">
        <v>49379</v>
      </c>
      <c r="K207" s="110" t="s">
        <v>127</v>
      </c>
      <c r="L207" s="110" t="s">
        <v>128</v>
      </c>
      <c r="M207" s="110" t="s">
        <v>129</v>
      </c>
      <c r="N207" s="110" t="s">
        <v>130</v>
      </c>
      <c r="O207" s="110" t="s">
        <v>971</v>
      </c>
      <c r="P207" s="110" t="s">
        <v>137</v>
      </c>
      <c r="Q207" s="110" t="s">
        <v>97</v>
      </c>
      <c r="R207" s="121">
        <v>14.3</v>
      </c>
      <c r="S207" s="113" t="e">
        <f t="shared" si="6"/>
        <v>#VALUE!</v>
      </c>
      <c r="T207" s="113">
        <f t="shared" si="7"/>
        <v>0</v>
      </c>
    </row>
    <row r="208" spans="1:20" s="109" customFormat="1" x14ac:dyDescent="0.2">
      <c r="A208" s="116"/>
      <c r="B208" s="111"/>
      <c r="C208" s="110" t="s">
        <v>972</v>
      </c>
      <c r="D208" s="110" t="s">
        <v>973</v>
      </c>
      <c r="E208" s="112" t="s">
        <v>974</v>
      </c>
      <c r="F208" s="111" t="s">
        <v>126</v>
      </c>
      <c r="G208" s="133">
        <v>310</v>
      </c>
      <c r="H208" s="124"/>
      <c r="I208" s="133" t="str">
        <f>IF(H208&gt;0,(#REF!*H208),"-")</f>
        <v>-</v>
      </c>
      <c r="J208" s="113">
        <v>9300</v>
      </c>
      <c r="K208" s="110" t="s">
        <v>127</v>
      </c>
      <c r="L208" s="110" t="s">
        <v>128</v>
      </c>
      <c r="M208" s="110" t="s">
        <v>129</v>
      </c>
      <c r="N208" s="110" t="s">
        <v>130</v>
      </c>
      <c r="O208" s="110" t="s">
        <v>975</v>
      </c>
      <c r="P208" s="110" t="s">
        <v>137</v>
      </c>
      <c r="Q208" s="110" t="s">
        <v>97</v>
      </c>
      <c r="R208" s="121">
        <v>3.34</v>
      </c>
      <c r="S208" s="113" t="e">
        <f t="shared" si="6"/>
        <v>#VALUE!</v>
      </c>
      <c r="T208" s="113">
        <f t="shared" si="7"/>
        <v>0</v>
      </c>
    </row>
    <row r="209" spans="1:20" s="109" customFormat="1" x14ac:dyDescent="0.2">
      <c r="A209" s="116"/>
      <c r="B209" s="111"/>
      <c r="C209" s="110" t="s">
        <v>976</v>
      </c>
      <c r="D209" s="110" t="s">
        <v>977</v>
      </c>
      <c r="E209" s="112" t="s">
        <v>978</v>
      </c>
      <c r="F209" s="111" t="s">
        <v>126</v>
      </c>
      <c r="G209" s="133">
        <v>140</v>
      </c>
      <c r="H209" s="124"/>
      <c r="I209" s="133" t="str">
        <f>IF(H209&gt;0,(#REF!*H209),"-")</f>
        <v>-</v>
      </c>
      <c r="J209" s="113">
        <v>1690</v>
      </c>
      <c r="K209" s="110" t="s">
        <v>127</v>
      </c>
      <c r="L209" s="110" t="s">
        <v>128</v>
      </c>
      <c r="M209" s="110" t="s">
        <v>129</v>
      </c>
      <c r="N209" s="110" t="s">
        <v>130</v>
      </c>
      <c r="O209" s="110" t="s">
        <v>979</v>
      </c>
      <c r="P209" s="110" t="s">
        <v>137</v>
      </c>
      <c r="Q209" s="110" t="s">
        <v>97</v>
      </c>
      <c r="R209" s="121">
        <v>0.38</v>
      </c>
      <c r="S209" s="113" t="e">
        <f t="shared" si="6"/>
        <v>#VALUE!</v>
      </c>
      <c r="T209" s="113">
        <f t="shared" si="7"/>
        <v>0</v>
      </c>
    </row>
    <row r="210" spans="1:20" s="109" customFormat="1" x14ac:dyDescent="0.2">
      <c r="A210" s="116"/>
      <c r="B210" s="111"/>
      <c r="C210" s="110" t="s">
        <v>980</v>
      </c>
      <c r="D210" s="110" t="s">
        <v>981</v>
      </c>
      <c r="E210" s="112" t="s">
        <v>982</v>
      </c>
      <c r="F210" s="111" t="s">
        <v>126</v>
      </c>
      <c r="G210" s="133">
        <v>185</v>
      </c>
      <c r="H210" s="124"/>
      <c r="I210" s="133" t="str">
        <f>IF(H210&gt;0,(#REF!*H210),"-")</f>
        <v>-</v>
      </c>
      <c r="J210" s="113">
        <v>2898</v>
      </c>
      <c r="K210" s="110" t="s">
        <v>127</v>
      </c>
      <c r="L210" s="110" t="s">
        <v>128</v>
      </c>
      <c r="M210" s="110" t="s">
        <v>129</v>
      </c>
      <c r="N210" s="110" t="s">
        <v>130</v>
      </c>
      <c r="O210" s="110" t="s">
        <v>983</v>
      </c>
      <c r="P210" s="110" t="s">
        <v>137</v>
      </c>
      <c r="Q210" s="110" t="s">
        <v>96</v>
      </c>
      <c r="R210" s="121">
        <v>0.4</v>
      </c>
      <c r="S210" s="113" t="e">
        <f t="shared" si="6"/>
        <v>#VALUE!</v>
      </c>
      <c r="T210" s="113">
        <f t="shared" si="7"/>
        <v>0</v>
      </c>
    </row>
    <row r="211" spans="1:20" s="109" customFormat="1" x14ac:dyDescent="0.2">
      <c r="A211" s="116"/>
      <c r="B211" s="111"/>
      <c r="C211" s="110" t="s">
        <v>984</v>
      </c>
      <c r="D211" s="110" t="s">
        <v>985</v>
      </c>
      <c r="E211" s="112" t="s">
        <v>986</v>
      </c>
      <c r="F211" s="111" t="s">
        <v>126</v>
      </c>
      <c r="G211" s="133">
        <v>235</v>
      </c>
      <c r="H211" s="124"/>
      <c r="I211" s="133" t="str">
        <f>IF(H211&gt;0,(#REF!*H211),"-")</f>
        <v>-</v>
      </c>
      <c r="J211" s="113">
        <v>2945</v>
      </c>
      <c r="K211" s="110" t="s">
        <v>127</v>
      </c>
      <c r="L211" s="110" t="s">
        <v>128</v>
      </c>
      <c r="M211" s="110" t="s">
        <v>129</v>
      </c>
      <c r="N211" s="110" t="s">
        <v>130</v>
      </c>
      <c r="O211" s="110" t="s">
        <v>987</v>
      </c>
      <c r="P211" s="110" t="s">
        <v>137</v>
      </c>
      <c r="Q211" s="110" t="s">
        <v>97</v>
      </c>
      <c r="R211" s="121">
        <v>0.626</v>
      </c>
      <c r="S211" s="113" t="e">
        <f t="shared" si="6"/>
        <v>#VALUE!</v>
      </c>
      <c r="T211" s="113">
        <f t="shared" si="7"/>
        <v>0</v>
      </c>
    </row>
    <row r="212" spans="1:20" s="109" customFormat="1" x14ac:dyDescent="0.2">
      <c r="A212" s="116"/>
      <c r="B212" s="111"/>
      <c r="C212" s="110" t="s">
        <v>988</v>
      </c>
      <c r="D212" s="110" t="s">
        <v>989</v>
      </c>
      <c r="E212" s="112" t="s">
        <v>990</v>
      </c>
      <c r="F212" s="111" t="s">
        <v>126</v>
      </c>
      <c r="G212" s="133">
        <v>370</v>
      </c>
      <c r="H212" s="124"/>
      <c r="I212" s="133" t="str">
        <f>IF(H212&gt;0,(#REF!*H212),"-")</f>
        <v>-</v>
      </c>
      <c r="J212" s="113">
        <v>7574</v>
      </c>
      <c r="K212" s="110" t="s">
        <v>127</v>
      </c>
      <c r="L212" s="110" t="s">
        <v>128</v>
      </c>
      <c r="M212" s="110" t="s">
        <v>129</v>
      </c>
      <c r="N212" s="110" t="s">
        <v>130</v>
      </c>
      <c r="O212" s="110" t="s">
        <v>991</v>
      </c>
      <c r="P212" s="110" t="s">
        <v>137</v>
      </c>
      <c r="Q212" s="110" t="s">
        <v>97</v>
      </c>
      <c r="R212" s="121">
        <v>1.3695999999999999</v>
      </c>
      <c r="S212" s="113" t="e">
        <f t="shared" si="6"/>
        <v>#VALUE!</v>
      </c>
      <c r="T212" s="113">
        <f t="shared" si="7"/>
        <v>0</v>
      </c>
    </row>
    <row r="213" spans="1:20" s="109" customFormat="1" x14ac:dyDescent="0.2">
      <c r="A213" s="116"/>
      <c r="B213" s="111"/>
      <c r="C213" s="110" t="s">
        <v>992</v>
      </c>
      <c r="D213" s="110" t="s">
        <v>993</v>
      </c>
      <c r="E213" s="112" t="s">
        <v>994</v>
      </c>
      <c r="F213" s="111" t="s">
        <v>126</v>
      </c>
      <c r="G213" s="133">
        <v>140</v>
      </c>
      <c r="H213" s="124"/>
      <c r="I213" s="133" t="str">
        <f>IF(H213&gt;0,(#REF!*H213),"-")</f>
        <v>-</v>
      </c>
      <c r="J213" s="113">
        <v>2424</v>
      </c>
      <c r="K213" s="110" t="s">
        <v>127</v>
      </c>
      <c r="L213" s="110" t="s">
        <v>128</v>
      </c>
      <c r="M213" s="110" t="s">
        <v>129</v>
      </c>
      <c r="N213" s="110" t="s">
        <v>130</v>
      </c>
      <c r="O213" s="110" t="s">
        <v>995</v>
      </c>
      <c r="P213" s="110" t="s">
        <v>137</v>
      </c>
      <c r="Q213" s="110" t="s">
        <v>97</v>
      </c>
      <c r="R213" s="121">
        <v>0.436</v>
      </c>
      <c r="S213" s="113" t="e">
        <f t="shared" si="6"/>
        <v>#VALUE!</v>
      </c>
      <c r="T213" s="113">
        <f t="shared" si="7"/>
        <v>0</v>
      </c>
    </row>
    <row r="214" spans="1:20" s="109" customFormat="1" x14ac:dyDescent="0.2">
      <c r="A214" s="116"/>
      <c r="B214" s="111"/>
      <c r="C214" s="110" t="s">
        <v>996</v>
      </c>
      <c r="D214" s="110" t="s">
        <v>997</v>
      </c>
      <c r="E214" s="112" t="s">
        <v>998</v>
      </c>
      <c r="F214" s="111" t="s">
        <v>126</v>
      </c>
      <c r="G214" s="133">
        <v>280</v>
      </c>
      <c r="H214" s="124"/>
      <c r="I214" s="133" t="str">
        <f>IF(H214&gt;0,(#REF!*H214),"-")</f>
        <v>-</v>
      </c>
      <c r="J214" s="113">
        <v>4725</v>
      </c>
      <c r="K214" s="110" t="s">
        <v>127</v>
      </c>
      <c r="L214" s="110" t="s">
        <v>128</v>
      </c>
      <c r="M214" s="110" t="s">
        <v>129</v>
      </c>
      <c r="N214" s="110" t="s">
        <v>130</v>
      </c>
      <c r="O214" s="110" t="s">
        <v>999</v>
      </c>
      <c r="P214" s="110" t="s">
        <v>137</v>
      </c>
      <c r="Q214" s="110" t="s">
        <v>97</v>
      </c>
      <c r="R214" s="121">
        <v>0.97960000000000003</v>
      </c>
      <c r="S214" s="113" t="e">
        <f t="shared" si="6"/>
        <v>#VALUE!</v>
      </c>
      <c r="T214" s="113">
        <f t="shared" si="7"/>
        <v>0</v>
      </c>
    </row>
    <row r="215" spans="1:20" s="109" customFormat="1" x14ac:dyDescent="0.2">
      <c r="A215" s="116"/>
      <c r="B215" s="111"/>
      <c r="C215" s="110" t="s">
        <v>1000</v>
      </c>
      <c r="D215" s="110" t="s">
        <v>1001</v>
      </c>
      <c r="E215" s="112" t="s">
        <v>1002</v>
      </c>
      <c r="F215" s="111" t="s">
        <v>126</v>
      </c>
      <c r="G215" s="133">
        <v>140</v>
      </c>
      <c r="H215" s="124"/>
      <c r="I215" s="133" t="str">
        <f>IF(H215&gt;0,(#REF!*H215),"-")</f>
        <v>-</v>
      </c>
      <c r="J215" s="113">
        <v>2656</v>
      </c>
      <c r="K215" s="110" t="s">
        <v>127</v>
      </c>
      <c r="L215" s="110" t="s">
        <v>128</v>
      </c>
      <c r="M215" s="110" t="s">
        <v>129</v>
      </c>
      <c r="N215" s="110" t="s">
        <v>130</v>
      </c>
      <c r="O215" s="110" t="s">
        <v>1003</v>
      </c>
      <c r="P215" s="110" t="s">
        <v>137</v>
      </c>
      <c r="Q215" s="110" t="s">
        <v>97</v>
      </c>
      <c r="R215" s="121">
        <v>0.497</v>
      </c>
      <c r="S215" s="113" t="e">
        <f t="shared" si="6"/>
        <v>#VALUE!</v>
      </c>
      <c r="T215" s="113">
        <f t="shared" si="7"/>
        <v>0</v>
      </c>
    </row>
    <row r="216" spans="1:20" s="109" customFormat="1" x14ac:dyDescent="0.2">
      <c r="A216" s="116"/>
      <c r="B216" s="111"/>
      <c r="C216" s="110" t="s">
        <v>1004</v>
      </c>
      <c r="D216" s="110" t="s">
        <v>1005</v>
      </c>
      <c r="E216" s="112" t="s">
        <v>1006</v>
      </c>
      <c r="F216" s="111" t="s">
        <v>126</v>
      </c>
      <c r="G216" s="133">
        <v>155</v>
      </c>
      <c r="H216" s="124"/>
      <c r="I216" s="133" t="str">
        <f>IF(H216&gt;0,(#REF!*H216),"-")</f>
        <v>-</v>
      </c>
      <c r="J216" s="113">
        <v>6328</v>
      </c>
      <c r="K216" s="110" t="s">
        <v>127</v>
      </c>
      <c r="L216" s="110" t="s">
        <v>128</v>
      </c>
      <c r="M216" s="110" t="s">
        <v>129</v>
      </c>
      <c r="N216" s="110" t="s">
        <v>130</v>
      </c>
      <c r="O216" s="110" t="s">
        <v>1007</v>
      </c>
      <c r="P216" s="110" t="s">
        <v>137</v>
      </c>
      <c r="Q216" s="110" t="s">
        <v>96</v>
      </c>
      <c r="R216" s="121">
        <v>0.72199999999999998</v>
      </c>
      <c r="S216" s="113" t="e">
        <f t="shared" si="6"/>
        <v>#VALUE!</v>
      </c>
      <c r="T216" s="113">
        <f t="shared" si="7"/>
        <v>0</v>
      </c>
    </row>
    <row r="217" spans="1:20" s="109" customFormat="1" x14ac:dyDescent="0.2">
      <c r="A217" s="116"/>
      <c r="B217" s="111"/>
      <c r="C217" s="110" t="s">
        <v>1008</v>
      </c>
      <c r="D217" s="110" t="s">
        <v>1009</v>
      </c>
      <c r="E217" s="112" t="s">
        <v>1010</v>
      </c>
      <c r="F217" s="111" t="s">
        <v>126</v>
      </c>
      <c r="G217" s="133">
        <v>215</v>
      </c>
      <c r="H217" s="124"/>
      <c r="I217" s="133" t="str">
        <f>IF(H217&gt;0,(#REF!*H217),"-")</f>
        <v>-</v>
      </c>
      <c r="J217" s="113">
        <v>4182</v>
      </c>
      <c r="K217" s="110" t="s">
        <v>127</v>
      </c>
      <c r="L217" s="110" t="s">
        <v>128</v>
      </c>
      <c r="M217" s="110" t="s">
        <v>129</v>
      </c>
      <c r="N217" s="110" t="s">
        <v>130</v>
      </c>
      <c r="O217" s="110" t="s">
        <v>1011</v>
      </c>
      <c r="P217" s="110" t="s">
        <v>137</v>
      </c>
      <c r="Q217" s="110" t="s">
        <v>97</v>
      </c>
      <c r="R217" s="121">
        <v>0.7661</v>
      </c>
      <c r="S217" s="113" t="e">
        <f t="shared" si="6"/>
        <v>#VALUE!</v>
      </c>
      <c r="T217" s="113">
        <f t="shared" si="7"/>
        <v>0</v>
      </c>
    </row>
    <row r="218" spans="1:20" s="109" customFormat="1" x14ac:dyDescent="0.2">
      <c r="A218" s="116"/>
      <c r="B218" s="111" t="s">
        <v>207</v>
      </c>
      <c r="C218" s="110" t="s">
        <v>1012</v>
      </c>
      <c r="D218" s="110" t="s">
        <v>1013</v>
      </c>
      <c r="E218" s="112" t="s">
        <v>1014</v>
      </c>
      <c r="F218" s="111" t="s">
        <v>130</v>
      </c>
      <c r="G218" s="133">
        <v>200</v>
      </c>
      <c r="H218" s="124"/>
      <c r="I218" s="133" t="str">
        <f>IF(H218&gt;0,(#REF!*H218),"-")</f>
        <v>-</v>
      </c>
      <c r="J218" s="113">
        <v>4185</v>
      </c>
      <c r="K218" s="110" t="s">
        <v>127</v>
      </c>
      <c r="L218" s="110" t="s">
        <v>128</v>
      </c>
      <c r="M218" s="110" t="s">
        <v>129</v>
      </c>
      <c r="N218" s="110" t="s">
        <v>130</v>
      </c>
      <c r="O218" s="110" t="s">
        <v>1015</v>
      </c>
      <c r="P218" s="110" t="s">
        <v>137</v>
      </c>
      <c r="Q218" s="110" t="s">
        <v>96</v>
      </c>
      <c r="R218" s="121">
        <v>0.49769999999999998</v>
      </c>
      <c r="S218" s="113" t="e">
        <f t="shared" si="6"/>
        <v>#VALUE!</v>
      </c>
      <c r="T218" s="113">
        <f t="shared" si="7"/>
        <v>0</v>
      </c>
    </row>
    <row r="219" spans="1:20" s="109" customFormat="1" x14ac:dyDescent="0.2">
      <c r="A219" s="116"/>
      <c r="B219" s="111"/>
      <c r="C219" s="110" t="s">
        <v>1016</v>
      </c>
      <c r="D219" s="110" t="s">
        <v>1017</v>
      </c>
      <c r="E219" s="112" t="s">
        <v>1018</v>
      </c>
      <c r="F219" s="111" t="s">
        <v>126</v>
      </c>
      <c r="G219" s="133">
        <v>155</v>
      </c>
      <c r="H219" s="124"/>
      <c r="I219" s="133" t="str">
        <f>IF(H219&gt;0,(#REF!*H219),"-")</f>
        <v>-</v>
      </c>
      <c r="J219" s="113">
        <v>695</v>
      </c>
      <c r="K219" s="110" t="s">
        <v>127</v>
      </c>
      <c r="L219" s="110" t="s">
        <v>128</v>
      </c>
      <c r="M219" s="110" t="s">
        <v>129</v>
      </c>
      <c r="N219" s="110" t="s">
        <v>130</v>
      </c>
      <c r="O219" s="110" t="s">
        <v>1019</v>
      </c>
      <c r="P219" s="110" t="s">
        <v>137</v>
      </c>
      <c r="Q219" s="110" t="s">
        <v>97</v>
      </c>
      <c r="R219" s="121">
        <v>0.129</v>
      </c>
      <c r="S219" s="113" t="e">
        <f t="shared" si="6"/>
        <v>#VALUE!</v>
      </c>
      <c r="T219" s="113">
        <f t="shared" si="7"/>
        <v>0</v>
      </c>
    </row>
    <row r="220" spans="1:20" s="109" customFormat="1" x14ac:dyDescent="0.2">
      <c r="A220" s="116"/>
      <c r="B220" s="111"/>
      <c r="C220" s="110" t="s">
        <v>1020</v>
      </c>
      <c r="D220" s="110" t="s">
        <v>1021</v>
      </c>
      <c r="E220" s="112" t="s">
        <v>1022</v>
      </c>
      <c r="F220" s="111" t="s">
        <v>126</v>
      </c>
      <c r="G220" s="133">
        <v>155</v>
      </c>
      <c r="H220" s="124"/>
      <c r="I220" s="133" t="str">
        <f>IF(H220&gt;0,(#REF!*H220),"-")</f>
        <v>-</v>
      </c>
      <c r="J220" s="113">
        <v>1141</v>
      </c>
      <c r="K220" s="110" t="s">
        <v>127</v>
      </c>
      <c r="L220" s="110" t="s">
        <v>128</v>
      </c>
      <c r="M220" s="110" t="s">
        <v>129</v>
      </c>
      <c r="N220" s="110" t="s">
        <v>130</v>
      </c>
      <c r="O220" s="110" t="s">
        <v>1023</v>
      </c>
      <c r="P220" s="110" t="s">
        <v>137</v>
      </c>
      <c r="Q220" s="110" t="s">
        <v>97</v>
      </c>
      <c r="R220" s="121">
        <v>0.11600000000000001</v>
      </c>
      <c r="S220" s="113" t="e">
        <f t="shared" si="6"/>
        <v>#VALUE!</v>
      </c>
      <c r="T220" s="113">
        <f t="shared" si="7"/>
        <v>0</v>
      </c>
    </row>
    <row r="221" spans="1:20" s="109" customFormat="1" x14ac:dyDescent="0.2">
      <c r="A221" s="116"/>
      <c r="B221" s="111"/>
      <c r="C221" s="110" t="s">
        <v>1024</v>
      </c>
      <c r="D221" s="110" t="s">
        <v>1025</v>
      </c>
      <c r="E221" s="112" t="s">
        <v>1026</v>
      </c>
      <c r="F221" s="111" t="s">
        <v>126</v>
      </c>
      <c r="G221" s="133">
        <v>155</v>
      </c>
      <c r="H221" s="124"/>
      <c r="I221" s="133" t="str">
        <f>IF(H221&gt;0,(#REF!*H221),"-")</f>
        <v>-</v>
      </c>
      <c r="J221" s="113">
        <v>667</v>
      </c>
      <c r="K221" s="110" t="s">
        <v>127</v>
      </c>
      <c r="L221" s="110" t="s">
        <v>128</v>
      </c>
      <c r="M221" s="110" t="s">
        <v>129</v>
      </c>
      <c r="N221" s="110" t="s">
        <v>130</v>
      </c>
      <c r="O221" s="110" t="s">
        <v>1027</v>
      </c>
      <c r="P221" s="110" t="s">
        <v>137</v>
      </c>
      <c r="Q221" s="110" t="s">
        <v>97</v>
      </c>
      <c r="R221" s="121">
        <v>0.108</v>
      </c>
      <c r="S221" s="113" t="e">
        <f t="shared" si="6"/>
        <v>#VALUE!</v>
      </c>
      <c r="T221" s="113">
        <f t="shared" si="7"/>
        <v>0</v>
      </c>
    </row>
    <row r="222" spans="1:20" s="109" customFormat="1" x14ac:dyDescent="0.2">
      <c r="A222" s="116"/>
      <c r="B222" s="111"/>
      <c r="C222" s="110" t="s">
        <v>1028</v>
      </c>
      <c r="D222" s="110" t="s">
        <v>1029</v>
      </c>
      <c r="E222" s="112" t="s">
        <v>1030</v>
      </c>
      <c r="F222" s="111" t="s">
        <v>126</v>
      </c>
      <c r="G222" s="133">
        <v>185</v>
      </c>
      <c r="H222" s="124"/>
      <c r="I222" s="133" t="str">
        <f>IF(H222&gt;0,(#REF!*H222),"-")</f>
        <v>-</v>
      </c>
      <c r="J222" s="113">
        <v>3194</v>
      </c>
      <c r="K222" s="110" t="s">
        <v>127</v>
      </c>
      <c r="L222" s="110" t="s">
        <v>128</v>
      </c>
      <c r="M222" s="110" t="s">
        <v>129</v>
      </c>
      <c r="N222" s="110" t="s">
        <v>130</v>
      </c>
      <c r="O222" s="110" t="s">
        <v>1031</v>
      </c>
      <c r="P222" s="110" t="s">
        <v>137</v>
      </c>
      <c r="Q222" s="110" t="s">
        <v>97</v>
      </c>
      <c r="R222" s="121">
        <v>0.629</v>
      </c>
      <c r="S222" s="113" t="e">
        <f t="shared" si="6"/>
        <v>#VALUE!</v>
      </c>
      <c r="T222" s="113">
        <f t="shared" si="7"/>
        <v>0</v>
      </c>
    </row>
    <row r="223" spans="1:20" s="109" customFormat="1" x14ac:dyDescent="0.2">
      <c r="A223" s="116"/>
      <c r="B223" s="111"/>
      <c r="C223" s="110" t="s">
        <v>1032</v>
      </c>
      <c r="D223" s="110" t="s">
        <v>1033</v>
      </c>
      <c r="E223" s="112" t="s">
        <v>1034</v>
      </c>
      <c r="F223" s="111" t="s">
        <v>126</v>
      </c>
      <c r="G223" s="133">
        <v>125</v>
      </c>
      <c r="H223" s="124"/>
      <c r="I223" s="133" t="str">
        <f>IF(H223&gt;0,(#REF!*H223),"-")</f>
        <v>-</v>
      </c>
      <c r="J223" s="113">
        <v>2774</v>
      </c>
      <c r="K223" s="110" t="s">
        <v>127</v>
      </c>
      <c r="L223" s="110" t="s">
        <v>128</v>
      </c>
      <c r="M223" s="110" t="s">
        <v>129</v>
      </c>
      <c r="N223" s="110" t="s">
        <v>130</v>
      </c>
      <c r="O223" s="110" t="s">
        <v>1035</v>
      </c>
      <c r="P223" s="110" t="s">
        <v>1036</v>
      </c>
      <c r="Q223" s="110" t="s">
        <v>97</v>
      </c>
      <c r="R223" s="121">
        <v>0.20399999999999999</v>
      </c>
      <c r="S223" s="113" t="e">
        <f t="shared" si="6"/>
        <v>#VALUE!</v>
      </c>
      <c r="T223" s="113">
        <f t="shared" si="7"/>
        <v>0</v>
      </c>
    </row>
    <row r="224" spans="1:20" s="109" customFormat="1" x14ac:dyDescent="0.2">
      <c r="A224" s="116"/>
      <c r="B224" s="111" t="s">
        <v>1037</v>
      </c>
      <c r="C224" s="110" t="s">
        <v>1038</v>
      </c>
      <c r="D224" s="110" t="s">
        <v>1039</v>
      </c>
      <c r="E224" s="112" t="s">
        <v>1040</v>
      </c>
      <c r="F224" s="111" t="s">
        <v>130</v>
      </c>
      <c r="G224" s="133">
        <v>140</v>
      </c>
      <c r="H224" s="124"/>
      <c r="I224" s="133" t="str">
        <f>IF(H224&gt;0,(#REF!*H224),"-")</f>
        <v>-</v>
      </c>
      <c r="J224" s="113">
        <v>1271</v>
      </c>
      <c r="K224" s="110" t="s">
        <v>127</v>
      </c>
      <c r="L224" s="110" t="s">
        <v>128</v>
      </c>
      <c r="M224" s="110" t="s">
        <v>129</v>
      </c>
      <c r="N224" s="110" t="s">
        <v>130</v>
      </c>
      <c r="O224" s="110" t="s">
        <v>1041</v>
      </c>
      <c r="P224" s="110" t="s">
        <v>137</v>
      </c>
      <c r="Q224" s="110" t="s">
        <v>96</v>
      </c>
      <c r="R224" s="121">
        <v>0.22600000000000001</v>
      </c>
      <c r="S224" s="113" t="e">
        <f t="shared" si="6"/>
        <v>#VALUE!</v>
      </c>
      <c r="T224" s="113">
        <f t="shared" si="7"/>
        <v>0</v>
      </c>
    </row>
    <row r="225" spans="1:20" s="109" customFormat="1" x14ac:dyDescent="0.2">
      <c r="A225" s="116"/>
      <c r="B225" s="111" t="s">
        <v>959</v>
      </c>
      <c r="C225" s="110" t="s">
        <v>1042</v>
      </c>
      <c r="D225" s="110" t="s">
        <v>1043</v>
      </c>
      <c r="E225" s="112" t="s">
        <v>1044</v>
      </c>
      <c r="F225" s="111" t="s">
        <v>130</v>
      </c>
      <c r="G225" s="133">
        <v>140</v>
      </c>
      <c r="H225" s="124"/>
      <c r="I225" s="133" t="str">
        <f>IF(H225&gt;0,(#REF!*H225),"-")</f>
        <v>-</v>
      </c>
      <c r="J225" s="113">
        <v>1099</v>
      </c>
      <c r="K225" s="110" t="s">
        <v>127</v>
      </c>
      <c r="L225" s="110" t="s">
        <v>128</v>
      </c>
      <c r="M225" s="110" t="s">
        <v>129</v>
      </c>
      <c r="N225" s="110" t="s">
        <v>130</v>
      </c>
      <c r="O225" s="110" t="s">
        <v>1045</v>
      </c>
      <c r="P225" s="110" t="s">
        <v>137</v>
      </c>
      <c r="Q225" s="110" t="s">
        <v>96</v>
      </c>
      <c r="R225" s="121">
        <v>0.222</v>
      </c>
      <c r="S225" s="113" t="e">
        <f t="shared" si="6"/>
        <v>#VALUE!</v>
      </c>
      <c r="T225" s="113">
        <f t="shared" si="7"/>
        <v>0</v>
      </c>
    </row>
    <row r="226" spans="1:20" s="109" customFormat="1" x14ac:dyDescent="0.2">
      <c r="A226" s="116"/>
      <c r="B226" s="111" t="s">
        <v>959</v>
      </c>
      <c r="C226" s="110" t="s">
        <v>1046</v>
      </c>
      <c r="D226" s="110" t="s">
        <v>1047</v>
      </c>
      <c r="E226" s="112" t="s">
        <v>1048</v>
      </c>
      <c r="F226" s="111" t="s">
        <v>130</v>
      </c>
      <c r="G226" s="133">
        <v>140</v>
      </c>
      <c r="H226" s="124"/>
      <c r="I226" s="133" t="str">
        <f>IF(H226&gt;0,(#REF!*H226),"-")</f>
        <v>-</v>
      </c>
      <c r="J226" s="113">
        <v>1099</v>
      </c>
      <c r="K226" s="110" t="s">
        <v>127</v>
      </c>
      <c r="L226" s="110" t="s">
        <v>128</v>
      </c>
      <c r="M226" s="110" t="s">
        <v>129</v>
      </c>
      <c r="N226" s="110" t="s">
        <v>130</v>
      </c>
      <c r="O226" s="110" t="s">
        <v>1049</v>
      </c>
      <c r="P226" s="110" t="s">
        <v>137</v>
      </c>
      <c r="Q226" s="110" t="s">
        <v>96</v>
      </c>
      <c r="R226" s="121">
        <v>0.23400000000000001</v>
      </c>
      <c r="S226" s="113" t="e">
        <f t="shared" si="6"/>
        <v>#VALUE!</v>
      </c>
      <c r="T226" s="113">
        <f t="shared" si="7"/>
        <v>0</v>
      </c>
    </row>
    <row r="227" spans="1:20" s="109" customFormat="1" x14ac:dyDescent="0.2">
      <c r="A227" s="116"/>
      <c r="B227" s="111" t="s">
        <v>959</v>
      </c>
      <c r="C227" s="110" t="s">
        <v>1050</v>
      </c>
      <c r="D227" s="110" t="s">
        <v>1051</v>
      </c>
      <c r="E227" s="112" t="s">
        <v>1052</v>
      </c>
      <c r="F227" s="111" t="s">
        <v>130</v>
      </c>
      <c r="G227" s="133">
        <v>140</v>
      </c>
      <c r="H227" s="124"/>
      <c r="I227" s="133" t="str">
        <f>IF(H227&gt;0,(#REF!*H227),"-")</f>
        <v>-</v>
      </c>
      <c r="J227" s="113">
        <v>1099</v>
      </c>
      <c r="K227" s="110" t="s">
        <v>127</v>
      </c>
      <c r="L227" s="110" t="s">
        <v>128</v>
      </c>
      <c r="M227" s="110" t="s">
        <v>129</v>
      </c>
      <c r="N227" s="110" t="s">
        <v>130</v>
      </c>
      <c r="O227" s="110" t="s">
        <v>1053</v>
      </c>
      <c r="P227" s="110" t="s">
        <v>137</v>
      </c>
      <c r="Q227" s="110" t="s">
        <v>96</v>
      </c>
      <c r="R227" s="121">
        <v>0.224</v>
      </c>
      <c r="S227" s="113" t="e">
        <f t="shared" si="6"/>
        <v>#VALUE!</v>
      </c>
      <c r="T227" s="113">
        <f t="shared" si="7"/>
        <v>0</v>
      </c>
    </row>
    <row r="228" spans="1:20" s="109" customFormat="1" x14ac:dyDescent="0.2">
      <c r="A228" s="116"/>
      <c r="B228" s="111" t="s">
        <v>959</v>
      </c>
      <c r="C228" s="110" t="s">
        <v>1054</v>
      </c>
      <c r="D228" s="110" t="s">
        <v>1055</v>
      </c>
      <c r="E228" s="112" t="s">
        <v>1056</v>
      </c>
      <c r="F228" s="111" t="s">
        <v>130</v>
      </c>
      <c r="G228" s="133">
        <v>140</v>
      </c>
      <c r="H228" s="124"/>
      <c r="I228" s="133" t="str">
        <f>IF(H228&gt;0,(#REF!*H228),"-")</f>
        <v>-</v>
      </c>
      <c r="J228" s="113">
        <v>1415</v>
      </c>
      <c r="K228" s="110" t="s">
        <v>127</v>
      </c>
      <c r="L228" s="110" t="s">
        <v>128</v>
      </c>
      <c r="M228" s="110" t="s">
        <v>129</v>
      </c>
      <c r="N228" s="110" t="s">
        <v>130</v>
      </c>
      <c r="O228" s="110" t="s">
        <v>1057</v>
      </c>
      <c r="P228" s="110" t="s">
        <v>137</v>
      </c>
      <c r="Q228" s="110" t="s">
        <v>96</v>
      </c>
      <c r="R228" s="121">
        <v>0.24099999999999999</v>
      </c>
      <c r="S228" s="113" t="e">
        <f t="shared" si="6"/>
        <v>#VALUE!</v>
      </c>
      <c r="T228" s="113">
        <f t="shared" si="7"/>
        <v>0</v>
      </c>
    </row>
    <row r="229" spans="1:20" s="109" customFormat="1" x14ac:dyDescent="0.2">
      <c r="A229" s="116"/>
      <c r="B229" s="111" t="s">
        <v>207</v>
      </c>
      <c r="C229" s="110" t="s">
        <v>1058</v>
      </c>
      <c r="D229" s="110" t="s">
        <v>1059</v>
      </c>
      <c r="E229" s="112" t="s">
        <v>1060</v>
      </c>
      <c r="F229" s="111" t="s">
        <v>130</v>
      </c>
      <c r="G229" s="133">
        <v>155</v>
      </c>
      <c r="H229" s="124"/>
      <c r="I229" s="133" t="str">
        <f>IF(H229&gt;0,(#REF!*H229),"-")</f>
        <v>-</v>
      </c>
      <c r="J229" s="113">
        <v>953</v>
      </c>
      <c r="K229" s="110" t="s">
        <v>127</v>
      </c>
      <c r="L229" s="110" t="s">
        <v>144</v>
      </c>
      <c r="M229" s="110" t="s">
        <v>129</v>
      </c>
      <c r="N229" s="110" t="s">
        <v>130</v>
      </c>
      <c r="O229" s="110" t="s">
        <v>1061</v>
      </c>
      <c r="P229" s="110" t="s">
        <v>132</v>
      </c>
      <c r="Q229" s="110" t="s">
        <v>97</v>
      </c>
      <c r="R229" s="121">
        <v>0.77600000000000002</v>
      </c>
      <c r="S229" s="113" t="e">
        <f t="shared" si="6"/>
        <v>#VALUE!</v>
      </c>
      <c r="T229" s="113">
        <f t="shared" si="7"/>
        <v>0</v>
      </c>
    </row>
    <row r="230" spans="1:20" s="109" customFormat="1" x14ac:dyDescent="0.2">
      <c r="A230" s="116"/>
      <c r="B230" s="111"/>
      <c r="C230" s="110" t="s">
        <v>1062</v>
      </c>
      <c r="D230" s="110" t="s">
        <v>1063</v>
      </c>
      <c r="E230" s="112" t="s">
        <v>1064</v>
      </c>
      <c r="F230" s="111" t="s">
        <v>126</v>
      </c>
      <c r="G230" s="133">
        <v>60</v>
      </c>
      <c r="H230" s="124"/>
      <c r="I230" s="133" t="str">
        <f>IF(H230&gt;0,(#REF!*H230),"-")</f>
        <v>-</v>
      </c>
      <c r="J230" s="113">
        <v>219</v>
      </c>
      <c r="K230" s="110" t="s">
        <v>127</v>
      </c>
      <c r="L230" s="110" t="s">
        <v>144</v>
      </c>
      <c r="M230" s="110" t="s">
        <v>129</v>
      </c>
      <c r="N230" s="110" t="s">
        <v>130</v>
      </c>
      <c r="O230" s="110" t="s">
        <v>1065</v>
      </c>
      <c r="P230" s="110" t="s">
        <v>400</v>
      </c>
      <c r="Q230" s="110" t="s">
        <v>97</v>
      </c>
      <c r="R230" s="121">
        <v>0.16300000000000001</v>
      </c>
      <c r="S230" s="113" t="e">
        <f t="shared" si="6"/>
        <v>#VALUE!</v>
      </c>
      <c r="T230" s="113">
        <f t="shared" si="7"/>
        <v>0</v>
      </c>
    </row>
    <row r="231" spans="1:20" s="109" customFormat="1" x14ac:dyDescent="0.2">
      <c r="A231" s="116"/>
      <c r="B231" s="111" t="s">
        <v>207</v>
      </c>
      <c r="C231" s="110" t="s">
        <v>1066</v>
      </c>
      <c r="D231" s="110" t="s">
        <v>1067</v>
      </c>
      <c r="E231" s="112" t="s">
        <v>1068</v>
      </c>
      <c r="F231" s="111" t="s">
        <v>130</v>
      </c>
      <c r="G231" s="133">
        <v>140</v>
      </c>
      <c r="H231" s="124"/>
      <c r="I231" s="133" t="str">
        <f>IF(H231&gt;0,(#REF!*H231),"-")</f>
        <v>-</v>
      </c>
      <c r="J231" s="113">
        <v>1046</v>
      </c>
      <c r="K231" s="110" t="s">
        <v>127</v>
      </c>
      <c r="L231" s="110" t="s">
        <v>144</v>
      </c>
      <c r="M231" s="110" t="s">
        <v>129</v>
      </c>
      <c r="N231" s="110" t="s">
        <v>130</v>
      </c>
      <c r="O231" s="110" t="s">
        <v>1069</v>
      </c>
      <c r="P231" s="110" t="s">
        <v>137</v>
      </c>
      <c r="Q231" s="110" t="s">
        <v>96</v>
      </c>
      <c r="R231" s="121">
        <v>0.13100000000000001</v>
      </c>
      <c r="S231" s="113" t="e">
        <f t="shared" si="6"/>
        <v>#VALUE!</v>
      </c>
      <c r="T231" s="113">
        <f t="shared" si="7"/>
        <v>0</v>
      </c>
    </row>
    <row r="232" spans="1:20" s="109" customFormat="1" x14ac:dyDescent="0.2">
      <c r="A232" s="116"/>
      <c r="B232" s="111" t="s">
        <v>207</v>
      </c>
      <c r="C232" s="110" t="s">
        <v>1070</v>
      </c>
      <c r="D232" s="110" t="s">
        <v>1071</v>
      </c>
      <c r="E232" s="112" t="s">
        <v>1072</v>
      </c>
      <c r="F232" s="111" t="s">
        <v>130</v>
      </c>
      <c r="G232" s="133">
        <v>155</v>
      </c>
      <c r="H232" s="124"/>
      <c r="I232" s="133" t="str">
        <f>IF(H232&gt;0,(#REF!*H232),"-")</f>
        <v>-</v>
      </c>
      <c r="J232" s="113">
        <v>1046</v>
      </c>
      <c r="K232" s="110" t="s">
        <v>127</v>
      </c>
      <c r="L232" s="110" t="s">
        <v>144</v>
      </c>
      <c r="M232" s="110" t="s">
        <v>129</v>
      </c>
      <c r="N232" s="110" t="s">
        <v>130</v>
      </c>
      <c r="O232" s="110" t="s">
        <v>1073</v>
      </c>
      <c r="P232" s="110" t="s">
        <v>137</v>
      </c>
      <c r="Q232" s="110" t="s">
        <v>96</v>
      </c>
      <c r="R232" s="121">
        <v>0.13020000000000001</v>
      </c>
      <c r="S232" s="113" t="e">
        <f t="shared" si="6"/>
        <v>#VALUE!</v>
      </c>
      <c r="T232" s="113">
        <f t="shared" si="7"/>
        <v>0</v>
      </c>
    </row>
    <row r="233" spans="1:20" s="109" customFormat="1" x14ac:dyDescent="0.2">
      <c r="A233" s="116"/>
      <c r="B233" s="111" t="s">
        <v>202</v>
      </c>
      <c r="C233" s="110" t="s">
        <v>1074</v>
      </c>
      <c r="D233" s="110" t="s">
        <v>1075</v>
      </c>
      <c r="E233" s="112" t="s">
        <v>1076</v>
      </c>
      <c r="F233" s="111" t="s">
        <v>130</v>
      </c>
      <c r="G233" s="133">
        <v>340</v>
      </c>
      <c r="H233" s="124"/>
      <c r="I233" s="133" t="str">
        <f>IF(H233&gt;0,(#REF!*H233),"-")</f>
        <v>-</v>
      </c>
      <c r="J233" s="113">
        <v>8658</v>
      </c>
      <c r="K233" s="110" t="s">
        <v>127</v>
      </c>
      <c r="L233" s="110" t="s">
        <v>144</v>
      </c>
      <c r="M233" s="110" t="s">
        <v>129</v>
      </c>
      <c r="N233" s="110" t="s">
        <v>130</v>
      </c>
      <c r="O233" s="110" t="s">
        <v>1077</v>
      </c>
      <c r="P233" s="110" t="s">
        <v>137</v>
      </c>
      <c r="Q233" s="110" t="s">
        <v>96</v>
      </c>
      <c r="R233" s="121">
        <v>0.66100000000000003</v>
      </c>
      <c r="S233" s="113" t="e">
        <f t="shared" si="6"/>
        <v>#VALUE!</v>
      </c>
      <c r="T233" s="113">
        <f t="shared" si="7"/>
        <v>0</v>
      </c>
    </row>
    <row r="234" spans="1:20" s="109" customFormat="1" x14ac:dyDescent="0.2">
      <c r="A234" s="116"/>
      <c r="B234" s="111" t="s">
        <v>202</v>
      </c>
      <c r="C234" s="110" t="s">
        <v>1078</v>
      </c>
      <c r="D234" s="110" t="s">
        <v>1079</v>
      </c>
      <c r="E234" s="112" t="s">
        <v>1080</v>
      </c>
      <c r="F234" s="111" t="s">
        <v>130</v>
      </c>
      <c r="G234" s="133">
        <v>200</v>
      </c>
      <c r="H234" s="124"/>
      <c r="I234" s="133" t="str">
        <f>IF(H234&gt;0,(#REF!*H234),"-")</f>
        <v>-</v>
      </c>
      <c r="J234" s="113">
        <v>1522</v>
      </c>
      <c r="K234" s="110" t="s">
        <v>127</v>
      </c>
      <c r="L234" s="110" t="s">
        <v>144</v>
      </c>
      <c r="M234" s="110" t="s">
        <v>129</v>
      </c>
      <c r="N234" s="110" t="s">
        <v>130</v>
      </c>
      <c r="O234" s="110" t="s">
        <v>1081</v>
      </c>
      <c r="P234" s="110" t="s">
        <v>137</v>
      </c>
      <c r="Q234" s="110" t="s">
        <v>96</v>
      </c>
      <c r="R234" s="121">
        <v>0.15</v>
      </c>
      <c r="S234" s="113" t="e">
        <f t="shared" si="6"/>
        <v>#VALUE!</v>
      </c>
      <c r="T234" s="113">
        <f t="shared" si="7"/>
        <v>0</v>
      </c>
    </row>
    <row r="235" spans="1:20" s="109" customFormat="1" x14ac:dyDescent="0.2">
      <c r="A235" s="116"/>
      <c r="B235" s="111"/>
      <c r="C235" s="110" t="s">
        <v>1082</v>
      </c>
      <c r="D235" s="110" t="s">
        <v>1083</v>
      </c>
      <c r="E235" s="112" t="s">
        <v>1084</v>
      </c>
      <c r="F235" s="111" t="s">
        <v>126</v>
      </c>
      <c r="G235" s="133">
        <v>112</v>
      </c>
      <c r="H235" s="124"/>
      <c r="I235" s="133" t="str">
        <f>IF(H235&gt;0,(#REF!*H235),"-")</f>
        <v>-</v>
      </c>
      <c r="J235" s="113">
        <v>398</v>
      </c>
      <c r="K235" s="110" t="s">
        <v>127</v>
      </c>
      <c r="L235" s="110" t="s">
        <v>144</v>
      </c>
      <c r="M235" s="110" t="s">
        <v>129</v>
      </c>
      <c r="N235" s="110" t="s">
        <v>130</v>
      </c>
      <c r="O235" s="110" t="s">
        <v>1085</v>
      </c>
      <c r="P235" s="110" t="s">
        <v>137</v>
      </c>
      <c r="Q235" s="110" t="s">
        <v>96</v>
      </c>
      <c r="R235" s="121">
        <v>2.4899999999999999E-2</v>
      </c>
      <c r="S235" s="113" t="e">
        <f t="shared" si="6"/>
        <v>#VALUE!</v>
      </c>
      <c r="T235" s="113">
        <f t="shared" si="7"/>
        <v>0</v>
      </c>
    </row>
    <row r="236" spans="1:20" s="109" customFormat="1" x14ac:dyDescent="0.2">
      <c r="A236" s="116"/>
      <c r="B236" s="111"/>
      <c r="C236" s="110" t="s">
        <v>1086</v>
      </c>
      <c r="D236" s="110" t="s">
        <v>1087</v>
      </c>
      <c r="E236" s="112" t="s">
        <v>1088</v>
      </c>
      <c r="F236" s="111" t="s">
        <v>126</v>
      </c>
      <c r="G236" s="133">
        <v>124</v>
      </c>
      <c r="H236" s="124"/>
      <c r="I236" s="133" t="str">
        <f>IF(H236&gt;0,(#REF!*H236),"-")</f>
        <v>-</v>
      </c>
      <c r="J236" s="113">
        <v>398</v>
      </c>
      <c r="K236" s="110" t="s">
        <v>127</v>
      </c>
      <c r="L236" s="110" t="s">
        <v>144</v>
      </c>
      <c r="M236" s="110" t="s">
        <v>129</v>
      </c>
      <c r="N236" s="110" t="s">
        <v>130</v>
      </c>
      <c r="O236" s="110" t="s">
        <v>1089</v>
      </c>
      <c r="P236" s="110" t="s">
        <v>137</v>
      </c>
      <c r="Q236" s="110" t="s">
        <v>96</v>
      </c>
      <c r="R236" s="121">
        <v>2.5399999999999999E-2</v>
      </c>
      <c r="S236" s="113" t="e">
        <f t="shared" si="6"/>
        <v>#VALUE!</v>
      </c>
      <c r="T236" s="113">
        <f t="shared" si="7"/>
        <v>0</v>
      </c>
    </row>
    <row r="237" spans="1:20" s="109" customFormat="1" x14ac:dyDescent="0.2">
      <c r="A237" s="116"/>
      <c r="B237" s="111"/>
      <c r="C237" s="110" t="s">
        <v>1090</v>
      </c>
      <c r="D237" s="110" t="s">
        <v>1091</v>
      </c>
      <c r="E237" s="112" t="s">
        <v>1092</v>
      </c>
      <c r="F237" s="111" t="s">
        <v>126</v>
      </c>
      <c r="G237" s="133">
        <v>50</v>
      </c>
      <c r="H237" s="124"/>
      <c r="I237" s="133" t="str">
        <f>IF(H237&gt;0,(#REF!*H237),"-")</f>
        <v>-</v>
      </c>
      <c r="J237" s="113">
        <v>398</v>
      </c>
      <c r="K237" s="110" t="s">
        <v>127</v>
      </c>
      <c r="L237" s="110" t="s">
        <v>144</v>
      </c>
      <c r="M237" s="110" t="s">
        <v>129</v>
      </c>
      <c r="N237" s="110" t="s">
        <v>130</v>
      </c>
      <c r="O237" s="110" t="s">
        <v>1093</v>
      </c>
      <c r="P237" s="110" t="s">
        <v>137</v>
      </c>
      <c r="Q237" s="110" t="s">
        <v>96</v>
      </c>
      <c r="R237" s="121">
        <v>2.1000000000000001E-2</v>
      </c>
      <c r="S237" s="113" t="e">
        <f t="shared" si="6"/>
        <v>#VALUE!</v>
      </c>
      <c r="T237" s="113">
        <f t="shared" si="7"/>
        <v>0</v>
      </c>
    </row>
    <row r="238" spans="1:20" s="109" customFormat="1" x14ac:dyDescent="0.2">
      <c r="A238" s="116"/>
      <c r="B238" s="111"/>
      <c r="C238" s="110" t="s">
        <v>1094</v>
      </c>
      <c r="D238" s="110" t="s">
        <v>1095</v>
      </c>
      <c r="E238" s="112" t="s">
        <v>1096</v>
      </c>
      <c r="F238" s="111" t="s">
        <v>126</v>
      </c>
      <c r="G238" s="133">
        <v>155</v>
      </c>
      <c r="H238" s="124"/>
      <c r="I238" s="133" t="str">
        <f>IF(H238&gt;0,(#REF!*H238),"-")</f>
        <v>-</v>
      </c>
      <c r="J238" s="113">
        <v>527</v>
      </c>
      <c r="K238" s="110" t="s">
        <v>127</v>
      </c>
      <c r="L238" s="110" t="s">
        <v>144</v>
      </c>
      <c r="M238" s="110" t="s">
        <v>129</v>
      </c>
      <c r="N238" s="110" t="s">
        <v>130</v>
      </c>
      <c r="O238" s="110" t="s">
        <v>1097</v>
      </c>
      <c r="P238" s="110" t="s">
        <v>137</v>
      </c>
      <c r="Q238" s="110" t="s">
        <v>96</v>
      </c>
      <c r="R238" s="121">
        <v>5.4899999999999997E-2</v>
      </c>
      <c r="S238" s="113" t="e">
        <f t="shared" si="6"/>
        <v>#VALUE!</v>
      </c>
      <c r="T238" s="113">
        <f t="shared" si="7"/>
        <v>0</v>
      </c>
    </row>
    <row r="239" spans="1:20" s="109" customFormat="1" x14ac:dyDescent="0.2">
      <c r="A239" s="116"/>
      <c r="B239" s="111"/>
      <c r="C239" s="110" t="s">
        <v>1098</v>
      </c>
      <c r="D239" s="110" t="s">
        <v>1099</v>
      </c>
      <c r="E239" s="112" t="s">
        <v>1100</v>
      </c>
      <c r="F239" s="111" t="s">
        <v>126</v>
      </c>
      <c r="G239" s="133">
        <v>50</v>
      </c>
      <c r="H239" s="124"/>
      <c r="I239" s="133" t="str">
        <f>IF(H239&gt;0,(#REF!*H239),"-")</f>
        <v>-</v>
      </c>
      <c r="J239" s="113">
        <v>398</v>
      </c>
      <c r="K239" s="110" t="s">
        <v>127</v>
      </c>
      <c r="L239" s="110" t="s">
        <v>144</v>
      </c>
      <c r="M239" s="110" t="s">
        <v>129</v>
      </c>
      <c r="N239" s="110" t="s">
        <v>130</v>
      </c>
      <c r="O239" s="110" t="s">
        <v>1101</v>
      </c>
      <c r="P239" s="110" t="s">
        <v>137</v>
      </c>
      <c r="Q239" s="110" t="s">
        <v>96</v>
      </c>
      <c r="R239" s="121">
        <v>2.2499999999999999E-2</v>
      </c>
      <c r="S239" s="113" t="e">
        <f t="shared" si="6"/>
        <v>#VALUE!</v>
      </c>
      <c r="T239" s="113">
        <f t="shared" si="7"/>
        <v>0</v>
      </c>
    </row>
    <row r="240" spans="1:20" s="109" customFormat="1" x14ac:dyDescent="0.2">
      <c r="A240" s="116"/>
      <c r="B240" s="111" t="s">
        <v>207</v>
      </c>
      <c r="C240" s="110" t="s">
        <v>1102</v>
      </c>
      <c r="D240" s="110" t="s">
        <v>1103</v>
      </c>
      <c r="E240" s="112" t="s">
        <v>1104</v>
      </c>
      <c r="F240" s="111" t="s">
        <v>130</v>
      </c>
      <c r="G240" s="133">
        <v>155</v>
      </c>
      <c r="H240" s="124"/>
      <c r="I240" s="133" t="str">
        <f>IF(H240&gt;0,(#REF!*H240),"-")</f>
        <v>-</v>
      </c>
      <c r="J240" s="113">
        <v>936</v>
      </c>
      <c r="K240" s="110" t="s">
        <v>127</v>
      </c>
      <c r="L240" s="110" t="s">
        <v>144</v>
      </c>
      <c r="M240" s="110" t="s">
        <v>129</v>
      </c>
      <c r="N240" s="110" t="s">
        <v>130</v>
      </c>
      <c r="O240" s="110" t="s">
        <v>1105</v>
      </c>
      <c r="P240" s="110" t="s">
        <v>132</v>
      </c>
      <c r="Q240" s="110" t="s">
        <v>97</v>
      </c>
      <c r="R240" s="121">
        <v>0.77400000000000002</v>
      </c>
      <c r="S240" s="113" t="e">
        <f t="shared" si="6"/>
        <v>#VALUE!</v>
      </c>
      <c r="T240" s="113">
        <f t="shared" si="7"/>
        <v>0</v>
      </c>
    </row>
    <row r="241" spans="1:20" s="109" customFormat="1" x14ac:dyDescent="0.2">
      <c r="A241" s="116"/>
      <c r="B241" s="111"/>
      <c r="C241" s="110" t="s">
        <v>1106</v>
      </c>
      <c r="D241" s="110" t="s">
        <v>1107</v>
      </c>
      <c r="E241" s="112" t="s">
        <v>1108</v>
      </c>
      <c r="F241" s="111" t="s">
        <v>126</v>
      </c>
      <c r="G241" s="133">
        <v>60</v>
      </c>
      <c r="H241" s="124"/>
      <c r="I241" s="133" t="str">
        <f>IF(H241&gt;0,(#REF!*H241),"-")</f>
        <v>-</v>
      </c>
      <c r="J241" s="113">
        <v>277</v>
      </c>
      <c r="K241" s="110" t="s">
        <v>127</v>
      </c>
      <c r="L241" s="110" t="s">
        <v>144</v>
      </c>
      <c r="M241" s="110" t="s">
        <v>129</v>
      </c>
      <c r="N241" s="110" t="s">
        <v>130</v>
      </c>
      <c r="O241" s="110" t="s">
        <v>1109</v>
      </c>
      <c r="P241" s="110" t="s">
        <v>400</v>
      </c>
      <c r="Q241" s="110" t="s">
        <v>97</v>
      </c>
      <c r="R241" s="121">
        <v>0.16400000000000001</v>
      </c>
      <c r="S241" s="113" t="e">
        <f t="shared" si="6"/>
        <v>#VALUE!</v>
      </c>
      <c r="T241" s="113">
        <f t="shared" si="7"/>
        <v>0</v>
      </c>
    </row>
    <row r="242" spans="1:20" s="109" customFormat="1" x14ac:dyDescent="0.2">
      <c r="A242" s="116"/>
      <c r="B242" s="111" t="s">
        <v>202</v>
      </c>
      <c r="C242" s="110" t="s">
        <v>1110</v>
      </c>
      <c r="D242" s="110" t="s">
        <v>1111</v>
      </c>
      <c r="E242" s="112" t="s">
        <v>1112</v>
      </c>
      <c r="F242" s="111" t="s">
        <v>130</v>
      </c>
      <c r="G242" s="133">
        <v>217</v>
      </c>
      <c r="H242" s="124"/>
      <c r="I242" s="133" t="str">
        <f>IF(H242&gt;0,(#REF!*H242),"-")</f>
        <v>-</v>
      </c>
      <c r="J242" s="113">
        <v>1522</v>
      </c>
      <c r="K242" s="110" t="s">
        <v>127</v>
      </c>
      <c r="L242" s="110" t="s">
        <v>144</v>
      </c>
      <c r="M242" s="110" t="s">
        <v>129</v>
      </c>
      <c r="N242" s="110" t="s">
        <v>130</v>
      </c>
      <c r="O242" s="110" t="s">
        <v>1113</v>
      </c>
      <c r="P242" s="110" t="s">
        <v>137</v>
      </c>
      <c r="Q242" s="110" t="s">
        <v>96</v>
      </c>
      <c r="R242" s="121">
        <v>0.192</v>
      </c>
      <c r="S242" s="113" t="e">
        <f t="shared" si="6"/>
        <v>#VALUE!</v>
      </c>
      <c r="T242" s="113">
        <f t="shared" si="7"/>
        <v>0</v>
      </c>
    </row>
    <row r="243" spans="1:20" s="109" customFormat="1" x14ac:dyDescent="0.2">
      <c r="A243" s="116"/>
      <c r="B243" s="111" t="s">
        <v>207</v>
      </c>
      <c r="C243" s="110" t="s">
        <v>1114</v>
      </c>
      <c r="D243" s="110" t="s">
        <v>1115</v>
      </c>
      <c r="E243" s="112" t="s">
        <v>1116</v>
      </c>
      <c r="F243" s="111" t="s">
        <v>130</v>
      </c>
      <c r="G243" s="133">
        <v>186</v>
      </c>
      <c r="H243" s="124"/>
      <c r="I243" s="133" t="str">
        <f>IF(H243&gt;0,(#REF!*H243),"-")</f>
        <v>-</v>
      </c>
      <c r="J243" s="113">
        <v>1522</v>
      </c>
      <c r="K243" s="110" t="s">
        <v>127</v>
      </c>
      <c r="L243" s="110" t="s">
        <v>144</v>
      </c>
      <c r="M243" s="110" t="s">
        <v>129</v>
      </c>
      <c r="N243" s="110" t="s">
        <v>130</v>
      </c>
      <c r="O243" s="110" t="s">
        <v>1117</v>
      </c>
      <c r="P243" s="110" t="s">
        <v>137</v>
      </c>
      <c r="Q243" s="110" t="s">
        <v>96</v>
      </c>
      <c r="R243" s="121">
        <v>0.214</v>
      </c>
      <c r="S243" s="113" t="e">
        <f t="shared" si="6"/>
        <v>#VALUE!</v>
      </c>
      <c r="T243" s="113">
        <f t="shared" si="7"/>
        <v>0</v>
      </c>
    </row>
    <row r="244" spans="1:20" s="109" customFormat="1" x14ac:dyDescent="0.2">
      <c r="A244" s="116"/>
      <c r="B244" s="111"/>
      <c r="C244" s="110" t="s">
        <v>1118</v>
      </c>
      <c r="D244" s="110" t="s">
        <v>1119</v>
      </c>
      <c r="E244" s="112" t="s">
        <v>1120</v>
      </c>
      <c r="F244" s="111" t="s">
        <v>126</v>
      </c>
      <c r="G244" s="133">
        <v>50</v>
      </c>
      <c r="H244" s="124"/>
      <c r="I244" s="133" t="str">
        <f>IF(H244&gt;0,(#REF!*H244),"-")</f>
        <v>-</v>
      </c>
      <c r="J244" s="113">
        <v>398</v>
      </c>
      <c r="K244" s="110" t="s">
        <v>127</v>
      </c>
      <c r="L244" s="110" t="s">
        <v>144</v>
      </c>
      <c r="M244" s="110" t="s">
        <v>129</v>
      </c>
      <c r="N244" s="110" t="s">
        <v>130</v>
      </c>
      <c r="O244" s="110" t="s">
        <v>1121</v>
      </c>
      <c r="P244" s="110" t="s">
        <v>137</v>
      </c>
      <c r="Q244" s="110" t="s">
        <v>96</v>
      </c>
      <c r="R244" s="121">
        <v>2.1700000000000001E-2</v>
      </c>
      <c r="S244" s="113" t="e">
        <f t="shared" si="6"/>
        <v>#VALUE!</v>
      </c>
      <c r="T244" s="113">
        <f t="shared" si="7"/>
        <v>0</v>
      </c>
    </row>
    <row r="245" spans="1:20" s="109" customFormat="1" x14ac:dyDescent="0.2">
      <c r="A245" s="116"/>
      <c r="B245" s="111"/>
      <c r="C245" s="110" t="s">
        <v>1122</v>
      </c>
      <c r="D245" s="110" t="s">
        <v>1123</v>
      </c>
      <c r="E245" s="112" t="s">
        <v>1124</v>
      </c>
      <c r="F245" s="111" t="s">
        <v>126</v>
      </c>
      <c r="G245" s="133">
        <v>50</v>
      </c>
      <c r="H245" s="124"/>
      <c r="I245" s="133" t="str">
        <f>IF(H245&gt;0,(#REF!*H245),"-")</f>
        <v>-</v>
      </c>
      <c r="J245" s="113">
        <v>398</v>
      </c>
      <c r="K245" s="110" t="s">
        <v>127</v>
      </c>
      <c r="L245" s="110" t="s">
        <v>144</v>
      </c>
      <c r="M245" s="110" t="s">
        <v>129</v>
      </c>
      <c r="N245" s="110" t="s">
        <v>130</v>
      </c>
      <c r="O245" s="110" t="s">
        <v>1125</v>
      </c>
      <c r="P245" s="110" t="s">
        <v>137</v>
      </c>
      <c r="Q245" s="110" t="s">
        <v>96</v>
      </c>
      <c r="R245" s="121">
        <v>2.1700000000000001E-2</v>
      </c>
      <c r="S245" s="113" t="e">
        <f t="shared" si="6"/>
        <v>#VALUE!</v>
      </c>
      <c r="T245" s="113">
        <f t="shared" si="7"/>
        <v>0</v>
      </c>
    </row>
    <row r="246" spans="1:20" s="109" customFormat="1" x14ac:dyDescent="0.2">
      <c r="A246" s="116"/>
      <c r="B246" s="111" t="s">
        <v>289</v>
      </c>
      <c r="C246" s="110" t="s">
        <v>1126</v>
      </c>
      <c r="D246" s="110" t="s">
        <v>1127</v>
      </c>
      <c r="E246" s="112" t="s">
        <v>1128</v>
      </c>
      <c r="F246" s="111" t="s">
        <v>130</v>
      </c>
      <c r="G246" s="133">
        <v>155</v>
      </c>
      <c r="H246" s="124"/>
      <c r="I246" s="133" t="str">
        <f>IF(H246&gt;0,(#REF!*H246),"-")</f>
        <v>-</v>
      </c>
      <c r="J246" s="113">
        <v>1001</v>
      </c>
      <c r="K246" s="110" t="s">
        <v>127</v>
      </c>
      <c r="L246" s="110" t="s">
        <v>144</v>
      </c>
      <c r="M246" s="110" t="s">
        <v>129</v>
      </c>
      <c r="N246" s="110" t="s">
        <v>130</v>
      </c>
      <c r="O246" s="110" t="s">
        <v>1129</v>
      </c>
      <c r="P246" s="110" t="s">
        <v>132</v>
      </c>
      <c r="Q246" s="110" t="s">
        <v>97</v>
      </c>
      <c r="R246" s="121">
        <v>0.78</v>
      </c>
      <c r="S246" s="113" t="e">
        <f t="shared" si="6"/>
        <v>#VALUE!</v>
      </c>
      <c r="T246" s="113">
        <f t="shared" si="7"/>
        <v>0</v>
      </c>
    </row>
    <row r="247" spans="1:20" s="109" customFormat="1" x14ac:dyDescent="0.2">
      <c r="A247" s="116"/>
      <c r="B247" s="111"/>
      <c r="C247" s="110" t="s">
        <v>1130</v>
      </c>
      <c r="D247" s="110" t="s">
        <v>1131</v>
      </c>
      <c r="E247" s="112" t="s">
        <v>1132</v>
      </c>
      <c r="F247" s="111" t="s">
        <v>126</v>
      </c>
      <c r="G247" s="133">
        <v>60</v>
      </c>
      <c r="H247" s="124"/>
      <c r="I247" s="133" t="str">
        <f>IF(H247&gt;0,(#REF!*H247),"-")</f>
        <v>-</v>
      </c>
      <c r="J247" s="113">
        <v>254</v>
      </c>
      <c r="K247" s="110" t="s">
        <v>127</v>
      </c>
      <c r="L247" s="110" t="s">
        <v>144</v>
      </c>
      <c r="M247" s="110" t="s">
        <v>129</v>
      </c>
      <c r="N247" s="110" t="s">
        <v>130</v>
      </c>
      <c r="O247" s="110" t="s">
        <v>1133</v>
      </c>
      <c r="P247" s="110" t="s">
        <v>400</v>
      </c>
      <c r="Q247" s="110" t="s">
        <v>97</v>
      </c>
      <c r="R247" s="121">
        <v>0.20899999999999999</v>
      </c>
      <c r="S247" s="113" t="e">
        <f t="shared" si="6"/>
        <v>#VALUE!</v>
      </c>
      <c r="T247" s="113">
        <f t="shared" si="7"/>
        <v>0</v>
      </c>
    </row>
    <row r="248" spans="1:20" s="109" customFormat="1" x14ac:dyDescent="0.2">
      <c r="A248" s="116"/>
      <c r="B248" s="111" t="s">
        <v>289</v>
      </c>
      <c r="C248" s="110" t="s">
        <v>1134</v>
      </c>
      <c r="D248" s="110" t="s">
        <v>1135</v>
      </c>
      <c r="E248" s="112" t="s">
        <v>1136</v>
      </c>
      <c r="F248" s="111" t="s">
        <v>130</v>
      </c>
      <c r="G248" s="133">
        <v>170</v>
      </c>
      <c r="H248" s="124"/>
      <c r="I248" s="133" t="str">
        <f>IF(H248&gt;0,(#REF!*H248),"-")</f>
        <v>-</v>
      </c>
      <c r="J248" s="113">
        <v>1522</v>
      </c>
      <c r="K248" s="110" t="s">
        <v>127</v>
      </c>
      <c r="L248" s="110" t="s">
        <v>144</v>
      </c>
      <c r="M248" s="110" t="s">
        <v>129</v>
      </c>
      <c r="N248" s="110" t="s">
        <v>130</v>
      </c>
      <c r="O248" s="110" t="s">
        <v>1137</v>
      </c>
      <c r="P248" s="110" t="s">
        <v>137</v>
      </c>
      <c r="Q248" s="110" t="s">
        <v>96</v>
      </c>
      <c r="R248" s="121">
        <v>0.22700000000000001</v>
      </c>
      <c r="S248" s="113" t="e">
        <f t="shared" si="6"/>
        <v>#VALUE!</v>
      </c>
      <c r="T248" s="113">
        <f t="shared" si="7"/>
        <v>0</v>
      </c>
    </row>
    <row r="249" spans="1:20" s="109" customFormat="1" x14ac:dyDescent="0.2">
      <c r="A249" s="116"/>
      <c r="B249" s="111" t="s">
        <v>202</v>
      </c>
      <c r="C249" s="110" t="s">
        <v>1138</v>
      </c>
      <c r="D249" s="110" t="s">
        <v>1139</v>
      </c>
      <c r="E249" s="112" t="s">
        <v>1140</v>
      </c>
      <c r="F249" s="111" t="s">
        <v>130</v>
      </c>
      <c r="G249" s="133">
        <v>170</v>
      </c>
      <c r="H249" s="124"/>
      <c r="I249" s="133" t="str">
        <f>IF(H249&gt;0,(#REF!*H249),"-")</f>
        <v>-</v>
      </c>
      <c r="J249" s="113">
        <v>1522</v>
      </c>
      <c r="K249" s="110" t="s">
        <v>127</v>
      </c>
      <c r="L249" s="110" t="s">
        <v>144</v>
      </c>
      <c r="M249" s="110" t="s">
        <v>129</v>
      </c>
      <c r="N249" s="110" t="s">
        <v>130</v>
      </c>
      <c r="O249" s="110" t="s">
        <v>1141</v>
      </c>
      <c r="P249" s="110" t="s">
        <v>137</v>
      </c>
      <c r="Q249" s="110" t="s">
        <v>96</v>
      </c>
      <c r="R249" s="121">
        <v>0.16600000000000001</v>
      </c>
      <c r="S249" s="113" t="e">
        <f t="shared" si="6"/>
        <v>#VALUE!</v>
      </c>
      <c r="T249" s="113">
        <f t="shared" si="7"/>
        <v>0</v>
      </c>
    </row>
    <row r="250" spans="1:20" s="109" customFormat="1" x14ac:dyDescent="0.2">
      <c r="A250" s="116"/>
      <c r="B250" s="111" t="s">
        <v>207</v>
      </c>
      <c r="C250" s="110" t="s">
        <v>1142</v>
      </c>
      <c r="D250" s="110" t="s">
        <v>1143</v>
      </c>
      <c r="E250" s="112" t="s">
        <v>1144</v>
      </c>
      <c r="F250" s="111" t="s">
        <v>130</v>
      </c>
      <c r="G250" s="133">
        <v>185</v>
      </c>
      <c r="H250" s="124"/>
      <c r="I250" s="133" t="str">
        <f>IF(H250&gt;0,(#REF!*H250),"-")</f>
        <v>-</v>
      </c>
      <c r="J250" s="113">
        <v>1615</v>
      </c>
      <c r="K250" s="110" t="s">
        <v>127</v>
      </c>
      <c r="L250" s="110" t="s">
        <v>144</v>
      </c>
      <c r="M250" s="110" t="s">
        <v>129</v>
      </c>
      <c r="N250" s="110" t="s">
        <v>130</v>
      </c>
      <c r="O250" s="110" t="s">
        <v>1145</v>
      </c>
      <c r="P250" s="110" t="s">
        <v>137</v>
      </c>
      <c r="Q250" s="110" t="s">
        <v>96</v>
      </c>
      <c r="R250" s="121">
        <v>0.156</v>
      </c>
      <c r="S250" s="113" t="e">
        <f t="shared" si="6"/>
        <v>#VALUE!</v>
      </c>
      <c r="T250" s="113">
        <f t="shared" si="7"/>
        <v>0</v>
      </c>
    </row>
    <row r="251" spans="1:20" s="109" customFormat="1" x14ac:dyDescent="0.2">
      <c r="A251" s="116"/>
      <c r="B251" s="111"/>
      <c r="C251" s="110" t="s">
        <v>1146</v>
      </c>
      <c r="D251" s="110" t="s">
        <v>1147</v>
      </c>
      <c r="E251" s="112" t="s">
        <v>1148</v>
      </c>
      <c r="F251" s="111" t="s">
        <v>126</v>
      </c>
      <c r="G251" s="133">
        <v>155</v>
      </c>
      <c r="H251" s="124"/>
      <c r="I251" s="133" t="str">
        <f>IF(H251&gt;0,(#REF!*H251),"-")</f>
        <v>-</v>
      </c>
      <c r="J251" s="113">
        <v>524</v>
      </c>
      <c r="K251" s="110" t="s">
        <v>127</v>
      </c>
      <c r="L251" s="110" t="s">
        <v>144</v>
      </c>
      <c r="M251" s="110" t="s">
        <v>129</v>
      </c>
      <c r="N251" s="110" t="s">
        <v>130</v>
      </c>
      <c r="O251" s="110" t="s">
        <v>1149</v>
      </c>
      <c r="P251" s="110" t="s">
        <v>137</v>
      </c>
      <c r="Q251" s="110" t="s">
        <v>96</v>
      </c>
      <c r="R251" s="121">
        <v>4.99E-2</v>
      </c>
      <c r="S251" s="113" t="e">
        <f t="shared" si="6"/>
        <v>#VALUE!</v>
      </c>
      <c r="T251" s="113">
        <f t="shared" si="7"/>
        <v>0</v>
      </c>
    </row>
    <row r="252" spans="1:20" s="109" customFormat="1" x14ac:dyDescent="0.2">
      <c r="A252" s="116"/>
      <c r="B252" s="111" t="s">
        <v>202</v>
      </c>
      <c r="C252" s="110" t="s">
        <v>1150</v>
      </c>
      <c r="D252" s="110" t="s">
        <v>1151</v>
      </c>
      <c r="E252" s="112" t="s">
        <v>1152</v>
      </c>
      <c r="F252" s="111" t="s">
        <v>130</v>
      </c>
      <c r="G252" s="133">
        <v>140</v>
      </c>
      <c r="H252" s="124"/>
      <c r="I252" s="133" t="str">
        <f>IF(H252&gt;0,(#REF!*H252),"-")</f>
        <v>-</v>
      </c>
      <c r="J252" s="113">
        <v>2189</v>
      </c>
      <c r="K252" s="110" t="s">
        <v>127</v>
      </c>
      <c r="L252" s="110" t="s">
        <v>144</v>
      </c>
      <c r="M252" s="110" t="s">
        <v>129</v>
      </c>
      <c r="N252" s="110" t="s">
        <v>130</v>
      </c>
      <c r="O252" s="110" t="s">
        <v>1153</v>
      </c>
      <c r="P252" s="110" t="s">
        <v>137</v>
      </c>
      <c r="Q252" s="110" t="s">
        <v>96</v>
      </c>
      <c r="R252" s="121">
        <v>0.16819999999999999</v>
      </c>
      <c r="S252" s="113" t="e">
        <f t="shared" si="6"/>
        <v>#VALUE!</v>
      </c>
      <c r="T252" s="113">
        <f t="shared" si="7"/>
        <v>0</v>
      </c>
    </row>
    <row r="253" spans="1:20" s="109" customFormat="1" x14ac:dyDescent="0.2">
      <c r="A253" s="116"/>
      <c r="B253" s="111"/>
      <c r="C253" s="110" t="s">
        <v>1154</v>
      </c>
      <c r="D253" s="110" t="s">
        <v>1155</v>
      </c>
      <c r="E253" s="112" t="s">
        <v>1156</v>
      </c>
      <c r="F253" s="111" t="s">
        <v>126</v>
      </c>
      <c r="G253" s="133">
        <v>125</v>
      </c>
      <c r="H253" s="124"/>
      <c r="I253" s="133" t="str">
        <f>IF(H253&gt;0,(#REF!*H253),"-")</f>
        <v>-</v>
      </c>
      <c r="J253" s="113">
        <v>2189</v>
      </c>
      <c r="K253" s="110" t="s">
        <v>127</v>
      </c>
      <c r="L253" s="110" t="s">
        <v>144</v>
      </c>
      <c r="M253" s="110" t="s">
        <v>129</v>
      </c>
      <c r="N253" s="110" t="s">
        <v>130</v>
      </c>
      <c r="O253" s="110" t="s">
        <v>1157</v>
      </c>
      <c r="P253" s="110" t="s">
        <v>137</v>
      </c>
      <c r="Q253" s="110" t="s">
        <v>96</v>
      </c>
      <c r="R253" s="121">
        <v>0.154</v>
      </c>
      <c r="S253" s="113" t="e">
        <f t="shared" si="6"/>
        <v>#VALUE!</v>
      </c>
      <c r="T253" s="113">
        <f t="shared" si="7"/>
        <v>0</v>
      </c>
    </row>
    <row r="254" spans="1:20" s="109" customFormat="1" x14ac:dyDescent="0.2">
      <c r="A254" s="116"/>
      <c r="B254" s="111" t="s">
        <v>289</v>
      </c>
      <c r="C254" s="110" t="s">
        <v>1158</v>
      </c>
      <c r="D254" s="110" t="s">
        <v>1159</v>
      </c>
      <c r="E254" s="112" t="s">
        <v>1160</v>
      </c>
      <c r="F254" s="111" t="s">
        <v>130</v>
      </c>
      <c r="G254" s="133">
        <v>185</v>
      </c>
      <c r="H254" s="124"/>
      <c r="I254" s="133" t="str">
        <f>IF(H254&gt;0,(#REF!*H254),"-")</f>
        <v>-</v>
      </c>
      <c r="J254" s="113">
        <v>1522</v>
      </c>
      <c r="K254" s="110" t="s">
        <v>127</v>
      </c>
      <c r="L254" s="110" t="s">
        <v>144</v>
      </c>
      <c r="M254" s="110" t="s">
        <v>129</v>
      </c>
      <c r="N254" s="110" t="s">
        <v>130</v>
      </c>
      <c r="O254" s="110" t="s">
        <v>1161</v>
      </c>
      <c r="P254" s="110" t="s">
        <v>137</v>
      </c>
      <c r="Q254" s="110" t="s">
        <v>96</v>
      </c>
      <c r="R254" s="121">
        <v>0.218</v>
      </c>
      <c r="S254" s="113" t="e">
        <f t="shared" si="6"/>
        <v>#VALUE!</v>
      </c>
      <c r="T254" s="113">
        <f t="shared" si="7"/>
        <v>0</v>
      </c>
    </row>
    <row r="255" spans="1:20" s="109" customFormat="1" x14ac:dyDescent="0.2">
      <c r="A255" s="116"/>
      <c r="B255" s="111"/>
      <c r="C255" s="110" t="s">
        <v>1162</v>
      </c>
      <c r="D255" s="110" t="s">
        <v>1163</v>
      </c>
      <c r="E255" s="112" t="s">
        <v>1164</v>
      </c>
      <c r="F255" s="111" t="s">
        <v>126</v>
      </c>
      <c r="G255" s="133">
        <v>110</v>
      </c>
      <c r="H255" s="124"/>
      <c r="I255" s="133" t="str">
        <f>IF(H255&gt;0,(#REF!*H255),"-")</f>
        <v>-</v>
      </c>
      <c r="J255" s="113">
        <v>1097</v>
      </c>
      <c r="K255" s="110" t="s">
        <v>127</v>
      </c>
      <c r="L255" s="110" t="s">
        <v>144</v>
      </c>
      <c r="M255" s="110" t="s">
        <v>129</v>
      </c>
      <c r="N255" s="110" t="s">
        <v>130</v>
      </c>
      <c r="O255" s="110" t="s">
        <v>1165</v>
      </c>
      <c r="P255" s="110" t="s">
        <v>137</v>
      </c>
      <c r="Q255" s="110" t="s">
        <v>96</v>
      </c>
      <c r="R255" s="121">
        <v>0.13250000000000001</v>
      </c>
      <c r="S255" s="113" t="e">
        <f t="shared" si="6"/>
        <v>#VALUE!</v>
      </c>
      <c r="T255" s="113">
        <f t="shared" si="7"/>
        <v>0</v>
      </c>
    </row>
    <row r="256" spans="1:20" s="109" customFormat="1" x14ac:dyDescent="0.2">
      <c r="A256" s="116"/>
      <c r="B256" s="111" t="s">
        <v>207</v>
      </c>
      <c r="C256" s="110" t="s">
        <v>1166</v>
      </c>
      <c r="D256" s="110" t="s">
        <v>1167</v>
      </c>
      <c r="E256" s="112" t="s">
        <v>1168</v>
      </c>
      <c r="F256" s="111" t="s">
        <v>130</v>
      </c>
      <c r="G256" s="133">
        <v>124</v>
      </c>
      <c r="H256" s="124"/>
      <c r="I256" s="133" t="str">
        <f>IF(H256&gt;0,(#REF!*H256),"-")</f>
        <v>-</v>
      </c>
      <c r="J256" s="113">
        <v>1522</v>
      </c>
      <c r="K256" s="110" t="s">
        <v>127</v>
      </c>
      <c r="L256" s="110" t="s">
        <v>144</v>
      </c>
      <c r="M256" s="110" t="s">
        <v>129</v>
      </c>
      <c r="N256" s="110" t="s">
        <v>130</v>
      </c>
      <c r="O256" s="110" t="s">
        <v>1169</v>
      </c>
      <c r="P256" s="110" t="s">
        <v>137</v>
      </c>
      <c r="Q256" s="110" t="s">
        <v>96</v>
      </c>
      <c r="R256" s="121">
        <v>0.14199999999999999</v>
      </c>
      <c r="S256" s="113" t="e">
        <f t="shared" si="6"/>
        <v>#VALUE!</v>
      </c>
      <c r="T256" s="113">
        <f t="shared" si="7"/>
        <v>0</v>
      </c>
    </row>
    <row r="257" spans="1:20" s="109" customFormat="1" x14ac:dyDescent="0.2">
      <c r="A257" s="116"/>
      <c r="B257" s="111" t="s">
        <v>202</v>
      </c>
      <c r="C257" s="110" t="s">
        <v>1170</v>
      </c>
      <c r="D257" s="110" t="s">
        <v>1171</v>
      </c>
      <c r="E257" s="112" t="s">
        <v>1172</v>
      </c>
      <c r="F257" s="111" t="s">
        <v>130</v>
      </c>
      <c r="G257" s="133">
        <v>155</v>
      </c>
      <c r="H257" s="124"/>
      <c r="I257" s="133" t="str">
        <f>IF(H257&gt;0,(#REF!*H257),"-")</f>
        <v>-</v>
      </c>
      <c r="J257" s="113">
        <v>1046</v>
      </c>
      <c r="K257" s="110" t="s">
        <v>127</v>
      </c>
      <c r="L257" s="110" t="s">
        <v>144</v>
      </c>
      <c r="M257" s="110" t="s">
        <v>129</v>
      </c>
      <c r="N257" s="110" t="s">
        <v>130</v>
      </c>
      <c r="O257" s="110" t="s">
        <v>1173</v>
      </c>
      <c r="P257" s="110" t="s">
        <v>137</v>
      </c>
      <c r="Q257" s="110" t="s">
        <v>96</v>
      </c>
      <c r="R257" s="121">
        <v>0.14799999999999999</v>
      </c>
      <c r="S257" s="113" t="e">
        <f t="shared" si="6"/>
        <v>#VALUE!</v>
      </c>
      <c r="T257" s="113">
        <f t="shared" si="7"/>
        <v>0</v>
      </c>
    </row>
    <row r="258" spans="1:20" s="109" customFormat="1" x14ac:dyDescent="0.2">
      <c r="A258" s="116"/>
      <c r="B258" s="111"/>
      <c r="C258" s="110" t="s">
        <v>1174</v>
      </c>
      <c r="D258" s="110" t="s">
        <v>1175</v>
      </c>
      <c r="E258" s="112" t="s">
        <v>1176</v>
      </c>
      <c r="F258" s="111" t="s">
        <v>126</v>
      </c>
      <c r="G258" s="133">
        <v>186</v>
      </c>
      <c r="H258" s="124"/>
      <c r="I258" s="133" t="str">
        <f>IF(H258&gt;0,(#REF!*H258),"-")</f>
        <v>-</v>
      </c>
      <c r="J258" s="113">
        <v>1046</v>
      </c>
      <c r="K258" s="110" t="s">
        <v>127</v>
      </c>
      <c r="L258" s="110" t="s">
        <v>144</v>
      </c>
      <c r="M258" s="110" t="s">
        <v>129</v>
      </c>
      <c r="N258" s="110" t="s">
        <v>130</v>
      </c>
      <c r="O258" s="110" t="s">
        <v>1177</v>
      </c>
      <c r="P258" s="110" t="s">
        <v>137</v>
      </c>
      <c r="Q258" s="110" t="s">
        <v>96</v>
      </c>
      <c r="R258" s="121">
        <v>0.156</v>
      </c>
      <c r="S258" s="113" t="e">
        <f t="shared" ref="S258:S321" si="8">Q258*H258</f>
        <v>#VALUE!</v>
      </c>
      <c r="T258" s="113">
        <f t="shared" ref="T258:T321" si="9">R258*H258</f>
        <v>0</v>
      </c>
    </row>
    <row r="259" spans="1:20" s="109" customFormat="1" x14ac:dyDescent="0.2">
      <c r="A259" s="116"/>
      <c r="B259" s="111"/>
      <c r="C259" s="110" t="s">
        <v>1178</v>
      </c>
      <c r="D259" s="110" t="s">
        <v>1179</v>
      </c>
      <c r="E259" s="112" t="s">
        <v>1180</v>
      </c>
      <c r="F259" s="111" t="s">
        <v>126</v>
      </c>
      <c r="G259" s="133">
        <v>110</v>
      </c>
      <c r="H259" s="124"/>
      <c r="I259" s="133" t="str">
        <f>IF(H259&gt;0,(#REF!*H259),"-")</f>
        <v>-</v>
      </c>
      <c r="J259" s="113">
        <v>1046</v>
      </c>
      <c r="K259" s="110" t="s">
        <v>127</v>
      </c>
      <c r="L259" s="110" t="s">
        <v>144</v>
      </c>
      <c r="M259" s="110" t="s">
        <v>129</v>
      </c>
      <c r="N259" s="110" t="s">
        <v>130</v>
      </c>
      <c r="O259" s="110" t="s">
        <v>1181</v>
      </c>
      <c r="P259" s="110" t="s">
        <v>137</v>
      </c>
      <c r="Q259" s="110" t="s">
        <v>96</v>
      </c>
      <c r="R259" s="121">
        <v>0.112</v>
      </c>
      <c r="S259" s="113" t="e">
        <f t="shared" si="8"/>
        <v>#VALUE!</v>
      </c>
      <c r="T259" s="113">
        <f t="shared" si="9"/>
        <v>0</v>
      </c>
    </row>
    <row r="260" spans="1:20" s="109" customFormat="1" x14ac:dyDescent="0.2">
      <c r="A260" s="116"/>
      <c r="B260" s="111" t="s">
        <v>289</v>
      </c>
      <c r="C260" s="110" t="s">
        <v>1182</v>
      </c>
      <c r="D260" s="110" t="s">
        <v>1183</v>
      </c>
      <c r="E260" s="112" t="s">
        <v>1184</v>
      </c>
      <c r="F260" s="111" t="s">
        <v>130</v>
      </c>
      <c r="G260" s="133">
        <v>170</v>
      </c>
      <c r="H260" s="124"/>
      <c r="I260" s="133" t="str">
        <f>IF(H260&gt;0,(#REF!*H260),"-")</f>
        <v>-</v>
      </c>
      <c r="J260" s="113">
        <v>3529</v>
      </c>
      <c r="K260" s="110" t="s">
        <v>127</v>
      </c>
      <c r="L260" s="110" t="s">
        <v>144</v>
      </c>
      <c r="M260" s="110" t="s">
        <v>129</v>
      </c>
      <c r="N260" s="110" t="s">
        <v>130</v>
      </c>
      <c r="O260" s="110" t="s">
        <v>1185</v>
      </c>
      <c r="P260" s="110" t="s">
        <v>137</v>
      </c>
      <c r="Q260" s="110" t="s">
        <v>96</v>
      </c>
      <c r="R260" s="121">
        <v>0.41199999999999998</v>
      </c>
      <c r="S260" s="113" t="e">
        <f t="shared" si="8"/>
        <v>#VALUE!</v>
      </c>
      <c r="T260" s="113">
        <f t="shared" si="9"/>
        <v>0</v>
      </c>
    </row>
    <row r="261" spans="1:20" s="109" customFormat="1" x14ac:dyDescent="0.2">
      <c r="A261" s="116"/>
      <c r="B261" s="111" t="s">
        <v>289</v>
      </c>
      <c r="C261" s="110" t="s">
        <v>1186</v>
      </c>
      <c r="D261" s="110" t="s">
        <v>1187</v>
      </c>
      <c r="E261" s="112" t="s">
        <v>1188</v>
      </c>
      <c r="F261" s="111" t="s">
        <v>130</v>
      </c>
      <c r="G261" s="133">
        <v>235</v>
      </c>
      <c r="H261" s="124"/>
      <c r="I261" s="133" t="str">
        <f>IF(H261&gt;0,(#REF!*H261),"-")</f>
        <v>-</v>
      </c>
      <c r="J261" s="113">
        <v>4222</v>
      </c>
      <c r="K261" s="110" t="s">
        <v>127</v>
      </c>
      <c r="L261" s="110" t="s">
        <v>144</v>
      </c>
      <c r="M261" s="110" t="s">
        <v>129</v>
      </c>
      <c r="N261" s="110" t="s">
        <v>130</v>
      </c>
      <c r="O261" s="110" t="s">
        <v>1189</v>
      </c>
      <c r="P261" s="110" t="s">
        <v>137</v>
      </c>
      <c r="Q261" s="110" t="s">
        <v>96</v>
      </c>
      <c r="R261" s="121">
        <v>0.44900000000000001</v>
      </c>
      <c r="S261" s="113" t="e">
        <f t="shared" si="8"/>
        <v>#VALUE!</v>
      </c>
      <c r="T261" s="113">
        <f t="shared" si="9"/>
        <v>0</v>
      </c>
    </row>
    <row r="262" spans="1:20" s="109" customFormat="1" x14ac:dyDescent="0.2">
      <c r="A262" s="116"/>
      <c r="B262" s="111"/>
      <c r="C262" s="110" t="s">
        <v>1190</v>
      </c>
      <c r="D262" s="110" t="s">
        <v>1191</v>
      </c>
      <c r="E262" s="112" t="s">
        <v>1192</v>
      </c>
      <c r="F262" s="111" t="s">
        <v>126</v>
      </c>
      <c r="G262" s="133">
        <v>295</v>
      </c>
      <c r="H262" s="124"/>
      <c r="I262" s="133" t="str">
        <f>IF(H262&gt;0,(#REF!*H262),"-")</f>
        <v>-</v>
      </c>
      <c r="J262" s="113">
        <v>1522</v>
      </c>
      <c r="K262" s="110" t="s">
        <v>127</v>
      </c>
      <c r="L262" s="110" t="s">
        <v>144</v>
      </c>
      <c r="M262" s="110" t="s">
        <v>129</v>
      </c>
      <c r="N262" s="110" t="s">
        <v>130</v>
      </c>
      <c r="O262" s="110" t="s">
        <v>1193</v>
      </c>
      <c r="P262" s="110" t="s">
        <v>137</v>
      </c>
      <c r="Q262" s="110" t="s">
        <v>96</v>
      </c>
      <c r="R262" s="121">
        <v>0.24</v>
      </c>
      <c r="S262" s="113" t="e">
        <f t="shared" si="8"/>
        <v>#VALUE!</v>
      </c>
      <c r="T262" s="113">
        <f t="shared" si="9"/>
        <v>0</v>
      </c>
    </row>
    <row r="263" spans="1:20" s="109" customFormat="1" x14ac:dyDescent="0.2">
      <c r="A263" s="116"/>
      <c r="B263" s="111" t="s">
        <v>202</v>
      </c>
      <c r="C263" s="110" t="s">
        <v>1194</v>
      </c>
      <c r="D263" s="110" t="s">
        <v>1195</v>
      </c>
      <c r="E263" s="112" t="s">
        <v>1196</v>
      </c>
      <c r="F263" s="111" t="s">
        <v>130</v>
      </c>
      <c r="G263" s="133">
        <v>235</v>
      </c>
      <c r="H263" s="124"/>
      <c r="I263" s="133" t="str">
        <f>IF(H263&gt;0,(#REF!*H263),"-")</f>
        <v>-</v>
      </c>
      <c r="J263" s="113">
        <v>4050</v>
      </c>
      <c r="K263" s="110" t="s">
        <v>127</v>
      </c>
      <c r="L263" s="110" t="s">
        <v>144</v>
      </c>
      <c r="M263" s="110" t="s">
        <v>129</v>
      </c>
      <c r="N263" s="110" t="s">
        <v>130</v>
      </c>
      <c r="O263" s="110" t="s">
        <v>1197</v>
      </c>
      <c r="P263" s="110" t="s">
        <v>137</v>
      </c>
      <c r="Q263" s="110" t="s">
        <v>96</v>
      </c>
      <c r="R263" s="121">
        <v>0.45200000000000001</v>
      </c>
      <c r="S263" s="113" t="e">
        <f t="shared" si="8"/>
        <v>#VALUE!</v>
      </c>
      <c r="T263" s="113">
        <f t="shared" si="9"/>
        <v>0</v>
      </c>
    </row>
    <row r="264" spans="1:20" s="109" customFormat="1" x14ac:dyDescent="0.2">
      <c r="A264" s="116"/>
      <c r="B264" s="111" t="s">
        <v>289</v>
      </c>
      <c r="C264" s="110" t="s">
        <v>1198</v>
      </c>
      <c r="D264" s="110" t="s">
        <v>1199</v>
      </c>
      <c r="E264" s="112" t="s">
        <v>1200</v>
      </c>
      <c r="F264" s="111" t="s">
        <v>130</v>
      </c>
      <c r="G264" s="133">
        <v>110</v>
      </c>
      <c r="H264" s="124"/>
      <c r="I264" s="133" t="str">
        <f>IF(H264&gt;0,(#REF!*H264),"-")</f>
        <v>-</v>
      </c>
      <c r="J264" s="113">
        <v>1063</v>
      </c>
      <c r="K264" s="110" t="s">
        <v>127</v>
      </c>
      <c r="L264" s="110" t="s">
        <v>144</v>
      </c>
      <c r="M264" s="110" t="s">
        <v>129</v>
      </c>
      <c r="N264" s="110" t="s">
        <v>130</v>
      </c>
      <c r="O264" s="110" t="s">
        <v>1201</v>
      </c>
      <c r="P264" s="110" t="s">
        <v>137</v>
      </c>
      <c r="Q264" s="110" t="s">
        <v>96</v>
      </c>
      <c r="R264" s="121">
        <v>0.13719999999999999</v>
      </c>
      <c r="S264" s="113" t="e">
        <f t="shared" si="8"/>
        <v>#VALUE!</v>
      </c>
      <c r="T264" s="113">
        <f t="shared" si="9"/>
        <v>0</v>
      </c>
    </row>
    <row r="265" spans="1:20" s="109" customFormat="1" x14ac:dyDescent="0.2">
      <c r="A265" s="116"/>
      <c r="B265" s="111" t="s">
        <v>207</v>
      </c>
      <c r="C265" s="110" t="s">
        <v>1202</v>
      </c>
      <c r="D265" s="110" t="s">
        <v>1203</v>
      </c>
      <c r="E265" s="112" t="s">
        <v>1204</v>
      </c>
      <c r="F265" s="111" t="s">
        <v>130</v>
      </c>
      <c r="G265" s="133">
        <v>310</v>
      </c>
      <c r="H265" s="124"/>
      <c r="I265" s="133" t="str">
        <f>IF(H265&gt;0,(#REF!*H265),"-")</f>
        <v>-</v>
      </c>
      <c r="J265" s="113">
        <v>6075</v>
      </c>
      <c r="K265" s="110" t="s">
        <v>127</v>
      </c>
      <c r="L265" s="110" t="s">
        <v>144</v>
      </c>
      <c r="M265" s="110" t="s">
        <v>129</v>
      </c>
      <c r="N265" s="110" t="s">
        <v>130</v>
      </c>
      <c r="O265" s="110" t="s">
        <v>1205</v>
      </c>
      <c r="P265" s="110" t="s">
        <v>137</v>
      </c>
      <c r="Q265" s="110" t="s">
        <v>96</v>
      </c>
      <c r="R265" s="121">
        <v>0.60899999999999999</v>
      </c>
      <c r="S265" s="113" t="e">
        <f t="shared" si="8"/>
        <v>#VALUE!</v>
      </c>
      <c r="T265" s="113">
        <f t="shared" si="9"/>
        <v>0</v>
      </c>
    </row>
    <row r="266" spans="1:20" s="109" customFormat="1" x14ac:dyDescent="0.2">
      <c r="A266" s="116"/>
      <c r="B266" s="111" t="s">
        <v>202</v>
      </c>
      <c r="C266" s="110" t="s">
        <v>1206</v>
      </c>
      <c r="D266" s="110" t="s">
        <v>1207</v>
      </c>
      <c r="E266" s="112" t="s">
        <v>1208</v>
      </c>
      <c r="F266" s="111" t="s">
        <v>130</v>
      </c>
      <c r="G266" s="133">
        <v>200</v>
      </c>
      <c r="H266" s="124"/>
      <c r="I266" s="133" t="str">
        <f>IF(H266&gt;0,(#REF!*H266),"-")</f>
        <v>-</v>
      </c>
      <c r="J266" s="113">
        <v>1522</v>
      </c>
      <c r="K266" s="110" t="s">
        <v>127</v>
      </c>
      <c r="L266" s="110" t="s">
        <v>144</v>
      </c>
      <c r="M266" s="110" t="s">
        <v>129</v>
      </c>
      <c r="N266" s="110" t="s">
        <v>130</v>
      </c>
      <c r="O266" s="110" t="s">
        <v>1209</v>
      </c>
      <c r="P266" s="110" t="s">
        <v>137</v>
      </c>
      <c r="Q266" s="110" t="s">
        <v>96</v>
      </c>
      <c r="R266" s="121">
        <v>0.152</v>
      </c>
      <c r="S266" s="113" t="e">
        <f t="shared" si="8"/>
        <v>#VALUE!</v>
      </c>
      <c r="T266" s="113">
        <f t="shared" si="9"/>
        <v>0</v>
      </c>
    </row>
    <row r="267" spans="1:20" s="109" customFormat="1" x14ac:dyDescent="0.2">
      <c r="A267" s="116"/>
      <c r="B267" s="111" t="s">
        <v>202</v>
      </c>
      <c r="C267" s="110" t="s">
        <v>1210</v>
      </c>
      <c r="D267" s="110" t="s">
        <v>1211</v>
      </c>
      <c r="E267" s="112" t="s">
        <v>1212</v>
      </c>
      <c r="F267" s="111" t="s">
        <v>130</v>
      </c>
      <c r="G267" s="133">
        <v>167</v>
      </c>
      <c r="H267" s="124"/>
      <c r="I267" s="133" t="str">
        <f>IF(H267&gt;0,(#REF!*H267),"-")</f>
        <v>-</v>
      </c>
      <c r="J267" s="113">
        <v>1615</v>
      </c>
      <c r="K267" s="110" t="s">
        <v>127</v>
      </c>
      <c r="L267" s="110" t="s">
        <v>144</v>
      </c>
      <c r="M267" s="110" t="s">
        <v>129</v>
      </c>
      <c r="N267" s="110" t="s">
        <v>130</v>
      </c>
      <c r="O267" s="110" t="s">
        <v>1213</v>
      </c>
      <c r="P267" s="110" t="s">
        <v>137</v>
      </c>
      <c r="Q267" s="110" t="s">
        <v>96</v>
      </c>
      <c r="R267" s="121">
        <v>0.17399999999999999</v>
      </c>
      <c r="S267" s="113" t="e">
        <f t="shared" si="8"/>
        <v>#VALUE!</v>
      </c>
      <c r="T267" s="113">
        <f t="shared" si="9"/>
        <v>0</v>
      </c>
    </row>
    <row r="268" spans="1:20" s="109" customFormat="1" x14ac:dyDescent="0.2">
      <c r="A268" s="116"/>
      <c r="B268" s="111"/>
      <c r="C268" s="110" t="s">
        <v>1214</v>
      </c>
      <c r="D268" s="110" t="s">
        <v>1215</v>
      </c>
      <c r="E268" s="112" t="s">
        <v>1216</v>
      </c>
      <c r="F268" s="111" t="s">
        <v>126</v>
      </c>
      <c r="G268" s="133">
        <v>125</v>
      </c>
      <c r="H268" s="124"/>
      <c r="I268" s="133" t="str">
        <f>IF(H268&gt;0,(#REF!*H268),"-")</f>
        <v>-</v>
      </c>
      <c r="J268" s="113">
        <v>2189</v>
      </c>
      <c r="K268" s="110" t="s">
        <v>127</v>
      </c>
      <c r="L268" s="110" t="s">
        <v>144</v>
      </c>
      <c r="M268" s="110" t="s">
        <v>129</v>
      </c>
      <c r="N268" s="110" t="s">
        <v>130</v>
      </c>
      <c r="O268" s="110" t="s">
        <v>1217</v>
      </c>
      <c r="P268" s="110" t="s">
        <v>137</v>
      </c>
      <c r="Q268" s="110" t="s">
        <v>96</v>
      </c>
      <c r="R268" s="121">
        <v>0.17599999999999999</v>
      </c>
      <c r="S268" s="113" t="e">
        <f t="shared" si="8"/>
        <v>#VALUE!</v>
      </c>
      <c r="T268" s="113">
        <f t="shared" si="9"/>
        <v>0</v>
      </c>
    </row>
    <row r="269" spans="1:20" s="109" customFormat="1" x14ac:dyDescent="0.2">
      <c r="A269" s="116"/>
      <c r="B269" s="111" t="s">
        <v>202</v>
      </c>
      <c r="C269" s="110" t="s">
        <v>1218</v>
      </c>
      <c r="D269" s="110" t="s">
        <v>1219</v>
      </c>
      <c r="E269" s="112" t="s">
        <v>1220</v>
      </c>
      <c r="F269" s="111" t="s">
        <v>130</v>
      </c>
      <c r="G269" s="133">
        <v>112</v>
      </c>
      <c r="H269" s="124"/>
      <c r="I269" s="133" t="str">
        <f>IF(H269&gt;0,(#REF!*H269),"-")</f>
        <v>-</v>
      </c>
      <c r="J269" s="113">
        <v>398</v>
      </c>
      <c r="K269" s="110" t="s">
        <v>127</v>
      </c>
      <c r="L269" s="110" t="s">
        <v>144</v>
      </c>
      <c r="M269" s="110" t="s">
        <v>129</v>
      </c>
      <c r="N269" s="110" t="s">
        <v>130</v>
      </c>
      <c r="O269" s="110" t="s">
        <v>1221</v>
      </c>
      <c r="P269" s="110" t="s">
        <v>137</v>
      </c>
      <c r="Q269" s="110" t="s">
        <v>96</v>
      </c>
      <c r="R269" s="121">
        <v>2.53E-2</v>
      </c>
      <c r="S269" s="113" t="e">
        <f t="shared" si="8"/>
        <v>#VALUE!</v>
      </c>
      <c r="T269" s="113">
        <f t="shared" si="9"/>
        <v>0</v>
      </c>
    </row>
    <row r="270" spans="1:20" s="109" customFormat="1" x14ac:dyDescent="0.2">
      <c r="A270" s="116"/>
      <c r="B270" s="111" t="s">
        <v>207</v>
      </c>
      <c r="C270" s="110" t="s">
        <v>1222</v>
      </c>
      <c r="D270" s="110" t="s">
        <v>1223</v>
      </c>
      <c r="E270" s="112" t="s">
        <v>1224</v>
      </c>
      <c r="F270" s="111" t="s">
        <v>130</v>
      </c>
      <c r="G270" s="133">
        <v>200</v>
      </c>
      <c r="H270" s="124"/>
      <c r="I270" s="133" t="str">
        <f>IF(H270&gt;0,(#REF!*H270),"-")</f>
        <v>-</v>
      </c>
      <c r="J270" s="113">
        <v>504</v>
      </c>
      <c r="K270" s="110" t="s">
        <v>127</v>
      </c>
      <c r="L270" s="110" t="s">
        <v>144</v>
      </c>
      <c r="M270" s="110" t="s">
        <v>129</v>
      </c>
      <c r="N270" s="110" t="s">
        <v>130</v>
      </c>
      <c r="O270" s="110" t="s">
        <v>1225</v>
      </c>
      <c r="P270" s="110" t="s">
        <v>137</v>
      </c>
      <c r="Q270" s="110" t="s">
        <v>96</v>
      </c>
      <c r="R270" s="121">
        <v>9.2399999999999996E-2</v>
      </c>
      <c r="S270" s="113" t="e">
        <f t="shared" si="8"/>
        <v>#VALUE!</v>
      </c>
      <c r="T270" s="113">
        <f t="shared" si="9"/>
        <v>0</v>
      </c>
    </row>
    <row r="271" spans="1:20" s="109" customFormat="1" x14ac:dyDescent="0.2">
      <c r="A271" s="116"/>
      <c r="B271" s="111" t="s">
        <v>202</v>
      </c>
      <c r="C271" s="110" t="s">
        <v>1226</v>
      </c>
      <c r="D271" s="110" t="s">
        <v>1227</v>
      </c>
      <c r="E271" s="112" t="s">
        <v>1228</v>
      </c>
      <c r="F271" s="111" t="s">
        <v>130</v>
      </c>
      <c r="G271" s="133">
        <v>215</v>
      </c>
      <c r="H271" s="124"/>
      <c r="I271" s="133" t="str">
        <f>IF(H271&gt;0,(#REF!*H271),"-")</f>
        <v>-</v>
      </c>
      <c r="J271" s="113">
        <v>5063</v>
      </c>
      <c r="K271" s="110" t="s">
        <v>127</v>
      </c>
      <c r="L271" s="110" t="s">
        <v>144</v>
      </c>
      <c r="M271" s="110" t="s">
        <v>129</v>
      </c>
      <c r="N271" s="110" t="s">
        <v>130</v>
      </c>
      <c r="O271" s="110" t="s">
        <v>1229</v>
      </c>
      <c r="P271" s="110" t="s">
        <v>137</v>
      </c>
      <c r="Q271" s="110" t="s">
        <v>96</v>
      </c>
      <c r="R271" s="121">
        <v>0.52800000000000002</v>
      </c>
      <c r="S271" s="113" t="e">
        <f t="shared" si="8"/>
        <v>#VALUE!</v>
      </c>
      <c r="T271" s="113">
        <f t="shared" si="9"/>
        <v>0</v>
      </c>
    </row>
    <row r="272" spans="1:20" s="109" customFormat="1" x14ac:dyDescent="0.2">
      <c r="A272" s="116"/>
      <c r="B272" s="111" t="s">
        <v>207</v>
      </c>
      <c r="C272" s="110" t="s">
        <v>1230</v>
      </c>
      <c r="D272" s="110" t="s">
        <v>1231</v>
      </c>
      <c r="E272" s="112" t="s">
        <v>1232</v>
      </c>
      <c r="F272" s="111" t="s">
        <v>130</v>
      </c>
      <c r="G272" s="133">
        <v>185</v>
      </c>
      <c r="H272" s="124"/>
      <c r="I272" s="133" t="str">
        <f>IF(H272&gt;0,(#REF!*H272),"-")</f>
        <v>-</v>
      </c>
      <c r="J272" s="113">
        <v>1522</v>
      </c>
      <c r="K272" s="110" t="s">
        <v>127</v>
      </c>
      <c r="L272" s="110" t="s">
        <v>144</v>
      </c>
      <c r="M272" s="110" t="s">
        <v>129</v>
      </c>
      <c r="N272" s="110" t="s">
        <v>130</v>
      </c>
      <c r="O272" s="110" t="s">
        <v>1233</v>
      </c>
      <c r="P272" s="110" t="s">
        <v>137</v>
      </c>
      <c r="Q272" s="110" t="s">
        <v>96</v>
      </c>
      <c r="R272" s="121">
        <v>0.13600000000000001</v>
      </c>
      <c r="S272" s="113" t="e">
        <f t="shared" si="8"/>
        <v>#VALUE!</v>
      </c>
      <c r="T272" s="113">
        <f t="shared" si="9"/>
        <v>0</v>
      </c>
    </row>
    <row r="273" spans="1:20" s="109" customFormat="1" x14ac:dyDescent="0.2">
      <c r="A273" s="116"/>
      <c r="B273" s="111"/>
      <c r="C273" s="110" t="s">
        <v>1234</v>
      </c>
      <c r="D273" s="110" t="s">
        <v>1235</v>
      </c>
      <c r="E273" s="112" t="s">
        <v>1236</v>
      </c>
      <c r="F273" s="111" t="s">
        <v>126</v>
      </c>
      <c r="G273" s="133">
        <v>190</v>
      </c>
      <c r="H273" s="124"/>
      <c r="I273" s="133" t="str">
        <f>IF(H273&gt;0,(#REF!*H273),"-")</f>
        <v>-</v>
      </c>
      <c r="J273" s="113">
        <v>1522</v>
      </c>
      <c r="K273" s="110" t="s">
        <v>127</v>
      </c>
      <c r="L273" s="110" t="s">
        <v>144</v>
      </c>
      <c r="M273" s="110" t="s">
        <v>129</v>
      </c>
      <c r="N273" s="110" t="s">
        <v>130</v>
      </c>
      <c r="O273" s="110" t="s">
        <v>1237</v>
      </c>
      <c r="P273" s="110" t="s">
        <v>137</v>
      </c>
      <c r="Q273" s="110" t="s">
        <v>96</v>
      </c>
      <c r="R273" s="121">
        <v>0.154</v>
      </c>
      <c r="S273" s="113" t="e">
        <f t="shared" si="8"/>
        <v>#VALUE!</v>
      </c>
      <c r="T273" s="113">
        <f t="shared" si="9"/>
        <v>0</v>
      </c>
    </row>
    <row r="274" spans="1:20" s="109" customFormat="1" x14ac:dyDescent="0.2">
      <c r="A274" s="116"/>
      <c r="B274" s="111"/>
      <c r="C274" s="110" t="s">
        <v>1238</v>
      </c>
      <c r="D274" s="110" t="s">
        <v>1239</v>
      </c>
      <c r="E274" s="112" t="s">
        <v>1240</v>
      </c>
      <c r="F274" s="111" t="s">
        <v>126</v>
      </c>
      <c r="G274" s="133">
        <v>90</v>
      </c>
      <c r="H274" s="124"/>
      <c r="I274" s="133" t="str">
        <f>IF(H274&gt;0,(#REF!*H274),"-")</f>
        <v>-</v>
      </c>
      <c r="J274" s="113">
        <v>540</v>
      </c>
      <c r="K274" s="110" t="s">
        <v>127</v>
      </c>
      <c r="L274" s="110" t="s">
        <v>144</v>
      </c>
      <c r="M274" s="110" t="s">
        <v>129</v>
      </c>
      <c r="N274" s="110" t="s">
        <v>130</v>
      </c>
      <c r="O274" s="110" t="s">
        <v>1241</v>
      </c>
      <c r="P274" s="110" t="s">
        <v>137</v>
      </c>
      <c r="Q274" s="110" t="s">
        <v>96</v>
      </c>
      <c r="R274" s="121">
        <v>3.3700000000000001E-2</v>
      </c>
      <c r="S274" s="113" t="e">
        <f t="shared" si="8"/>
        <v>#VALUE!</v>
      </c>
      <c r="T274" s="113">
        <f t="shared" si="9"/>
        <v>0</v>
      </c>
    </row>
    <row r="275" spans="1:20" s="109" customFormat="1" x14ac:dyDescent="0.2">
      <c r="A275" s="116"/>
      <c r="B275" s="111"/>
      <c r="C275" s="110" t="s">
        <v>1242</v>
      </c>
      <c r="D275" s="110" t="s">
        <v>1243</v>
      </c>
      <c r="E275" s="112" t="s">
        <v>1244</v>
      </c>
      <c r="F275" s="111" t="s">
        <v>126</v>
      </c>
      <c r="G275" s="133">
        <v>370</v>
      </c>
      <c r="H275" s="124"/>
      <c r="I275" s="133" t="str">
        <f>IF(H275&gt;0,(#REF!*H275),"-")</f>
        <v>-</v>
      </c>
      <c r="J275" s="113">
        <v>3419</v>
      </c>
      <c r="K275" s="110" t="s">
        <v>127</v>
      </c>
      <c r="L275" s="110" t="s">
        <v>144</v>
      </c>
      <c r="M275" s="110" t="s">
        <v>129</v>
      </c>
      <c r="N275" s="110" t="s">
        <v>130</v>
      </c>
      <c r="O275" s="110" t="s">
        <v>1245</v>
      </c>
      <c r="P275" s="110" t="s">
        <v>137</v>
      </c>
      <c r="Q275" s="110" t="s">
        <v>96</v>
      </c>
      <c r="R275" s="121">
        <v>0.5393</v>
      </c>
      <c r="S275" s="113" t="e">
        <f t="shared" si="8"/>
        <v>#VALUE!</v>
      </c>
      <c r="T275" s="113">
        <f t="shared" si="9"/>
        <v>0</v>
      </c>
    </row>
    <row r="276" spans="1:20" s="109" customFormat="1" x14ac:dyDescent="0.2">
      <c r="A276" s="116"/>
      <c r="B276" s="111"/>
      <c r="C276" s="110" t="s">
        <v>1246</v>
      </c>
      <c r="D276" s="110" t="s">
        <v>1247</v>
      </c>
      <c r="E276" s="112" t="s">
        <v>1248</v>
      </c>
      <c r="F276" s="111" t="s">
        <v>126</v>
      </c>
      <c r="G276" s="133">
        <v>90</v>
      </c>
      <c r="H276" s="124"/>
      <c r="I276" s="133" t="str">
        <f>IF(H276&gt;0,(#REF!*H276),"-")</f>
        <v>-</v>
      </c>
      <c r="J276" s="113">
        <v>540</v>
      </c>
      <c r="K276" s="110" t="s">
        <v>127</v>
      </c>
      <c r="L276" s="110" t="s">
        <v>144</v>
      </c>
      <c r="M276" s="110" t="s">
        <v>129</v>
      </c>
      <c r="N276" s="110" t="s">
        <v>130</v>
      </c>
      <c r="O276" s="110" t="s">
        <v>1249</v>
      </c>
      <c r="P276" s="110" t="s">
        <v>137</v>
      </c>
      <c r="Q276" s="110" t="s">
        <v>96</v>
      </c>
      <c r="R276" s="121">
        <v>3.44E-2</v>
      </c>
      <c r="S276" s="113" t="e">
        <f t="shared" si="8"/>
        <v>#VALUE!</v>
      </c>
      <c r="T276" s="113">
        <f t="shared" si="9"/>
        <v>0</v>
      </c>
    </row>
    <row r="277" spans="1:20" s="109" customFormat="1" x14ac:dyDescent="0.2">
      <c r="A277" s="116"/>
      <c r="B277" s="111"/>
      <c r="C277" s="110" t="s">
        <v>1250</v>
      </c>
      <c r="D277" s="110" t="s">
        <v>1251</v>
      </c>
      <c r="E277" s="112" t="s">
        <v>1252</v>
      </c>
      <c r="F277" s="111" t="s">
        <v>126</v>
      </c>
      <c r="G277" s="133">
        <v>90</v>
      </c>
      <c r="H277" s="124"/>
      <c r="I277" s="133" t="str">
        <f>IF(H277&gt;0,(#REF!*H277),"-")</f>
        <v>-</v>
      </c>
      <c r="J277" s="113">
        <v>540</v>
      </c>
      <c r="K277" s="110" t="s">
        <v>127</v>
      </c>
      <c r="L277" s="110" t="s">
        <v>144</v>
      </c>
      <c r="M277" s="110" t="s">
        <v>129</v>
      </c>
      <c r="N277" s="110" t="s">
        <v>130</v>
      </c>
      <c r="O277" s="110" t="s">
        <v>1253</v>
      </c>
      <c r="P277" s="110" t="s">
        <v>137</v>
      </c>
      <c r="Q277" s="110" t="s">
        <v>96</v>
      </c>
      <c r="R277" s="121">
        <v>3.39E-2</v>
      </c>
      <c r="S277" s="113" t="e">
        <f t="shared" si="8"/>
        <v>#VALUE!</v>
      </c>
      <c r="T277" s="113">
        <f t="shared" si="9"/>
        <v>0</v>
      </c>
    </row>
    <row r="278" spans="1:20" s="109" customFormat="1" x14ac:dyDescent="0.2">
      <c r="A278" s="116"/>
      <c r="B278" s="111"/>
      <c r="C278" s="110" t="s">
        <v>1254</v>
      </c>
      <c r="D278" s="110" t="s">
        <v>1255</v>
      </c>
      <c r="E278" s="112" t="s">
        <v>1256</v>
      </c>
      <c r="F278" s="111" t="s">
        <v>126</v>
      </c>
      <c r="G278" s="133">
        <v>90</v>
      </c>
      <c r="H278" s="124"/>
      <c r="I278" s="133" t="str">
        <f>IF(H278&gt;0,(#REF!*H278),"-")</f>
        <v>-</v>
      </c>
      <c r="J278" s="113">
        <v>540</v>
      </c>
      <c r="K278" s="110" t="s">
        <v>127</v>
      </c>
      <c r="L278" s="110" t="s">
        <v>144</v>
      </c>
      <c r="M278" s="110" t="s">
        <v>129</v>
      </c>
      <c r="N278" s="110" t="s">
        <v>130</v>
      </c>
      <c r="O278" s="110" t="s">
        <v>1257</v>
      </c>
      <c r="P278" s="110" t="s">
        <v>137</v>
      </c>
      <c r="Q278" s="110" t="s">
        <v>96</v>
      </c>
      <c r="R278" s="121">
        <v>3.3799999999999997E-2</v>
      </c>
      <c r="S278" s="113" t="e">
        <f t="shared" si="8"/>
        <v>#VALUE!</v>
      </c>
      <c r="T278" s="113">
        <f t="shared" si="9"/>
        <v>0</v>
      </c>
    </row>
    <row r="279" spans="1:20" s="109" customFormat="1" x14ac:dyDescent="0.2">
      <c r="A279" s="116"/>
      <c r="B279" s="111"/>
      <c r="C279" s="110" t="s">
        <v>1258</v>
      </c>
      <c r="D279" s="110" t="s">
        <v>1259</v>
      </c>
      <c r="E279" s="112" t="s">
        <v>1260</v>
      </c>
      <c r="F279" s="111" t="s">
        <v>126</v>
      </c>
      <c r="G279" s="133">
        <v>90</v>
      </c>
      <c r="H279" s="124"/>
      <c r="I279" s="133" t="str">
        <f>IF(H279&gt;0,(#REF!*H279),"-")</f>
        <v>-</v>
      </c>
      <c r="J279" s="113">
        <v>529</v>
      </c>
      <c r="K279" s="110" t="s">
        <v>127</v>
      </c>
      <c r="L279" s="110" t="s">
        <v>144</v>
      </c>
      <c r="M279" s="110" t="s">
        <v>129</v>
      </c>
      <c r="N279" s="110" t="s">
        <v>130</v>
      </c>
      <c r="O279" s="110" t="s">
        <v>1261</v>
      </c>
      <c r="P279" s="110" t="s">
        <v>137</v>
      </c>
      <c r="Q279" s="110" t="s">
        <v>96</v>
      </c>
      <c r="R279" s="121">
        <v>3.3300000000000003E-2</v>
      </c>
      <c r="S279" s="113" t="e">
        <f t="shared" si="8"/>
        <v>#VALUE!</v>
      </c>
      <c r="T279" s="113">
        <f t="shared" si="9"/>
        <v>0</v>
      </c>
    </row>
    <row r="280" spans="1:20" s="109" customFormat="1" x14ac:dyDescent="0.2">
      <c r="A280" s="116"/>
      <c r="B280" s="111" t="s">
        <v>207</v>
      </c>
      <c r="C280" s="110" t="s">
        <v>1262</v>
      </c>
      <c r="D280" s="110" t="s">
        <v>1263</v>
      </c>
      <c r="E280" s="112" t="s">
        <v>1264</v>
      </c>
      <c r="F280" s="111" t="s">
        <v>130</v>
      </c>
      <c r="G280" s="133">
        <v>140</v>
      </c>
      <c r="H280" s="124"/>
      <c r="I280" s="133" t="str">
        <f>IF(H280&gt;0,(#REF!*H280),"-")</f>
        <v>-</v>
      </c>
      <c r="J280" s="113">
        <v>756</v>
      </c>
      <c r="K280" s="110" t="s">
        <v>127</v>
      </c>
      <c r="L280" s="110" t="s">
        <v>144</v>
      </c>
      <c r="M280" s="110" t="s">
        <v>129</v>
      </c>
      <c r="N280" s="110" t="s">
        <v>130</v>
      </c>
      <c r="O280" s="110" t="s">
        <v>1265</v>
      </c>
      <c r="P280" s="110" t="s">
        <v>137</v>
      </c>
      <c r="Q280" s="110" t="s">
        <v>96</v>
      </c>
      <c r="R280" s="121">
        <v>6.9000000000000006E-2</v>
      </c>
      <c r="S280" s="113" t="e">
        <f t="shared" si="8"/>
        <v>#VALUE!</v>
      </c>
      <c r="T280" s="113">
        <f t="shared" si="9"/>
        <v>0</v>
      </c>
    </row>
    <row r="281" spans="1:20" s="109" customFormat="1" x14ac:dyDescent="0.2">
      <c r="A281" s="116"/>
      <c r="B281" s="111"/>
      <c r="C281" s="110" t="s">
        <v>1266</v>
      </c>
      <c r="D281" s="110" t="s">
        <v>1267</v>
      </c>
      <c r="E281" s="112" t="s">
        <v>1268</v>
      </c>
      <c r="F281" s="111" t="s">
        <v>126</v>
      </c>
      <c r="G281" s="133">
        <v>140</v>
      </c>
      <c r="H281" s="124"/>
      <c r="I281" s="133" t="str">
        <f>IF(H281&gt;0,(#REF!*H281),"-")</f>
        <v>-</v>
      </c>
      <c r="J281" s="113">
        <v>776</v>
      </c>
      <c r="K281" s="110" t="s">
        <v>127</v>
      </c>
      <c r="L281" s="110" t="s">
        <v>144</v>
      </c>
      <c r="M281" s="110" t="s">
        <v>129</v>
      </c>
      <c r="N281" s="110" t="s">
        <v>130</v>
      </c>
      <c r="O281" s="110" t="s">
        <v>1269</v>
      </c>
      <c r="P281" s="110" t="s">
        <v>137</v>
      </c>
      <c r="Q281" s="110" t="s">
        <v>96</v>
      </c>
      <c r="R281" s="121">
        <v>7.0000000000000007E-2</v>
      </c>
      <c r="S281" s="113" t="e">
        <f t="shared" si="8"/>
        <v>#VALUE!</v>
      </c>
      <c r="T281" s="113">
        <f t="shared" si="9"/>
        <v>0</v>
      </c>
    </row>
    <row r="282" spans="1:20" s="109" customFormat="1" x14ac:dyDescent="0.2">
      <c r="A282" s="116"/>
      <c r="B282" s="111" t="s">
        <v>202</v>
      </c>
      <c r="C282" s="110" t="s">
        <v>1270</v>
      </c>
      <c r="D282" s="110" t="s">
        <v>1271</v>
      </c>
      <c r="E282" s="112" t="s">
        <v>1272</v>
      </c>
      <c r="F282" s="111" t="s">
        <v>130</v>
      </c>
      <c r="G282" s="133">
        <v>140</v>
      </c>
      <c r="H282" s="124"/>
      <c r="I282" s="133" t="str">
        <f>IF(H282&gt;0,(#REF!*H282),"-")</f>
        <v>-</v>
      </c>
      <c r="J282" s="113">
        <v>504</v>
      </c>
      <c r="K282" s="110" t="s">
        <v>127</v>
      </c>
      <c r="L282" s="110" t="s">
        <v>144</v>
      </c>
      <c r="M282" s="110" t="s">
        <v>129</v>
      </c>
      <c r="N282" s="110" t="s">
        <v>130</v>
      </c>
      <c r="O282" s="110" t="s">
        <v>1273</v>
      </c>
      <c r="P282" s="110" t="s">
        <v>137</v>
      </c>
      <c r="Q282" s="110" t="s">
        <v>96</v>
      </c>
      <c r="R282" s="121">
        <v>5.8999999999999997E-2</v>
      </c>
      <c r="S282" s="113" t="e">
        <f t="shared" si="8"/>
        <v>#VALUE!</v>
      </c>
      <c r="T282" s="113">
        <f t="shared" si="9"/>
        <v>0</v>
      </c>
    </row>
    <row r="283" spans="1:20" s="109" customFormat="1" x14ac:dyDescent="0.2">
      <c r="A283" s="116"/>
      <c r="B283" s="111" t="s">
        <v>202</v>
      </c>
      <c r="C283" s="110" t="s">
        <v>1274</v>
      </c>
      <c r="D283" s="110" t="s">
        <v>1275</v>
      </c>
      <c r="E283" s="112" t="s">
        <v>1276</v>
      </c>
      <c r="F283" s="111" t="s">
        <v>130</v>
      </c>
      <c r="G283" s="133">
        <v>140</v>
      </c>
      <c r="H283" s="124"/>
      <c r="I283" s="133" t="str">
        <f>IF(H283&gt;0,(#REF!*H283),"-")</f>
        <v>-</v>
      </c>
      <c r="J283" s="113">
        <v>776</v>
      </c>
      <c r="K283" s="110" t="s">
        <v>127</v>
      </c>
      <c r="L283" s="110" t="s">
        <v>144</v>
      </c>
      <c r="M283" s="110" t="s">
        <v>129</v>
      </c>
      <c r="N283" s="110" t="s">
        <v>130</v>
      </c>
      <c r="O283" s="110" t="s">
        <v>1277</v>
      </c>
      <c r="P283" s="110" t="s">
        <v>137</v>
      </c>
      <c r="Q283" s="110" t="s">
        <v>96</v>
      </c>
      <c r="R283" s="121">
        <v>6.6600000000000006E-2</v>
      </c>
      <c r="S283" s="113" t="e">
        <f t="shared" si="8"/>
        <v>#VALUE!</v>
      </c>
      <c r="T283" s="113">
        <f t="shared" si="9"/>
        <v>0</v>
      </c>
    </row>
    <row r="284" spans="1:20" s="109" customFormat="1" x14ac:dyDescent="0.2">
      <c r="A284" s="116"/>
      <c r="B284" s="111"/>
      <c r="C284" s="110" t="s">
        <v>1278</v>
      </c>
      <c r="D284" s="110" t="s">
        <v>1279</v>
      </c>
      <c r="E284" s="112" t="s">
        <v>1280</v>
      </c>
      <c r="F284" s="111" t="s">
        <v>126</v>
      </c>
      <c r="G284" s="133">
        <v>125</v>
      </c>
      <c r="H284" s="124"/>
      <c r="I284" s="133" t="str">
        <f>IF(H284&gt;0,(#REF!*H284),"-")</f>
        <v>-</v>
      </c>
      <c r="J284" s="113">
        <v>398</v>
      </c>
      <c r="K284" s="110" t="s">
        <v>127</v>
      </c>
      <c r="L284" s="110" t="s">
        <v>144</v>
      </c>
      <c r="M284" s="110" t="s">
        <v>129</v>
      </c>
      <c r="N284" s="110" t="s">
        <v>130</v>
      </c>
      <c r="O284" s="110" t="s">
        <v>1281</v>
      </c>
      <c r="P284" s="110" t="s">
        <v>137</v>
      </c>
      <c r="Q284" s="110" t="s">
        <v>96</v>
      </c>
      <c r="R284" s="121">
        <v>2.52E-2</v>
      </c>
      <c r="S284" s="113" t="e">
        <f t="shared" si="8"/>
        <v>#VALUE!</v>
      </c>
      <c r="T284" s="113">
        <f t="shared" si="9"/>
        <v>0</v>
      </c>
    </row>
    <row r="285" spans="1:20" s="109" customFormat="1" x14ac:dyDescent="0.2">
      <c r="A285" s="116"/>
      <c r="B285" s="111" t="s">
        <v>207</v>
      </c>
      <c r="C285" s="110" t="s">
        <v>1282</v>
      </c>
      <c r="D285" s="110" t="s">
        <v>1283</v>
      </c>
      <c r="E285" s="112" t="s">
        <v>1284</v>
      </c>
      <c r="F285" s="111" t="s">
        <v>130</v>
      </c>
      <c r="G285" s="133">
        <v>60</v>
      </c>
      <c r="H285" s="124"/>
      <c r="I285" s="133" t="str">
        <f>IF(H285&gt;0,(#REF!*H285),"-")</f>
        <v>-</v>
      </c>
      <c r="J285" s="113">
        <v>504</v>
      </c>
      <c r="K285" s="110" t="s">
        <v>127</v>
      </c>
      <c r="L285" s="110" t="s">
        <v>144</v>
      </c>
      <c r="M285" s="110" t="s">
        <v>129</v>
      </c>
      <c r="N285" s="110" t="s">
        <v>130</v>
      </c>
      <c r="O285" s="110" t="s">
        <v>1285</v>
      </c>
      <c r="P285" s="110" t="s">
        <v>137</v>
      </c>
      <c r="Q285" s="110" t="s">
        <v>96</v>
      </c>
      <c r="R285" s="121">
        <v>6.5000000000000002E-2</v>
      </c>
      <c r="S285" s="113" t="e">
        <f t="shared" si="8"/>
        <v>#VALUE!</v>
      </c>
      <c r="T285" s="113">
        <f t="shared" si="9"/>
        <v>0</v>
      </c>
    </row>
    <row r="286" spans="1:20" s="109" customFormat="1" x14ac:dyDescent="0.2">
      <c r="A286" s="116"/>
      <c r="B286" s="111" t="s">
        <v>207</v>
      </c>
      <c r="C286" s="110" t="s">
        <v>1286</v>
      </c>
      <c r="D286" s="110" t="s">
        <v>1287</v>
      </c>
      <c r="E286" s="112" t="s">
        <v>1288</v>
      </c>
      <c r="F286" s="111" t="s">
        <v>130</v>
      </c>
      <c r="G286" s="133">
        <v>60</v>
      </c>
      <c r="H286" s="124"/>
      <c r="I286" s="133" t="str">
        <f>IF(H286&gt;0,(#REF!*H286),"-")</f>
        <v>-</v>
      </c>
      <c r="J286" s="113">
        <v>504</v>
      </c>
      <c r="K286" s="110" t="s">
        <v>127</v>
      </c>
      <c r="L286" s="110" t="s">
        <v>144</v>
      </c>
      <c r="M286" s="110" t="s">
        <v>129</v>
      </c>
      <c r="N286" s="110" t="s">
        <v>130</v>
      </c>
      <c r="O286" s="110" t="s">
        <v>1289</v>
      </c>
      <c r="P286" s="110" t="s">
        <v>137</v>
      </c>
      <c r="Q286" s="110" t="s">
        <v>96</v>
      </c>
      <c r="R286" s="121">
        <v>6.3E-2</v>
      </c>
      <c r="S286" s="113" t="e">
        <f t="shared" si="8"/>
        <v>#VALUE!</v>
      </c>
      <c r="T286" s="113">
        <f t="shared" si="9"/>
        <v>0</v>
      </c>
    </row>
    <row r="287" spans="1:20" s="109" customFormat="1" x14ac:dyDescent="0.2">
      <c r="A287" s="116"/>
      <c r="B287" s="111"/>
      <c r="C287" s="110" t="s">
        <v>1290</v>
      </c>
      <c r="D287" s="110" t="s">
        <v>1291</v>
      </c>
      <c r="E287" s="112" t="s">
        <v>1292</v>
      </c>
      <c r="F287" s="111" t="s">
        <v>126</v>
      </c>
      <c r="G287" s="133">
        <v>125</v>
      </c>
      <c r="H287" s="124"/>
      <c r="I287" s="133" t="str">
        <f>IF(H287&gt;0,(#REF!*H287),"-")</f>
        <v>-</v>
      </c>
      <c r="J287" s="113">
        <v>398</v>
      </c>
      <c r="K287" s="110" t="s">
        <v>127</v>
      </c>
      <c r="L287" s="110" t="s">
        <v>144</v>
      </c>
      <c r="M287" s="110" t="s">
        <v>129</v>
      </c>
      <c r="N287" s="110" t="s">
        <v>130</v>
      </c>
      <c r="O287" s="110" t="s">
        <v>1293</v>
      </c>
      <c r="P287" s="110" t="s">
        <v>137</v>
      </c>
      <c r="Q287" s="110" t="s">
        <v>96</v>
      </c>
      <c r="R287" s="121">
        <v>2.53E-2</v>
      </c>
      <c r="S287" s="113" t="e">
        <f t="shared" si="8"/>
        <v>#VALUE!</v>
      </c>
      <c r="T287" s="113">
        <f t="shared" si="9"/>
        <v>0</v>
      </c>
    </row>
    <row r="288" spans="1:20" s="109" customFormat="1" x14ac:dyDescent="0.2">
      <c r="A288" s="116"/>
      <c r="B288" s="111"/>
      <c r="C288" s="110" t="s">
        <v>1294</v>
      </c>
      <c r="D288" s="110" t="s">
        <v>1295</v>
      </c>
      <c r="E288" s="112" t="s">
        <v>1296</v>
      </c>
      <c r="F288" s="111" t="s">
        <v>126</v>
      </c>
      <c r="G288" s="133">
        <v>125</v>
      </c>
      <c r="H288" s="124"/>
      <c r="I288" s="133" t="str">
        <f>IF(H288&gt;0,(#REF!*H288),"-")</f>
        <v>-</v>
      </c>
      <c r="J288" s="113">
        <v>398</v>
      </c>
      <c r="K288" s="110" t="s">
        <v>127</v>
      </c>
      <c r="L288" s="110" t="s">
        <v>144</v>
      </c>
      <c r="M288" s="110" t="s">
        <v>129</v>
      </c>
      <c r="N288" s="110" t="s">
        <v>130</v>
      </c>
      <c r="O288" s="110" t="s">
        <v>1297</v>
      </c>
      <c r="P288" s="110" t="s">
        <v>137</v>
      </c>
      <c r="Q288" s="110" t="s">
        <v>96</v>
      </c>
      <c r="R288" s="121">
        <v>2.4799999999999999E-2</v>
      </c>
      <c r="S288" s="113" t="e">
        <f t="shared" si="8"/>
        <v>#VALUE!</v>
      </c>
      <c r="T288" s="113">
        <f t="shared" si="9"/>
        <v>0</v>
      </c>
    </row>
    <row r="289" spans="1:20" s="109" customFormat="1" x14ac:dyDescent="0.2">
      <c r="A289" s="116"/>
      <c r="B289" s="111" t="s">
        <v>207</v>
      </c>
      <c r="C289" s="110" t="s">
        <v>1298</v>
      </c>
      <c r="D289" s="110" t="s">
        <v>1299</v>
      </c>
      <c r="E289" s="112" t="s">
        <v>1300</v>
      </c>
      <c r="F289" s="111" t="s">
        <v>130</v>
      </c>
      <c r="G289" s="133">
        <v>250</v>
      </c>
      <c r="H289" s="124"/>
      <c r="I289" s="133" t="str">
        <f>IF(H289&gt;0,(#REF!*H289),"-")</f>
        <v>-</v>
      </c>
      <c r="J289" s="113">
        <v>1640</v>
      </c>
      <c r="K289" s="110" t="s">
        <v>127</v>
      </c>
      <c r="L289" s="110" t="s">
        <v>144</v>
      </c>
      <c r="M289" s="110" t="s">
        <v>129</v>
      </c>
      <c r="N289" s="110" t="s">
        <v>130</v>
      </c>
      <c r="O289" s="110" t="s">
        <v>1301</v>
      </c>
      <c r="P289" s="110" t="s">
        <v>137</v>
      </c>
      <c r="Q289" s="110" t="s">
        <v>96</v>
      </c>
      <c r="R289" s="121">
        <v>0.2291</v>
      </c>
      <c r="S289" s="113" t="e">
        <f t="shared" si="8"/>
        <v>#VALUE!</v>
      </c>
      <c r="T289" s="113">
        <f t="shared" si="9"/>
        <v>0</v>
      </c>
    </row>
    <row r="290" spans="1:20" s="109" customFormat="1" x14ac:dyDescent="0.2">
      <c r="A290" s="116"/>
      <c r="B290" s="111" t="s">
        <v>202</v>
      </c>
      <c r="C290" s="110" t="s">
        <v>1302</v>
      </c>
      <c r="D290" s="110" t="s">
        <v>1303</v>
      </c>
      <c r="E290" s="112" t="s">
        <v>1304</v>
      </c>
      <c r="F290" s="111" t="s">
        <v>130</v>
      </c>
      <c r="G290" s="133">
        <v>310</v>
      </c>
      <c r="H290" s="124"/>
      <c r="I290" s="133" t="str">
        <f>IF(H290&gt;0,(#REF!*H290),"-")</f>
        <v>-</v>
      </c>
      <c r="J290" s="113">
        <v>3375</v>
      </c>
      <c r="K290" s="110" t="s">
        <v>127</v>
      </c>
      <c r="L290" s="110" t="s">
        <v>144</v>
      </c>
      <c r="M290" s="110" t="s">
        <v>129</v>
      </c>
      <c r="N290" s="110" t="s">
        <v>130</v>
      </c>
      <c r="O290" s="110" t="s">
        <v>1305</v>
      </c>
      <c r="P290" s="110" t="s">
        <v>137</v>
      </c>
      <c r="Q290" s="110" t="s">
        <v>96</v>
      </c>
      <c r="R290" s="121">
        <v>0.55900000000000005</v>
      </c>
      <c r="S290" s="113" t="e">
        <f t="shared" si="8"/>
        <v>#VALUE!</v>
      </c>
      <c r="T290" s="113">
        <f t="shared" si="9"/>
        <v>0</v>
      </c>
    </row>
    <row r="291" spans="1:20" s="109" customFormat="1" x14ac:dyDescent="0.2">
      <c r="A291" s="116"/>
      <c r="B291" s="111" t="s">
        <v>207</v>
      </c>
      <c r="C291" s="110" t="s">
        <v>1306</v>
      </c>
      <c r="D291" s="110" t="s">
        <v>1307</v>
      </c>
      <c r="E291" s="112" t="s">
        <v>1308</v>
      </c>
      <c r="F291" s="111" t="s">
        <v>130</v>
      </c>
      <c r="G291" s="133">
        <v>185</v>
      </c>
      <c r="H291" s="124"/>
      <c r="I291" s="133" t="str">
        <f>IF(H291&gt;0,(#REF!*H291),"-")</f>
        <v>-</v>
      </c>
      <c r="J291" s="113">
        <v>1104</v>
      </c>
      <c r="K291" s="110" t="s">
        <v>127</v>
      </c>
      <c r="L291" s="110" t="s">
        <v>144</v>
      </c>
      <c r="M291" s="110" t="s">
        <v>129</v>
      </c>
      <c r="N291" s="110" t="s">
        <v>130</v>
      </c>
      <c r="O291" s="110" t="s">
        <v>1309</v>
      </c>
      <c r="P291" s="110" t="s">
        <v>137</v>
      </c>
      <c r="Q291" s="110" t="s">
        <v>96</v>
      </c>
      <c r="R291" s="121">
        <v>0.1694</v>
      </c>
      <c r="S291" s="113" t="e">
        <f t="shared" si="8"/>
        <v>#VALUE!</v>
      </c>
      <c r="T291" s="113">
        <f t="shared" si="9"/>
        <v>0</v>
      </c>
    </row>
    <row r="292" spans="1:20" s="109" customFormat="1" x14ac:dyDescent="0.2">
      <c r="A292" s="116"/>
      <c r="B292" s="111"/>
      <c r="C292" s="110" t="s">
        <v>1310</v>
      </c>
      <c r="D292" s="110" t="s">
        <v>1311</v>
      </c>
      <c r="E292" s="112" t="s">
        <v>1312</v>
      </c>
      <c r="F292" s="111" t="s">
        <v>126</v>
      </c>
      <c r="G292" s="133">
        <v>50</v>
      </c>
      <c r="H292" s="124"/>
      <c r="I292" s="133" t="str">
        <f>IF(H292&gt;0,(#REF!*H292),"-")</f>
        <v>-</v>
      </c>
      <c r="J292" s="113">
        <v>398</v>
      </c>
      <c r="K292" s="110" t="s">
        <v>127</v>
      </c>
      <c r="L292" s="110" t="s">
        <v>144</v>
      </c>
      <c r="M292" s="110" t="s">
        <v>129</v>
      </c>
      <c r="N292" s="110" t="s">
        <v>130</v>
      </c>
      <c r="O292" s="110" t="s">
        <v>1313</v>
      </c>
      <c r="P292" s="110" t="s">
        <v>137</v>
      </c>
      <c r="Q292" s="110" t="s">
        <v>96</v>
      </c>
      <c r="R292" s="121">
        <v>2.1899999999999999E-2</v>
      </c>
      <c r="S292" s="113" t="e">
        <f t="shared" si="8"/>
        <v>#VALUE!</v>
      </c>
      <c r="T292" s="113">
        <f t="shared" si="9"/>
        <v>0</v>
      </c>
    </row>
    <row r="293" spans="1:20" s="109" customFormat="1" x14ac:dyDescent="0.2">
      <c r="A293" s="116"/>
      <c r="B293" s="111"/>
      <c r="C293" s="110" t="s">
        <v>1314</v>
      </c>
      <c r="D293" s="110" t="s">
        <v>1315</v>
      </c>
      <c r="E293" s="112" t="s">
        <v>1316</v>
      </c>
      <c r="F293" s="111" t="s">
        <v>126</v>
      </c>
      <c r="G293" s="133">
        <v>60</v>
      </c>
      <c r="H293" s="124"/>
      <c r="I293" s="133" t="str">
        <f>IF(H293&gt;0,(#REF!*H293),"-")</f>
        <v>-</v>
      </c>
      <c r="J293" s="113">
        <v>398</v>
      </c>
      <c r="K293" s="110" t="s">
        <v>127</v>
      </c>
      <c r="L293" s="110" t="s">
        <v>144</v>
      </c>
      <c r="M293" s="110" t="s">
        <v>129</v>
      </c>
      <c r="N293" s="110" t="s">
        <v>130</v>
      </c>
      <c r="O293" s="110" t="s">
        <v>1317</v>
      </c>
      <c r="P293" s="110" t="s">
        <v>137</v>
      </c>
      <c r="Q293" s="110" t="s">
        <v>96</v>
      </c>
      <c r="R293" s="121">
        <v>2.1499999999999998E-2</v>
      </c>
      <c r="S293" s="113" t="e">
        <f t="shared" si="8"/>
        <v>#VALUE!</v>
      </c>
      <c r="T293" s="113">
        <f t="shared" si="9"/>
        <v>0</v>
      </c>
    </row>
    <row r="294" spans="1:20" s="109" customFormat="1" x14ac:dyDescent="0.2">
      <c r="A294" s="116"/>
      <c r="B294" s="111" t="s">
        <v>207</v>
      </c>
      <c r="C294" s="110" t="s">
        <v>1318</v>
      </c>
      <c r="D294" s="110" t="s">
        <v>1319</v>
      </c>
      <c r="E294" s="112" t="s">
        <v>1320</v>
      </c>
      <c r="F294" s="111" t="s">
        <v>130</v>
      </c>
      <c r="G294" s="133">
        <v>235</v>
      </c>
      <c r="H294" s="124"/>
      <c r="I294" s="133" t="str">
        <f>IF(H294&gt;0,(#REF!*H294),"-")</f>
        <v>-</v>
      </c>
      <c r="J294" s="113">
        <v>1099</v>
      </c>
      <c r="K294" s="110" t="s">
        <v>127</v>
      </c>
      <c r="L294" s="110" t="s">
        <v>144</v>
      </c>
      <c r="M294" s="110" t="s">
        <v>129</v>
      </c>
      <c r="N294" s="110" t="s">
        <v>130</v>
      </c>
      <c r="O294" s="110" t="s">
        <v>1321</v>
      </c>
      <c r="P294" s="110" t="s">
        <v>137</v>
      </c>
      <c r="Q294" s="110" t="s">
        <v>96</v>
      </c>
      <c r="R294" s="121">
        <v>0.13200000000000001</v>
      </c>
      <c r="S294" s="113" t="e">
        <f t="shared" si="8"/>
        <v>#VALUE!</v>
      </c>
      <c r="T294" s="113">
        <f t="shared" si="9"/>
        <v>0</v>
      </c>
    </row>
    <row r="295" spans="1:20" s="109" customFormat="1" x14ac:dyDescent="0.2">
      <c r="A295" s="116"/>
      <c r="B295" s="111" t="s">
        <v>207</v>
      </c>
      <c r="C295" s="110" t="s">
        <v>1322</v>
      </c>
      <c r="D295" s="110" t="s">
        <v>1323</v>
      </c>
      <c r="E295" s="112" t="s">
        <v>1324</v>
      </c>
      <c r="F295" s="111" t="s">
        <v>130</v>
      </c>
      <c r="G295" s="133">
        <v>120</v>
      </c>
      <c r="H295" s="124"/>
      <c r="I295" s="133" t="str">
        <f>IF(H295&gt;0,(#REF!*H295),"-")</f>
        <v>-</v>
      </c>
      <c r="J295" s="113">
        <v>1046</v>
      </c>
      <c r="K295" s="110" t="s">
        <v>127</v>
      </c>
      <c r="L295" s="110" t="s">
        <v>144</v>
      </c>
      <c r="M295" s="110" t="s">
        <v>129</v>
      </c>
      <c r="N295" s="110" t="s">
        <v>130</v>
      </c>
      <c r="O295" s="110" t="s">
        <v>1325</v>
      </c>
      <c r="P295" s="110" t="s">
        <v>137</v>
      </c>
      <c r="Q295" s="110" t="s">
        <v>96</v>
      </c>
      <c r="R295" s="121">
        <v>0.113</v>
      </c>
      <c r="S295" s="113" t="e">
        <f t="shared" si="8"/>
        <v>#VALUE!</v>
      </c>
      <c r="T295" s="113">
        <f t="shared" si="9"/>
        <v>0</v>
      </c>
    </row>
    <row r="296" spans="1:20" s="109" customFormat="1" x14ac:dyDescent="0.2">
      <c r="A296" s="116"/>
      <c r="B296" s="111" t="s">
        <v>289</v>
      </c>
      <c r="C296" s="110" t="s">
        <v>1326</v>
      </c>
      <c r="D296" s="110" t="s">
        <v>1327</v>
      </c>
      <c r="E296" s="112" t="s">
        <v>1328</v>
      </c>
      <c r="F296" s="111" t="s">
        <v>130</v>
      </c>
      <c r="G296" s="133">
        <v>150</v>
      </c>
      <c r="H296" s="124"/>
      <c r="I296" s="133" t="str">
        <f>IF(H296&gt;0,(#REF!*H296),"-")</f>
        <v>-</v>
      </c>
      <c r="J296" s="113">
        <v>1522</v>
      </c>
      <c r="K296" s="110" t="s">
        <v>127</v>
      </c>
      <c r="L296" s="110" t="s">
        <v>144</v>
      </c>
      <c r="M296" s="110" t="s">
        <v>129</v>
      </c>
      <c r="N296" s="110" t="s">
        <v>130</v>
      </c>
      <c r="O296" s="110" t="s">
        <v>1329</v>
      </c>
      <c r="P296" s="110" t="s">
        <v>137</v>
      </c>
      <c r="Q296" s="110" t="s">
        <v>96</v>
      </c>
      <c r="R296" s="121">
        <v>0.1555</v>
      </c>
      <c r="S296" s="113" t="e">
        <f t="shared" si="8"/>
        <v>#VALUE!</v>
      </c>
      <c r="T296" s="113">
        <f t="shared" si="9"/>
        <v>0</v>
      </c>
    </row>
    <row r="297" spans="1:20" s="109" customFormat="1" x14ac:dyDescent="0.2">
      <c r="A297" s="116"/>
      <c r="B297" s="111"/>
      <c r="C297" s="110" t="s">
        <v>1330</v>
      </c>
      <c r="D297" s="110" t="s">
        <v>1331</v>
      </c>
      <c r="E297" s="112" t="s">
        <v>1332</v>
      </c>
      <c r="F297" s="111" t="s">
        <v>126</v>
      </c>
      <c r="G297" s="133">
        <v>155</v>
      </c>
      <c r="H297" s="124"/>
      <c r="I297" s="133" t="str">
        <f>IF(H297&gt;0,(#REF!*H297),"-")</f>
        <v>-</v>
      </c>
      <c r="J297" s="113">
        <v>524</v>
      </c>
      <c r="K297" s="110" t="s">
        <v>127</v>
      </c>
      <c r="L297" s="110" t="s">
        <v>144</v>
      </c>
      <c r="M297" s="110" t="s">
        <v>129</v>
      </c>
      <c r="N297" s="110" t="s">
        <v>130</v>
      </c>
      <c r="O297" s="110" t="s">
        <v>1333</v>
      </c>
      <c r="P297" s="110" t="s">
        <v>137</v>
      </c>
      <c r="Q297" s="110" t="s">
        <v>96</v>
      </c>
      <c r="R297" s="121">
        <v>5.2299999999999999E-2</v>
      </c>
      <c r="S297" s="113" t="e">
        <f t="shared" si="8"/>
        <v>#VALUE!</v>
      </c>
      <c r="T297" s="113">
        <f t="shared" si="9"/>
        <v>0</v>
      </c>
    </row>
    <row r="298" spans="1:20" s="109" customFormat="1" x14ac:dyDescent="0.2">
      <c r="A298" s="116"/>
      <c r="B298" s="111"/>
      <c r="C298" s="110" t="s">
        <v>1334</v>
      </c>
      <c r="D298" s="110" t="s">
        <v>1335</v>
      </c>
      <c r="E298" s="112" t="s">
        <v>1336</v>
      </c>
      <c r="F298" s="111" t="s">
        <v>126</v>
      </c>
      <c r="G298" s="133">
        <v>155</v>
      </c>
      <c r="H298" s="124"/>
      <c r="I298" s="133" t="str">
        <f>IF(H298&gt;0,(#REF!*H298),"-")</f>
        <v>-</v>
      </c>
      <c r="J298" s="113">
        <v>515</v>
      </c>
      <c r="K298" s="110" t="s">
        <v>127</v>
      </c>
      <c r="L298" s="110" t="s">
        <v>144</v>
      </c>
      <c r="M298" s="110" t="s">
        <v>129</v>
      </c>
      <c r="N298" s="110" t="s">
        <v>130</v>
      </c>
      <c r="O298" s="110" t="s">
        <v>1337</v>
      </c>
      <c r="P298" s="110" t="s">
        <v>137</v>
      </c>
      <c r="Q298" s="110" t="s">
        <v>96</v>
      </c>
      <c r="R298" s="121">
        <v>5.74E-2</v>
      </c>
      <c r="S298" s="113" t="e">
        <f t="shared" si="8"/>
        <v>#VALUE!</v>
      </c>
      <c r="T298" s="113">
        <f t="shared" si="9"/>
        <v>0</v>
      </c>
    </row>
    <row r="299" spans="1:20" s="109" customFormat="1" x14ac:dyDescent="0.2">
      <c r="A299" s="116"/>
      <c r="B299" s="111"/>
      <c r="C299" s="110" t="s">
        <v>1338</v>
      </c>
      <c r="D299" s="110" t="s">
        <v>1339</v>
      </c>
      <c r="E299" s="112" t="s">
        <v>1340</v>
      </c>
      <c r="F299" s="111" t="s">
        <v>126</v>
      </c>
      <c r="G299" s="133">
        <v>155</v>
      </c>
      <c r="H299" s="124"/>
      <c r="I299" s="133" t="str">
        <f>IF(H299&gt;0,(#REF!*H299),"-")</f>
        <v>-</v>
      </c>
      <c r="J299" s="113">
        <v>515</v>
      </c>
      <c r="K299" s="110" t="s">
        <v>127</v>
      </c>
      <c r="L299" s="110" t="s">
        <v>144</v>
      </c>
      <c r="M299" s="110" t="s">
        <v>129</v>
      </c>
      <c r="N299" s="110" t="s">
        <v>130</v>
      </c>
      <c r="O299" s="110" t="s">
        <v>1341</v>
      </c>
      <c r="P299" s="110" t="s">
        <v>137</v>
      </c>
      <c r="Q299" s="110" t="s">
        <v>96</v>
      </c>
      <c r="R299" s="121">
        <v>5.8200000000000002E-2</v>
      </c>
      <c r="S299" s="113" t="e">
        <f t="shared" si="8"/>
        <v>#VALUE!</v>
      </c>
      <c r="T299" s="113">
        <f t="shared" si="9"/>
        <v>0</v>
      </c>
    </row>
    <row r="300" spans="1:20" s="109" customFormat="1" x14ac:dyDescent="0.2">
      <c r="A300" s="116"/>
      <c r="B300" s="111"/>
      <c r="C300" s="110" t="s">
        <v>1342</v>
      </c>
      <c r="D300" s="110" t="s">
        <v>1343</v>
      </c>
      <c r="E300" s="112" t="s">
        <v>1344</v>
      </c>
      <c r="F300" s="111" t="s">
        <v>126</v>
      </c>
      <c r="G300" s="133">
        <v>155</v>
      </c>
      <c r="H300" s="124"/>
      <c r="I300" s="133" t="str">
        <f>IF(H300&gt;0,(#REF!*H300),"-")</f>
        <v>-</v>
      </c>
      <c r="J300" s="113">
        <v>536</v>
      </c>
      <c r="K300" s="110" t="s">
        <v>127</v>
      </c>
      <c r="L300" s="110" t="s">
        <v>144</v>
      </c>
      <c r="M300" s="110" t="s">
        <v>129</v>
      </c>
      <c r="N300" s="110" t="s">
        <v>130</v>
      </c>
      <c r="O300" s="110" t="s">
        <v>1345</v>
      </c>
      <c r="P300" s="110" t="s">
        <v>137</v>
      </c>
      <c r="Q300" s="110" t="s">
        <v>96</v>
      </c>
      <c r="R300" s="121">
        <v>5.5100000000000003E-2</v>
      </c>
      <c r="S300" s="113" t="e">
        <f t="shared" si="8"/>
        <v>#VALUE!</v>
      </c>
      <c r="T300" s="113">
        <f t="shared" si="9"/>
        <v>0</v>
      </c>
    </row>
    <row r="301" spans="1:20" s="109" customFormat="1" x14ac:dyDescent="0.2">
      <c r="A301" s="116"/>
      <c r="B301" s="111"/>
      <c r="C301" s="110" t="s">
        <v>1346</v>
      </c>
      <c r="D301" s="110" t="s">
        <v>1347</v>
      </c>
      <c r="E301" s="112" t="s">
        <v>1348</v>
      </c>
      <c r="F301" s="111" t="s">
        <v>126</v>
      </c>
      <c r="G301" s="133">
        <v>155</v>
      </c>
      <c r="H301" s="124"/>
      <c r="I301" s="133" t="str">
        <f>IF(H301&gt;0,(#REF!*H301),"-")</f>
        <v>-</v>
      </c>
      <c r="J301" s="113">
        <v>511</v>
      </c>
      <c r="K301" s="110" t="s">
        <v>127</v>
      </c>
      <c r="L301" s="110" t="s">
        <v>144</v>
      </c>
      <c r="M301" s="110" t="s">
        <v>129</v>
      </c>
      <c r="N301" s="110" t="s">
        <v>130</v>
      </c>
      <c r="O301" s="110" t="s">
        <v>1349</v>
      </c>
      <c r="P301" s="110" t="s">
        <v>137</v>
      </c>
      <c r="Q301" s="110" t="s">
        <v>96</v>
      </c>
      <c r="R301" s="121">
        <v>5.0900000000000001E-2</v>
      </c>
      <c r="S301" s="113" t="e">
        <f t="shared" si="8"/>
        <v>#VALUE!</v>
      </c>
      <c r="T301" s="113">
        <f t="shared" si="9"/>
        <v>0</v>
      </c>
    </row>
    <row r="302" spans="1:20" s="109" customFormat="1" x14ac:dyDescent="0.2">
      <c r="A302" s="116"/>
      <c r="B302" s="111"/>
      <c r="C302" s="110" t="s">
        <v>1350</v>
      </c>
      <c r="D302" s="110" t="s">
        <v>1351</v>
      </c>
      <c r="E302" s="112" t="s">
        <v>1352</v>
      </c>
      <c r="F302" s="111" t="s">
        <v>126</v>
      </c>
      <c r="G302" s="133">
        <v>235</v>
      </c>
      <c r="H302" s="124"/>
      <c r="I302" s="133" t="str">
        <f>IF(H302&gt;0,(#REF!*H302),"-")</f>
        <v>-</v>
      </c>
      <c r="J302" s="113">
        <v>1553</v>
      </c>
      <c r="K302" s="110" t="s">
        <v>127</v>
      </c>
      <c r="L302" s="110" t="s">
        <v>144</v>
      </c>
      <c r="M302" s="110" t="s">
        <v>129</v>
      </c>
      <c r="N302" s="110" t="s">
        <v>130</v>
      </c>
      <c r="O302" s="110" t="s">
        <v>1353</v>
      </c>
      <c r="P302" s="110" t="s">
        <v>137</v>
      </c>
      <c r="Q302" s="110" t="s">
        <v>96</v>
      </c>
      <c r="R302" s="121">
        <v>0.21690000000000001</v>
      </c>
      <c r="S302" s="113" t="e">
        <f t="shared" si="8"/>
        <v>#VALUE!</v>
      </c>
      <c r="T302" s="113">
        <f t="shared" si="9"/>
        <v>0</v>
      </c>
    </row>
    <row r="303" spans="1:20" s="109" customFormat="1" x14ac:dyDescent="0.2">
      <c r="A303" s="116"/>
      <c r="B303" s="111"/>
      <c r="C303" s="110" t="s">
        <v>1354</v>
      </c>
      <c r="D303" s="110" t="s">
        <v>1355</v>
      </c>
      <c r="E303" s="112" t="s">
        <v>1356</v>
      </c>
      <c r="F303" s="111" t="s">
        <v>126</v>
      </c>
      <c r="G303" s="133">
        <v>60</v>
      </c>
      <c r="H303" s="124"/>
      <c r="I303" s="133" t="str">
        <f>IF(H303&gt;0,(#REF!*H303),"-")</f>
        <v>-</v>
      </c>
      <c r="J303" s="113">
        <v>214</v>
      </c>
      <c r="K303" s="110" t="s">
        <v>127</v>
      </c>
      <c r="L303" s="110" t="s">
        <v>144</v>
      </c>
      <c r="M303" s="110" t="s">
        <v>129</v>
      </c>
      <c r="N303" s="110" t="s">
        <v>130</v>
      </c>
      <c r="O303" s="110" t="s">
        <v>1357</v>
      </c>
      <c r="P303" s="110" t="s">
        <v>400</v>
      </c>
      <c r="Q303" s="110" t="s">
        <v>97</v>
      </c>
      <c r="R303" s="121">
        <v>0.158</v>
      </c>
      <c r="S303" s="113" t="e">
        <f t="shared" si="8"/>
        <v>#VALUE!</v>
      </c>
      <c r="T303" s="113">
        <f t="shared" si="9"/>
        <v>0</v>
      </c>
    </row>
    <row r="304" spans="1:20" s="109" customFormat="1" x14ac:dyDescent="0.2">
      <c r="A304" s="116"/>
      <c r="B304" s="111"/>
      <c r="C304" s="110" t="s">
        <v>1358</v>
      </c>
      <c r="D304" s="110" t="s">
        <v>1359</v>
      </c>
      <c r="E304" s="112" t="s">
        <v>1360</v>
      </c>
      <c r="F304" s="111" t="s">
        <v>126</v>
      </c>
      <c r="G304" s="133">
        <v>60</v>
      </c>
      <c r="H304" s="124"/>
      <c r="I304" s="133" t="str">
        <f>IF(H304&gt;0,(#REF!*H304),"-")</f>
        <v>-</v>
      </c>
      <c r="J304" s="113">
        <v>193</v>
      </c>
      <c r="K304" s="110" t="s">
        <v>127</v>
      </c>
      <c r="L304" s="110" t="s">
        <v>144</v>
      </c>
      <c r="M304" s="110" t="s">
        <v>129</v>
      </c>
      <c r="N304" s="110" t="s">
        <v>130</v>
      </c>
      <c r="O304" s="110" t="s">
        <v>1361</v>
      </c>
      <c r="P304" s="110" t="s">
        <v>400</v>
      </c>
      <c r="Q304" s="110" t="s">
        <v>97</v>
      </c>
      <c r="R304" s="121">
        <v>0.14599999999999999</v>
      </c>
      <c r="S304" s="113" t="e">
        <f t="shared" si="8"/>
        <v>#VALUE!</v>
      </c>
      <c r="T304" s="113">
        <f t="shared" si="9"/>
        <v>0</v>
      </c>
    </row>
    <row r="305" spans="1:20" s="109" customFormat="1" x14ac:dyDescent="0.2">
      <c r="A305" s="116"/>
      <c r="B305" s="111"/>
      <c r="C305" s="110" t="s">
        <v>1362</v>
      </c>
      <c r="D305" s="110" t="s">
        <v>1363</v>
      </c>
      <c r="E305" s="112" t="s">
        <v>1364</v>
      </c>
      <c r="F305" s="111" t="s">
        <v>126</v>
      </c>
      <c r="G305" s="133">
        <v>60</v>
      </c>
      <c r="H305" s="124"/>
      <c r="I305" s="133" t="str">
        <f>IF(H305&gt;0,(#REF!*H305),"-")</f>
        <v>-</v>
      </c>
      <c r="J305" s="113">
        <v>193</v>
      </c>
      <c r="K305" s="110" t="s">
        <v>127</v>
      </c>
      <c r="L305" s="110" t="s">
        <v>144</v>
      </c>
      <c r="M305" s="110" t="s">
        <v>129</v>
      </c>
      <c r="N305" s="110" t="s">
        <v>130</v>
      </c>
      <c r="O305" s="110" t="s">
        <v>1365</v>
      </c>
      <c r="P305" s="110" t="s">
        <v>400</v>
      </c>
      <c r="Q305" s="110" t="s">
        <v>97</v>
      </c>
      <c r="R305" s="121">
        <v>0.14599999999999999</v>
      </c>
      <c r="S305" s="113" t="e">
        <f t="shared" si="8"/>
        <v>#VALUE!</v>
      </c>
      <c r="T305" s="113">
        <f t="shared" si="9"/>
        <v>0</v>
      </c>
    </row>
    <row r="306" spans="1:20" s="109" customFormat="1" x14ac:dyDescent="0.2">
      <c r="A306" s="116"/>
      <c r="B306" s="111"/>
      <c r="C306" s="110" t="s">
        <v>1366</v>
      </c>
      <c r="D306" s="110" t="s">
        <v>1367</v>
      </c>
      <c r="E306" s="112" t="s">
        <v>1368</v>
      </c>
      <c r="F306" s="111" t="s">
        <v>126</v>
      </c>
      <c r="G306" s="133">
        <v>60</v>
      </c>
      <c r="H306" s="124"/>
      <c r="I306" s="133" t="str">
        <f>IF(H306&gt;0,(#REF!*H306),"-")</f>
        <v>-</v>
      </c>
      <c r="J306" s="113">
        <v>185</v>
      </c>
      <c r="K306" s="110" t="s">
        <v>127</v>
      </c>
      <c r="L306" s="110" t="s">
        <v>144</v>
      </c>
      <c r="M306" s="110" t="s">
        <v>129</v>
      </c>
      <c r="N306" s="110" t="s">
        <v>130</v>
      </c>
      <c r="O306" s="110" t="s">
        <v>1369</v>
      </c>
      <c r="P306" s="110" t="s">
        <v>400</v>
      </c>
      <c r="Q306" s="110" t="s">
        <v>97</v>
      </c>
      <c r="R306" s="121">
        <v>0.14169999999999999</v>
      </c>
      <c r="S306" s="113" t="e">
        <f t="shared" si="8"/>
        <v>#VALUE!</v>
      </c>
      <c r="T306" s="113">
        <f t="shared" si="9"/>
        <v>0</v>
      </c>
    </row>
    <row r="307" spans="1:20" s="109" customFormat="1" x14ac:dyDescent="0.2">
      <c r="A307" s="116"/>
      <c r="B307" s="111"/>
      <c r="C307" s="110" t="s">
        <v>1370</v>
      </c>
      <c r="D307" s="110" t="s">
        <v>1371</v>
      </c>
      <c r="E307" s="112" t="s">
        <v>1372</v>
      </c>
      <c r="F307" s="111" t="s">
        <v>126</v>
      </c>
      <c r="G307" s="133">
        <v>60</v>
      </c>
      <c r="H307" s="124"/>
      <c r="I307" s="133" t="str">
        <f>IF(H307&gt;0,(#REF!*H307),"-")</f>
        <v>-</v>
      </c>
      <c r="J307" s="113">
        <v>185</v>
      </c>
      <c r="K307" s="110" t="s">
        <v>127</v>
      </c>
      <c r="L307" s="110" t="s">
        <v>144</v>
      </c>
      <c r="M307" s="110" t="s">
        <v>129</v>
      </c>
      <c r="N307" s="110" t="s">
        <v>130</v>
      </c>
      <c r="O307" s="110" t="s">
        <v>1373</v>
      </c>
      <c r="P307" s="110" t="s">
        <v>400</v>
      </c>
      <c r="Q307" s="110" t="s">
        <v>97</v>
      </c>
      <c r="R307" s="121">
        <v>0.14269999999999999</v>
      </c>
      <c r="S307" s="113" t="e">
        <f t="shared" si="8"/>
        <v>#VALUE!</v>
      </c>
      <c r="T307" s="113">
        <f t="shared" si="9"/>
        <v>0</v>
      </c>
    </row>
    <row r="308" spans="1:20" s="109" customFormat="1" x14ac:dyDescent="0.2">
      <c r="A308" s="116"/>
      <c r="B308" s="111"/>
      <c r="C308" s="110" t="s">
        <v>1374</v>
      </c>
      <c r="D308" s="110" t="s">
        <v>1375</v>
      </c>
      <c r="E308" s="112" t="s">
        <v>1376</v>
      </c>
      <c r="F308" s="111" t="s">
        <v>126</v>
      </c>
      <c r="G308" s="133">
        <v>60</v>
      </c>
      <c r="H308" s="124"/>
      <c r="I308" s="133" t="str">
        <f>IF(H308&gt;0,(#REF!*H308),"-")</f>
        <v>-</v>
      </c>
      <c r="J308" s="113">
        <v>190</v>
      </c>
      <c r="K308" s="110" t="s">
        <v>127</v>
      </c>
      <c r="L308" s="110" t="s">
        <v>144</v>
      </c>
      <c r="M308" s="110" t="s">
        <v>129</v>
      </c>
      <c r="N308" s="110" t="s">
        <v>130</v>
      </c>
      <c r="O308" s="110" t="s">
        <v>1377</v>
      </c>
      <c r="P308" s="110" t="s">
        <v>400</v>
      </c>
      <c r="Q308" s="110" t="s">
        <v>97</v>
      </c>
      <c r="R308" s="121">
        <v>0.1424</v>
      </c>
      <c r="S308" s="113" t="e">
        <f t="shared" si="8"/>
        <v>#VALUE!</v>
      </c>
      <c r="T308" s="113">
        <f t="shared" si="9"/>
        <v>0</v>
      </c>
    </row>
    <row r="309" spans="1:20" s="109" customFormat="1" x14ac:dyDescent="0.2">
      <c r="A309" s="116"/>
      <c r="B309" s="111"/>
      <c r="C309" s="110" t="s">
        <v>1378</v>
      </c>
      <c r="D309" s="110" t="s">
        <v>1379</v>
      </c>
      <c r="E309" s="112" t="s">
        <v>1380</v>
      </c>
      <c r="F309" s="111" t="s">
        <v>126</v>
      </c>
      <c r="G309" s="133">
        <v>60</v>
      </c>
      <c r="H309" s="124"/>
      <c r="I309" s="133" t="str">
        <f>IF(H309&gt;0,(#REF!*H309),"-")</f>
        <v>-</v>
      </c>
      <c r="J309" s="113">
        <v>190</v>
      </c>
      <c r="K309" s="110" t="s">
        <v>127</v>
      </c>
      <c r="L309" s="110" t="s">
        <v>144</v>
      </c>
      <c r="M309" s="110" t="s">
        <v>129</v>
      </c>
      <c r="N309" s="110" t="s">
        <v>130</v>
      </c>
      <c r="O309" s="110" t="s">
        <v>1381</v>
      </c>
      <c r="P309" s="110" t="s">
        <v>400</v>
      </c>
      <c r="Q309" s="110" t="s">
        <v>97</v>
      </c>
      <c r="R309" s="121">
        <v>0.1429</v>
      </c>
      <c r="S309" s="113" t="e">
        <f t="shared" si="8"/>
        <v>#VALUE!</v>
      </c>
      <c r="T309" s="113">
        <f t="shared" si="9"/>
        <v>0</v>
      </c>
    </row>
    <row r="310" spans="1:20" s="109" customFormat="1" x14ac:dyDescent="0.2">
      <c r="A310" s="116"/>
      <c r="B310" s="111"/>
      <c r="C310" s="110" t="s">
        <v>1382</v>
      </c>
      <c r="D310" s="110" t="s">
        <v>1383</v>
      </c>
      <c r="E310" s="112" t="s">
        <v>1384</v>
      </c>
      <c r="F310" s="111" t="s">
        <v>126</v>
      </c>
      <c r="G310" s="133">
        <v>110</v>
      </c>
      <c r="H310" s="124"/>
      <c r="I310" s="133" t="str">
        <f>IF(H310&gt;0,(#REF!*H310),"-")</f>
        <v>-</v>
      </c>
      <c r="J310" s="113">
        <v>648</v>
      </c>
      <c r="K310" s="110" t="s">
        <v>127</v>
      </c>
      <c r="L310" s="110" t="s">
        <v>144</v>
      </c>
      <c r="M310" s="110" t="s">
        <v>129</v>
      </c>
      <c r="N310" s="110" t="s">
        <v>130</v>
      </c>
      <c r="O310" s="110" t="s">
        <v>1385</v>
      </c>
      <c r="P310" s="110" t="s">
        <v>132</v>
      </c>
      <c r="Q310" s="110" t="s">
        <v>97</v>
      </c>
      <c r="R310" s="121">
        <v>0.53600000000000003</v>
      </c>
      <c r="S310" s="113" t="e">
        <f t="shared" si="8"/>
        <v>#VALUE!</v>
      </c>
      <c r="T310" s="113">
        <f t="shared" si="9"/>
        <v>0</v>
      </c>
    </row>
    <row r="311" spans="1:20" s="109" customFormat="1" x14ac:dyDescent="0.2">
      <c r="A311" s="116"/>
      <c r="B311" s="111"/>
      <c r="C311" s="110" t="s">
        <v>1386</v>
      </c>
      <c r="D311" s="110" t="s">
        <v>1387</v>
      </c>
      <c r="E311" s="112" t="s">
        <v>1388</v>
      </c>
      <c r="F311" s="111" t="s">
        <v>126</v>
      </c>
      <c r="G311" s="133">
        <v>110</v>
      </c>
      <c r="H311" s="124"/>
      <c r="I311" s="133" t="str">
        <f>IF(H311&gt;0,(#REF!*H311),"-")</f>
        <v>-</v>
      </c>
      <c r="J311" s="113">
        <v>589</v>
      </c>
      <c r="K311" s="110" t="s">
        <v>127</v>
      </c>
      <c r="L311" s="110" t="s">
        <v>144</v>
      </c>
      <c r="M311" s="110" t="s">
        <v>129</v>
      </c>
      <c r="N311" s="110" t="s">
        <v>130</v>
      </c>
      <c r="O311" s="110" t="s">
        <v>1389</v>
      </c>
      <c r="P311" s="110" t="s">
        <v>132</v>
      </c>
      <c r="Q311" s="110" t="s">
        <v>97</v>
      </c>
      <c r="R311" s="121">
        <v>0.48299999999999998</v>
      </c>
      <c r="S311" s="113" t="e">
        <f t="shared" si="8"/>
        <v>#VALUE!</v>
      </c>
      <c r="T311" s="113">
        <f t="shared" si="9"/>
        <v>0</v>
      </c>
    </row>
    <row r="312" spans="1:20" s="109" customFormat="1" x14ac:dyDescent="0.2">
      <c r="A312" s="116"/>
      <c r="B312" s="111"/>
      <c r="C312" s="110" t="s">
        <v>1390</v>
      </c>
      <c r="D312" s="110" t="s">
        <v>1391</v>
      </c>
      <c r="E312" s="112" t="s">
        <v>1392</v>
      </c>
      <c r="F312" s="111" t="s">
        <v>126</v>
      </c>
      <c r="G312" s="133">
        <v>110</v>
      </c>
      <c r="H312" s="124"/>
      <c r="I312" s="133" t="str">
        <f>IF(H312&gt;0,(#REF!*H312),"-")</f>
        <v>-</v>
      </c>
      <c r="J312" s="113">
        <v>589</v>
      </c>
      <c r="K312" s="110" t="s">
        <v>127</v>
      </c>
      <c r="L312" s="110" t="s">
        <v>144</v>
      </c>
      <c r="M312" s="110" t="s">
        <v>129</v>
      </c>
      <c r="N312" s="110" t="s">
        <v>130</v>
      </c>
      <c r="O312" s="110" t="s">
        <v>1393</v>
      </c>
      <c r="P312" s="110" t="s">
        <v>132</v>
      </c>
      <c r="Q312" s="110" t="s">
        <v>97</v>
      </c>
      <c r="R312" s="121">
        <v>0.47799999999999998</v>
      </c>
      <c r="S312" s="113" t="e">
        <f t="shared" si="8"/>
        <v>#VALUE!</v>
      </c>
      <c r="T312" s="113">
        <f t="shared" si="9"/>
        <v>0</v>
      </c>
    </row>
    <row r="313" spans="1:20" s="109" customFormat="1" x14ac:dyDescent="0.2">
      <c r="A313" s="116"/>
      <c r="B313" s="111"/>
      <c r="C313" s="110" t="s">
        <v>1394</v>
      </c>
      <c r="D313" s="110" t="s">
        <v>1395</v>
      </c>
      <c r="E313" s="112" t="s">
        <v>1396</v>
      </c>
      <c r="F313" s="111" t="s">
        <v>126</v>
      </c>
      <c r="G313" s="133">
        <v>110</v>
      </c>
      <c r="H313" s="124"/>
      <c r="I313" s="133" t="str">
        <f>IF(H313&gt;0,(#REF!*H313),"-")</f>
        <v>-</v>
      </c>
      <c r="J313" s="113">
        <v>589</v>
      </c>
      <c r="K313" s="110" t="s">
        <v>127</v>
      </c>
      <c r="L313" s="110" t="s">
        <v>144</v>
      </c>
      <c r="M313" s="110" t="s">
        <v>129</v>
      </c>
      <c r="N313" s="110" t="s">
        <v>130</v>
      </c>
      <c r="O313" s="110" t="s">
        <v>1397</v>
      </c>
      <c r="P313" s="110" t="s">
        <v>132</v>
      </c>
      <c r="Q313" s="110" t="s">
        <v>97</v>
      </c>
      <c r="R313" s="121">
        <v>0.47799999999999998</v>
      </c>
      <c r="S313" s="113" t="e">
        <f t="shared" si="8"/>
        <v>#VALUE!</v>
      </c>
      <c r="T313" s="113">
        <f t="shared" si="9"/>
        <v>0</v>
      </c>
    </row>
    <row r="314" spans="1:20" s="109" customFormat="1" x14ac:dyDescent="0.2">
      <c r="A314" s="116"/>
      <c r="B314" s="111"/>
      <c r="C314" s="110" t="s">
        <v>1398</v>
      </c>
      <c r="D314" s="110" t="s">
        <v>1399</v>
      </c>
      <c r="E314" s="112" t="s">
        <v>1400</v>
      </c>
      <c r="F314" s="111" t="s">
        <v>126</v>
      </c>
      <c r="G314" s="133">
        <v>110</v>
      </c>
      <c r="H314" s="124"/>
      <c r="I314" s="133" t="str">
        <f>IF(H314&gt;0,(#REF!*H314),"-")</f>
        <v>-</v>
      </c>
      <c r="J314" s="113">
        <v>644</v>
      </c>
      <c r="K314" s="110" t="s">
        <v>127</v>
      </c>
      <c r="L314" s="110" t="s">
        <v>144</v>
      </c>
      <c r="M314" s="110" t="s">
        <v>129</v>
      </c>
      <c r="N314" s="110" t="s">
        <v>130</v>
      </c>
      <c r="O314" s="110" t="s">
        <v>1401</v>
      </c>
      <c r="P314" s="110" t="s">
        <v>132</v>
      </c>
      <c r="Q314" s="110" t="s">
        <v>97</v>
      </c>
      <c r="R314" s="121">
        <v>0.4945</v>
      </c>
      <c r="S314" s="113" t="e">
        <f t="shared" si="8"/>
        <v>#VALUE!</v>
      </c>
      <c r="T314" s="113">
        <f t="shared" si="9"/>
        <v>0</v>
      </c>
    </row>
    <row r="315" spans="1:20" s="109" customFormat="1" x14ac:dyDescent="0.2">
      <c r="A315" s="116"/>
      <c r="B315" s="111"/>
      <c r="C315" s="110" t="s">
        <v>1402</v>
      </c>
      <c r="D315" s="110" t="s">
        <v>1403</v>
      </c>
      <c r="E315" s="112" t="s">
        <v>1404</v>
      </c>
      <c r="F315" s="111" t="s">
        <v>126</v>
      </c>
      <c r="G315" s="133">
        <v>110</v>
      </c>
      <c r="H315" s="124"/>
      <c r="I315" s="133" t="str">
        <f>IF(H315&gt;0,(#REF!*H315),"-")</f>
        <v>-</v>
      </c>
      <c r="J315" s="113">
        <v>642</v>
      </c>
      <c r="K315" s="110" t="s">
        <v>127</v>
      </c>
      <c r="L315" s="110" t="s">
        <v>144</v>
      </c>
      <c r="M315" s="110" t="s">
        <v>129</v>
      </c>
      <c r="N315" s="110" t="s">
        <v>130</v>
      </c>
      <c r="O315" s="110" t="s">
        <v>1405</v>
      </c>
      <c r="P315" s="110" t="s">
        <v>132</v>
      </c>
      <c r="Q315" s="110" t="s">
        <v>97</v>
      </c>
      <c r="R315" s="121">
        <v>0.48</v>
      </c>
      <c r="S315" s="113" t="e">
        <f t="shared" si="8"/>
        <v>#VALUE!</v>
      </c>
      <c r="T315" s="113">
        <f t="shared" si="9"/>
        <v>0</v>
      </c>
    </row>
    <row r="316" spans="1:20" s="109" customFormat="1" x14ac:dyDescent="0.2">
      <c r="A316" s="116"/>
      <c r="B316" s="111" t="s">
        <v>289</v>
      </c>
      <c r="C316" s="110" t="s">
        <v>1406</v>
      </c>
      <c r="D316" s="110" t="s">
        <v>1407</v>
      </c>
      <c r="E316" s="112" t="s">
        <v>1408</v>
      </c>
      <c r="F316" s="111" t="s">
        <v>130</v>
      </c>
      <c r="G316" s="133">
        <v>120</v>
      </c>
      <c r="H316" s="124"/>
      <c r="I316" s="133" t="str">
        <f>IF(H316&gt;0,(#REF!*H316),"-")</f>
        <v>-</v>
      </c>
      <c r="J316" s="113">
        <v>1667</v>
      </c>
      <c r="K316" s="110" t="s">
        <v>127</v>
      </c>
      <c r="L316" s="110" t="s">
        <v>144</v>
      </c>
      <c r="M316" s="110" t="s">
        <v>129</v>
      </c>
      <c r="N316" s="110" t="s">
        <v>130</v>
      </c>
      <c r="O316" s="110" t="s">
        <v>1409</v>
      </c>
      <c r="P316" s="110" t="s">
        <v>958</v>
      </c>
      <c r="Q316" s="110" t="s">
        <v>96</v>
      </c>
      <c r="R316" s="121">
        <v>0.253</v>
      </c>
      <c r="S316" s="113" t="e">
        <f t="shared" si="8"/>
        <v>#VALUE!</v>
      </c>
      <c r="T316" s="113">
        <f t="shared" si="9"/>
        <v>0</v>
      </c>
    </row>
    <row r="317" spans="1:20" s="109" customFormat="1" x14ac:dyDescent="0.2">
      <c r="A317" s="116"/>
      <c r="B317" s="111" t="s">
        <v>289</v>
      </c>
      <c r="C317" s="110" t="s">
        <v>1410</v>
      </c>
      <c r="D317" s="110" t="s">
        <v>1411</v>
      </c>
      <c r="E317" s="112" t="s">
        <v>1412</v>
      </c>
      <c r="F317" s="111" t="s">
        <v>130</v>
      </c>
      <c r="G317" s="133">
        <v>120</v>
      </c>
      <c r="H317" s="124"/>
      <c r="I317" s="133" t="str">
        <f>IF(H317&gt;0,(#REF!*H317),"-")</f>
        <v>-</v>
      </c>
      <c r="J317" s="113">
        <v>1667</v>
      </c>
      <c r="K317" s="110" t="s">
        <v>127</v>
      </c>
      <c r="L317" s="110" t="s">
        <v>144</v>
      </c>
      <c r="M317" s="110" t="s">
        <v>129</v>
      </c>
      <c r="N317" s="110" t="s">
        <v>130</v>
      </c>
      <c r="O317" s="110" t="s">
        <v>1413</v>
      </c>
      <c r="P317" s="110" t="s">
        <v>958</v>
      </c>
      <c r="Q317" s="110" t="s">
        <v>96</v>
      </c>
      <c r="R317" s="121">
        <v>0.253</v>
      </c>
      <c r="S317" s="113" t="e">
        <f t="shared" si="8"/>
        <v>#VALUE!</v>
      </c>
      <c r="T317" s="113">
        <f t="shared" si="9"/>
        <v>0</v>
      </c>
    </row>
    <row r="318" spans="1:20" s="109" customFormat="1" x14ac:dyDescent="0.2">
      <c r="A318" s="116"/>
      <c r="B318" s="111" t="s">
        <v>202</v>
      </c>
      <c r="C318" s="110" t="s">
        <v>1414</v>
      </c>
      <c r="D318" s="110" t="s">
        <v>1415</v>
      </c>
      <c r="E318" s="112" t="s">
        <v>1416</v>
      </c>
      <c r="F318" s="111" t="s">
        <v>130</v>
      </c>
      <c r="G318" s="133">
        <v>370</v>
      </c>
      <c r="H318" s="124"/>
      <c r="I318" s="133" t="str">
        <f>IF(H318&gt;0,(#REF!*H318),"-")</f>
        <v>-</v>
      </c>
      <c r="J318" s="113">
        <v>5572</v>
      </c>
      <c r="K318" s="110" t="s">
        <v>127</v>
      </c>
      <c r="L318" s="110" t="s">
        <v>144</v>
      </c>
      <c r="M318" s="110" t="s">
        <v>129</v>
      </c>
      <c r="N318" s="110" t="s">
        <v>130</v>
      </c>
      <c r="O318" s="110" t="s">
        <v>1417</v>
      </c>
      <c r="P318" s="110" t="s">
        <v>137</v>
      </c>
      <c r="Q318" s="110" t="s">
        <v>96</v>
      </c>
      <c r="R318" s="121">
        <v>0.68899999999999995</v>
      </c>
      <c r="S318" s="113" t="e">
        <f t="shared" si="8"/>
        <v>#VALUE!</v>
      </c>
      <c r="T318" s="113">
        <f t="shared" si="9"/>
        <v>0</v>
      </c>
    </row>
    <row r="319" spans="1:20" s="109" customFormat="1" x14ac:dyDescent="0.2">
      <c r="A319" s="116"/>
      <c r="B319" s="111"/>
      <c r="C319" s="110" t="s">
        <v>1418</v>
      </c>
      <c r="D319" s="110" t="s">
        <v>1419</v>
      </c>
      <c r="E319" s="112" t="s">
        <v>1420</v>
      </c>
      <c r="F319" s="111" t="s">
        <v>126</v>
      </c>
      <c r="G319" s="133">
        <v>370</v>
      </c>
      <c r="H319" s="124"/>
      <c r="I319" s="133" t="str">
        <f>IF(H319&gt;0,(#REF!*H319),"-")</f>
        <v>-</v>
      </c>
      <c r="J319" s="113">
        <v>3621</v>
      </c>
      <c r="K319" s="110" t="s">
        <v>127</v>
      </c>
      <c r="L319" s="110" t="s">
        <v>144</v>
      </c>
      <c r="M319" s="110" t="s">
        <v>129</v>
      </c>
      <c r="N319" s="110" t="s">
        <v>130</v>
      </c>
      <c r="O319" s="110" t="s">
        <v>1421</v>
      </c>
      <c r="P319" s="110" t="s">
        <v>137</v>
      </c>
      <c r="Q319" s="110" t="s">
        <v>96</v>
      </c>
      <c r="R319" s="121">
        <v>0.42120000000000002</v>
      </c>
      <c r="S319" s="113" t="e">
        <f t="shared" si="8"/>
        <v>#VALUE!</v>
      </c>
      <c r="T319" s="113">
        <f t="shared" si="9"/>
        <v>0</v>
      </c>
    </row>
    <row r="320" spans="1:20" s="109" customFormat="1" x14ac:dyDescent="0.2">
      <c r="A320" s="116"/>
      <c r="B320" s="111" t="s">
        <v>202</v>
      </c>
      <c r="C320" s="110" t="s">
        <v>1422</v>
      </c>
      <c r="D320" s="110" t="s">
        <v>1423</v>
      </c>
      <c r="E320" s="112" t="s">
        <v>1424</v>
      </c>
      <c r="F320" s="111" t="s">
        <v>130</v>
      </c>
      <c r="G320" s="133">
        <v>340</v>
      </c>
      <c r="H320" s="124"/>
      <c r="I320" s="133" t="str">
        <f>IF(H320&gt;0,(#REF!*H320),"-")</f>
        <v>-</v>
      </c>
      <c r="J320" s="113">
        <v>3375</v>
      </c>
      <c r="K320" s="110" t="s">
        <v>127</v>
      </c>
      <c r="L320" s="110" t="s">
        <v>144</v>
      </c>
      <c r="M320" s="110" t="s">
        <v>129</v>
      </c>
      <c r="N320" s="110" t="s">
        <v>130</v>
      </c>
      <c r="O320" s="110" t="s">
        <v>1425</v>
      </c>
      <c r="P320" s="110" t="s">
        <v>137</v>
      </c>
      <c r="Q320" s="110" t="s">
        <v>96</v>
      </c>
      <c r="R320" s="121">
        <v>0.42</v>
      </c>
      <c r="S320" s="113" t="e">
        <f t="shared" si="8"/>
        <v>#VALUE!</v>
      </c>
      <c r="T320" s="113">
        <f t="shared" si="9"/>
        <v>0</v>
      </c>
    </row>
    <row r="321" spans="1:20" s="109" customFormat="1" x14ac:dyDescent="0.2">
      <c r="A321" s="116"/>
      <c r="B321" s="111"/>
      <c r="C321" s="110" t="s">
        <v>1426</v>
      </c>
      <c r="D321" s="110" t="s">
        <v>1427</v>
      </c>
      <c r="E321" s="112" t="s">
        <v>1428</v>
      </c>
      <c r="F321" s="111" t="s">
        <v>126</v>
      </c>
      <c r="G321" s="133">
        <v>620</v>
      </c>
      <c r="H321" s="124"/>
      <c r="I321" s="133" t="str">
        <f>IF(H321&gt;0,(#REF!*H321),"-")</f>
        <v>-</v>
      </c>
      <c r="J321" s="113">
        <v>8383</v>
      </c>
      <c r="K321" s="110" t="s">
        <v>127</v>
      </c>
      <c r="L321" s="110" t="s">
        <v>144</v>
      </c>
      <c r="M321" s="110" t="s">
        <v>129</v>
      </c>
      <c r="N321" s="110" t="s">
        <v>130</v>
      </c>
      <c r="O321" s="110" t="s">
        <v>1429</v>
      </c>
      <c r="P321" s="110" t="s">
        <v>137</v>
      </c>
      <c r="Q321" s="110" t="s">
        <v>96</v>
      </c>
      <c r="R321" s="121">
        <v>1.1114999999999999</v>
      </c>
      <c r="S321" s="113" t="e">
        <f t="shared" si="8"/>
        <v>#VALUE!</v>
      </c>
      <c r="T321" s="113">
        <f t="shared" si="9"/>
        <v>0</v>
      </c>
    </row>
    <row r="322" spans="1:20" s="109" customFormat="1" x14ac:dyDescent="0.2">
      <c r="A322" s="116"/>
      <c r="B322" s="111"/>
      <c r="C322" s="110" t="s">
        <v>1430</v>
      </c>
      <c r="D322" s="110" t="s">
        <v>1431</v>
      </c>
      <c r="E322" s="112" t="s">
        <v>1432</v>
      </c>
      <c r="F322" s="111" t="s">
        <v>126</v>
      </c>
      <c r="G322" s="133">
        <v>685</v>
      </c>
      <c r="H322" s="124"/>
      <c r="I322" s="133" t="str">
        <f>IF(H322&gt;0,(#REF!*H322),"-")</f>
        <v>-</v>
      </c>
      <c r="J322" s="113">
        <v>8402</v>
      </c>
      <c r="K322" s="110" t="s">
        <v>127</v>
      </c>
      <c r="L322" s="110" t="s">
        <v>144</v>
      </c>
      <c r="M322" s="110" t="s">
        <v>129</v>
      </c>
      <c r="N322" s="110" t="s">
        <v>130</v>
      </c>
      <c r="O322" s="110" t="s">
        <v>1433</v>
      </c>
      <c r="P322" s="110" t="s">
        <v>137</v>
      </c>
      <c r="Q322" s="110" t="s">
        <v>96</v>
      </c>
      <c r="R322" s="121">
        <v>1.089</v>
      </c>
      <c r="S322" s="113" t="e">
        <f t="shared" ref="S322:S385" si="10">Q322*H322</f>
        <v>#VALUE!</v>
      </c>
      <c r="T322" s="113">
        <f t="shared" ref="T322:T385" si="11">R322*H322</f>
        <v>0</v>
      </c>
    </row>
    <row r="323" spans="1:20" s="109" customFormat="1" x14ac:dyDescent="0.2">
      <c r="A323" s="116"/>
      <c r="B323" s="111"/>
      <c r="C323" s="110" t="s">
        <v>1434</v>
      </c>
      <c r="D323" s="110" t="s">
        <v>1435</v>
      </c>
      <c r="E323" s="112" t="s">
        <v>1436</v>
      </c>
      <c r="F323" s="111" t="s">
        <v>126</v>
      </c>
      <c r="G323" s="133">
        <v>37</v>
      </c>
      <c r="H323" s="124"/>
      <c r="I323" s="133" t="str">
        <f>IF(H323&gt;0,(#REF!*H323),"-")</f>
        <v>-</v>
      </c>
      <c r="J323" s="113">
        <v>504</v>
      </c>
      <c r="K323" s="110" t="s">
        <v>127</v>
      </c>
      <c r="L323" s="110" t="s">
        <v>1437</v>
      </c>
      <c r="M323" s="110" t="s">
        <v>129</v>
      </c>
      <c r="N323" s="110" t="s">
        <v>130</v>
      </c>
      <c r="O323" s="110" t="s">
        <v>1438</v>
      </c>
      <c r="P323" s="110" t="s">
        <v>137</v>
      </c>
      <c r="Q323" s="110" t="s">
        <v>96</v>
      </c>
      <c r="R323" s="121">
        <v>5.6599999999999998E-2</v>
      </c>
      <c r="S323" s="113" t="e">
        <f t="shared" si="10"/>
        <v>#VALUE!</v>
      </c>
      <c r="T323" s="113">
        <f t="shared" si="11"/>
        <v>0</v>
      </c>
    </row>
    <row r="324" spans="1:20" s="109" customFormat="1" x14ac:dyDescent="0.2">
      <c r="A324" s="116"/>
      <c r="B324" s="111" t="s">
        <v>207</v>
      </c>
      <c r="C324" s="110" t="s">
        <v>1439</v>
      </c>
      <c r="D324" s="110" t="s">
        <v>1440</v>
      </c>
      <c r="E324" s="112" t="s">
        <v>1441</v>
      </c>
      <c r="F324" s="111" t="s">
        <v>130</v>
      </c>
      <c r="G324" s="133">
        <v>155</v>
      </c>
      <c r="H324" s="124"/>
      <c r="I324" s="133" t="str">
        <f>IF(H324&gt;0,(#REF!*H324),"-")</f>
        <v>-</v>
      </c>
      <c r="J324" s="113">
        <v>984</v>
      </c>
      <c r="K324" s="110" t="s">
        <v>127</v>
      </c>
      <c r="L324" s="110" t="s">
        <v>1437</v>
      </c>
      <c r="M324" s="110" t="s">
        <v>129</v>
      </c>
      <c r="N324" s="110" t="s">
        <v>130</v>
      </c>
      <c r="O324" s="110" t="s">
        <v>1442</v>
      </c>
      <c r="P324" s="110" t="s">
        <v>132</v>
      </c>
      <c r="Q324" s="110" t="s">
        <v>97</v>
      </c>
      <c r="R324" s="121">
        <v>0.86099999999999999</v>
      </c>
      <c r="S324" s="113" t="e">
        <f t="shared" si="10"/>
        <v>#VALUE!</v>
      </c>
      <c r="T324" s="113">
        <f t="shared" si="11"/>
        <v>0</v>
      </c>
    </row>
    <row r="325" spans="1:20" s="109" customFormat="1" x14ac:dyDescent="0.2">
      <c r="A325" s="116"/>
      <c r="B325" s="111"/>
      <c r="C325" s="110" t="s">
        <v>1443</v>
      </c>
      <c r="D325" s="110" t="s">
        <v>1444</v>
      </c>
      <c r="E325" s="112" t="s">
        <v>1445</v>
      </c>
      <c r="F325" s="111" t="s">
        <v>126</v>
      </c>
      <c r="G325" s="133">
        <v>60</v>
      </c>
      <c r="H325" s="124"/>
      <c r="I325" s="133" t="str">
        <f>IF(H325&gt;0,(#REF!*H325),"-")</f>
        <v>-</v>
      </c>
      <c r="J325" s="113">
        <v>351</v>
      </c>
      <c r="K325" s="110" t="s">
        <v>127</v>
      </c>
      <c r="L325" s="110" t="s">
        <v>1437</v>
      </c>
      <c r="M325" s="110" t="s">
        <v>129</v>
      </c>
      <c r="N325" s="110" t="s">
        <v>130</v>
      </c>
      <c r="O325" s="110" t="s">
        <v>1446</v>
      </c>
      <c r="P325" s="110" t="s">
        <v>400</v>
      </c>
      <c r="Q325" s="110" t="s">
        <v>97</v>
      </c>
      <c r="R325" s="121">
        <v>0.19500000000000001</v>
      </c>
      <c r="S325" s="113" t="e">
        <f t="shared" si="10"/>
        <v>#VALUE!</v>
      </c>
      <c r="T325" s="113">
        <f t="shared" si="11"/>
        <v>0</v>
      </c>
    </row>
    <row r="326" spans="1:20" s="109" customFormat="1" x14ac:dyDescent="0.2">
      <c r="A326" s="116"/>
      <c r="B326" s="111" t="s">
        <v>207</v>
      </c>
      <c r="C326" s="110" t="s">
        <v>1447</v>
      </c>
      <c r="D326" s="110" t="s">
        <v>1448</v>
      </c>
      <c r="E326" s="112" t="s">
        <v>1449</v>
      </c>
      <c r="F326" s="111" t="s">
        <v>130</v>
      </c>
      <c r="G326" s="133">
        <v>155</v>
      </c>
      <c r="H326" s="124"/>
      <c r="I326" s="133" t="str">
        <f>IF(H326&gt;0,(#REF!*H326),"-")</f>
        <v>-</v>
      </c>
      <c r="J326" s="113">
        <v>765</v>
      </c>
      <c r="K326" s="110" t="s">
        <v>127</v>
      </c>
      <c r="L326" s="110" t="s">
        <v>1437</v>
      </c>
      <c r="M326" s="110" t="s">
        <v>129</v>
      </c>
      <c r="N326" s="110" t="s">
        <v>130</v>
      </c>
      <c r="O326" s="110" t="s">
        <v>1450</v>
      </c>
      <c r="P326" s="110" t="s">
        <v>132</v>
      </c>
      <c r="Q326" s="110" t="s">
        <v>97</v>
      </c>
      <c r="R326" s="121">
        <v>0.59799999999999998</v>
      </c>
      <c r="S326" s="113" t="e">
        <f t="shared" si="10"/>
        <v>#VALUE!</v>
      </c>
      <c r="T326" s="113">
        <f t="shared" si="11"/>
        <v>0</v>
      </c>
    </row>
    <row r="327" spans="1:20" s="109" customFormat="1" x14ac:dyDescent="0.2">
      <c r="A327" s="116"/>
      <c r="B327" s="111"/>
      <c r="C327" s="110" t="s">
        <v>1451</v>
      </c>
      <c r="D327" s="110" t="s">
        <v>1452</v>
      </c>
      <c r="E327" s="112" t="s">
        <v>1453</v>
      </c>
      <c r="F327" s="111" t="s">
        <v>126</v>
      </c>
      <c r="G327" s="133">
        <v>60</v>
      </c>
      <c r="H327" s="124"/>
      <c r="I327" s="133" t="str">
        <f>IF(H327&gt;0,(#REF!*H327),"-")</f>
        <v>-</v>
      </c>
      <c r="J327" s="113">
        <v>175</v>
      </c>
      <c r="K327" s="110" t="s">
        <v>127</v>
      </c>
      <c r="L327" s="110" t="s">
        <v>1437</v>
      </c>
      <c r="M327" s="110" t="s">
        <v>129</v>
      </c>
      <c r="N327" s="110" t="s">
        <v>130</v>
      </c>
      <c r="O327" s="110" t="s">
        <v>1454</v>
      </c>
      <c r="P327" s="110" t="s">
        <v>400</v>
      </c>
      <c r="Q327" s="110" t="s">
        <v>97</v>
      </c>
      <c r="R327" s="121">
        <v>0.13300000000000001</v>
      </c>
      <c r="S327" s="113" t="e">
        <f t="shared" si="10"/>
        <v>#VALUE!</v>
      </c>
      <c r="T327" s="113">
        <f t="shared" si="11"/>
        <v>0</v>
      </c>
    </row>
    <row r="328" spans="1:20" s="109" customFormat="1" x14ac:dyDescent="0.2">
      <c r="A328" s="116"/>
      <c r="B328" s="111"/>
      <c r="C328" s="110" t="s">
        <v>1455</v>
      </c>
      <c r="D328" s="110" t="s">
        <v>1456</v>
      </c>
      <c r="E328" s="112" t="s">
        <v>1457</v>
      </c>
      <c r="F328" s="111" t="s">
        <v>126</v>
      </c>
      <c r="G328" s="133">
        <v>60</v>
      </c>
      <c r="H328" s="124"/>
      <c r="I328" s="133" t="str">
        <f>IF(H328&gt;0,(#REF!*H328),"-")</f>
        <v>-</v>
      </c>
      <c r="J328" s="113">
        <v>216</v>
      </c>
      <c r="K328" s="110" t="s">
        <v>127</v>
      </c>
      <c r="L328" s="110" t="s">
        <v>1437</v>
      </c>
      <c r="M328" s="110" t="s">
        <v>129</v>
      </c>
      <c r="N328" s="110" t="s">
        <v>130</v>
      </c>
      <c r="O328" s="110" t="s">
        <v>1458</v>
      </c>
      <c r="P328" s="110" t="s">
        <v>400</v>
      </c>
      <c r="Q328" s="110" t="s">
        <v>97</v>
      </c>
      <c r="R328" s="121">
        <v>0.16900000000000001</v>
      </c>
      <c r="S328" s="113" t="e">
        <f t="shared" si="10"/>
        <v>#VALUE!</v>
      </c>
      <c r="T328" s="113">
        <f t="shared" si="11"/>
        <v>0</v>
      </c>
    </row>
    <row r="329" spans="1:20" s="109" customFormat="1" x14ac:dyDescent="0.2">
      <c r="A329" s="116"/>
      <c r="B329" s="111" t="s">
        <v>289</v>
      </c>
      <c r="C329" s="110" t="s">
        <v>1459</v>
      </c>
      <c r="D329" s="110" t="s">
        <v>1460</v>
      </c>
      <c r="E329" s="112" t="s">
        <v>1461</v>
      </c>
      <c r="F329" s="111" t="s">
        <v>130</v>
      </c>
      <c r="G329" s="133">
        <v>215</v>
      </c>
      <c r="H329" s="124"/>
      <c r="I329" s="133" t="str">
        <f>IF(H329&gt;0,(#REF!*H329),"-")</f>
        <v>-</v>
      </c>
      <c r="J329" s="113">
        <v>1384</v>
      </c>
      <c r="K329" s="110" t="s">
        <v>127</v>
      </c>
      <c r="L329" s="110" t="s">
        <v>1437</v>
      </c>
      <c r="M329" s="110" t="s">
        <v>129</v>
      </c>
      <c r="N329" s="110" t="s">
        <v>130</v>
      </c>
      <c r="O329" s="110" t="s">
        <v>1462</v>
      </c>
      <c r="P329" s="110" t="s">
        <v>137</v>
      </c>
      <c r="Q329" s="110" t="s">
        <v>96</v>
      </c>
      <c r="R329" s="121">
        <v>0.22209999999999999</v>
      </c>
      <c r="S329" s="113" t="e">
        <f t="shared" si="10"/>
        <v>#VALUE!</v>
      </c>
      <c r="T329" s="113">
        <f t="shared" si="11"/>
        <v>0</v>
      </c>
    </row>
    <row r="330" spans="1:20" s="109" customFormat="1" x14ac:dyDescent="0.2">
      <c r="A330" s="116"/>
      <c r="B330" s="111"/>
      <c r="C330" s="110" t="s">
        <v>1463</v>
      </c>
      <c r="D330" s="110" t="s">
        <v>1464</v>
      </c>
      <c r="E330" s="112" t="s">
        <v>1465</v>
      </c>
      <c r="F330" s="111" t="s">
        <v>126</v>
      </c>
      <c r="G330" s="133">
        <v>140</v>
      </c>
      <c r="H330" s="124"/>
      <c r="I330" s="133" t="str">
        <f>IF(H330&gt;0,(#REF!*H330),"-")</f>
        <v>-</v>
      </c>
      <c r="J330" s="113">
        <v>1860</v>
      </c>
      <c r="K330" s="110" t="s">
        <v>127</v>
      </c>
      <c r="L330" s="110" t="s">
        <v>1437</v>
      </c>
      <c r="M330" s="110" t="s">
        <v>129</v>
      </c>
      <c r="N330" s="110" t="s">
        <v>130</v>
      </c>
      <c r="O330" s="110" t="s">
        <v>1466</v>
      </c>
      <c r="P330" s="110" t="s">
        <v>137</v>
      </c>
      <c r="Q330" s="110" t="s">
        <v>96</v>
      </c>
      <c r="R330" s="121">
        <v>0.189</v>
      </c>
      <c r="S330" s="113" t="e">
        <f t="shared" si="10"/>
        <v>#VALUE!</v>
      </c>
      <c r="T330" s="113">
        <f t="shared" si="11"/>
        <v>0</v>
      </c>
    </row>
    <row r="331" spans="1:20" s="109" customFormat="1" x14ac:dyDescent="0.2">
      <c r="A331" s="116"/>
      <c r="B331" s="111" t="s">
        <v>207</v>
      </c>
      <c r="C331" s="110" t="s">
        <v>1467</v>
      </c>
      <c r="D331" s="110" t="s">
        <v>1468</v>
      </c>
      <c r="E331" s="112" t="s">
        <v>1469</v>
      </c>
      <c r="F331" s="111" t="s">
        <v>130</v>
      </c>
      <c r="G331" s="133">
        <v>155</v>
      </c>
      <c r="H331" s="124"/>
      <c r="I331" s="133" t="str">
        <f>IF(H331&gt;0,(#REF!*H331),"-")</f>
        <v>-</v>
      </c>
      <c r="J331" s="113">
        <v>768</v>
      </c>
      <c r="K331" s="110" t="s">
        <v>127</v>
      </c>
      <c r="L331" s="110" t="s">
        <v>1437</v>
      </c>
      <c r="M331" s="110" t="s">
        <v>129</v>
      </c>
      <c r="N331" s="110" t="s">
        <v>130</v>
      </c>
      <c r="O331" s="110" t="s">
        <v>1470</v>
      </c>
      <c r="P331" s="110" t="s">
        <v>132</v>
      </c>
      <c r="Q331" s="110" t="s">
        <v>97</v>
      </c>
      <c r="R331" s="121">
        <v>0.58699999999999997</v>
      </c>
      <c r="S331" s="113" t="e">
        <f t="shared" si="10"/>
        <v>#VALUE!</v>
      </c>
      <c r="T331" s="113">
        <f t="shared" si="11"/>
        <v>0</v>
      </c>
    </row>
    <row r="332" spans="1:20" s="109" customFormat="1" x14ac:dyDescent="0.2">
      <c r="A332" s="116"/>
      <c r="B332" s="111" t="s">
        <v>202</v>
      </c>
      <c r="C332" s="110" t="s">
        <v>1471</v>
      </c>
      <c r="D332" s="110" t="s">
        <v>1472</v>
      </c>
      <c r="E332" s="112" t="s">
        <v>1473</v>
      </c>
      <c r="F332" s="111" t="s">
        <v>130</v>
      </c>
      <c r="G332" s="133">
        <v>155</v>
      </c>
      <c r="H332" s="124"/>
      <c r="I332" s="133" t="str">
        <f>IF(H332&gt;0,(#REF!*H332),"-")</f>
        <v>-</v>
      </c>
      <c r="J332" s="113">
        <v>2189</v>
      </c>
      <c r="K332" s="110" t="s">
        <v>127</v>
      </c>
      <c r="L332" s="110" t="s">
        <v>1437</v>
      </c>
      <c r="M332" s="110" t="s">
        <v>129</v>
      </c>
      <c r="N332" s="110" t="s">
        <v>130</v>
      </c>
      <c r="O332" s="110" t="s">
        <v>1474</v>
      </c>
      <c r="P332" s="110" t="s">
        <v>137</v>
      </c>
      <c r="Q332" s="110" t="s">
        <v>96</v>
      </c>
      <c r="R332" s="121">
        <v>0.21299999999999999</v>
      </c>
      <c r="S332" s="113" t="e">
        <f t="shared" si="10"/>
        <v>#VALUE!</v>
      </c>
      <c r="T332" s="113">
        <f t="shared" si="11"/>
        <v>0</v>
      </c>
    </row>
    <row r="333" spans="1:20" s="109" customFormat="1" x14ac:dyDescent="0.2">
      <c r="A333" s="116"/>
      <c r="B333" s="111" t="s">
        <v>207</v>
      </c>
      <c r="C333" s="110" t="s">
        <v>1475</v>
      </c>
      <c r="D333" s="110" t="s">
        <v>1476</v>
      </c>
      <c r="E333" s="112" t="s">
        <v>1477</v>
      </c>
      <c r="F333" s="111" t="s">
        <v>130</v>
      </c>
      <c r="G333" s="133">
        <v>155</v>
      </c>
      <c r="H333" s="124"/>
      <c r="I333" s="133" t="str">
        <f>IF(H333&gt;0,(#REF!*H333),"-")</f>
        <v>-</v>
      </c>
      <c r="J333" s="113">
        <v>4050</v>
      </c>
      <c r="K333" s="110" t="s">
        <v>127</v>
      </c>
      <c r="L333" s="110" t="s">
        <v>1437</v>
      </c>
      <c r="M333" s="110" t="s">
        <v>129</v>
      </c>
      <c r="N333" s="110" t="s">
        <v>130</v>
      </c>
      <c r="O333" s="110" t="s">
        <v>1478</v>
      </c>
      <c r="P333" s="110" t="s">
        <v>137</v>
      </c>
      <c r="Q333" s="110" t="s">
        <v>96</v>
      </c>
      <c r="R333" s="121">
        <v>0.44</v>
      </c>
      <c r="S333" s="113" t="e">
        <f t="shared" si="10"/>
        <v>#VALUE!</v>
      </c>
      <c r="T333" s="113">
        <f t="shared" si="11"/>
        <v>0</v>
      </c>
    </row>
    <row r="334" spans="1:20" s="109" customFormat="1" x14ac:dyDescent="0.2">
      <c r="A334" s="116"/>
      <c r="B334" s="111"/>
      <c r="C334" s="110" t="s">
        <v>1479</v>
      </c>
      <c r="D334" s="110" t="s">
        <v>1480</v>
      </c>
      <c r="E334" s="112" t="s">
        <v>1481</v>
      </c>
      <c r="F334" s="111" t="s">
        <v>126</v>
      </c>
      <c r="G334" s="133">
        <v>110</v>
      </c>
      <c r="H334" s="124"/>
      <c r="I334" s="133" t="str">
        <f>IF(H334&gt;0,(#REF!*H334),"-")</f>
        <v>-</v>
      </c>
      <c r="J334" s="113">
        <v>504</v>
      </c>
      <c r="K334" s="110" t="s">
        <v>127</v>
      </c>
      <c r="L334" s="110" t="s">
        <v>1437</v>
      </c>
      <c r="M334" s="110" t="s">
        <v>129</v>
      </c>
      <c r="N334" s="110" t="s">
        <v>130</v>
      </c>
      <c r="O334" s="110" t="s">
        <v>1482</v>
      </c>
      <c r="P334" s="110" t="s">
        <v>137</v>
      </c>
      <c r="Q334" s="110" t="s">
        <v>96</v>
      </c>
      <c r="R334" s="121">
        <v>8.2000000000000003E-2</v>
      </c>
      <c r="S334" s="113" t="e">
        <f t="shared" si="10"/>
        <v>#VALUE!</v>
      </c>
      <c r="T334" s="113">
        <f t="shared" si="11"/>
        <v>0</v>
      </c>
    </row>
    <row r="335" spans="1:20" s="109" customFormat="1" x14ac:dyDescent="0.2">
      <c r="A335" s="116"/>
      <c r="B335" s="111" t="s">
        <v>289</v>
      </c>
      <c r="C335" s="110" t="s">
        <v>1483</v>
      </c>
      <c r="D335" s="110" t="s">
        <v>1484</v>
      </c>
      <c r="E335" s="112" t="s">
        <v>1485</v>
      </c>
      <c r="F335" s="111" t="s">
        <v>130</v>
      </c>
      <c r="G335" s="133">
        <v>140</v>
      </c>
      <c r="H335" s="124"/>
      <c r="I335" s="133" t="str">
        <f>IF(H335&gt;0,(#REF!*H335),"-")</f>
        <v>-</v>
      </c>
      <c r="J335" s="113">
        <v>1522</v>
      </c>
      <c r="K335" s="110" t="s">
        <v>127</v>
      </c>
      <c r="L335" s="110" t="s">
        <v>1437</v>
      </c>
      <c r="M335" s="110" t="s">
        <v>129</v>
      </c>
      <c r="N335" s="110" t="s">
        <v>130</v>
      </c>
      <c r="O335" s="110" t="s">
        <v>1486</v>
      </c>
      <c r="P335" s="110" t="s">
        <v>137</v>
      </c>
      <c r="Q335" s="110" t="s">
        <v>96</v>
      </c>
      <c r="R335" s="121">
        <v>0.16600000000000001</v>
      </c>
      <c r="S335" s="113" t="e">
        <f t="shared" si="10"/>
        <v>#VALUE!</v>
      </c>
      <c r="T335" s="113">
        <f t="shared" si="11"/>
        <v>0</v>
      </c>
    </row>
    <row r="336" spans="1:20" s="109" customFormat="1" x14ac:dyDescent="0.2">
      <c r="A336" s="116"/>
      <c r="B336" s="111" t="s">
        <v>207</v>
      </c>
      <c r="C336" s="110" t="s">
        <v>1487</v>
      </c>
      <c r="D336" s="110" t="s">
        <v>1488</v>
      </c>
      <c r="E336" s="112" t="s">
        <v>1489</v>
      </c>
      <c r="F336" s="111" t="s">
        <v>130</v>
      </c>
      <c r="G336" s="133">
        <v>280</v>
      </c>
      <c r="H336" s="124"/>
      <c r="I336" s="133" t="str">
        <f>IF(H336&gt;0,(#REF!*H336),"-")</f>
        <v>-</v>
      </c>
      <c r="J336" s="113">
        <v>4309</v>
      </c>
      <c r="K336" s="110" t="s">
        <v>127</v>
      </c>
      <c r="L336" s="110" t="s">
        <v>1437</v>
      </c>
      <c r="M336" s="110" t="s">
        <v>129</v>
      </c>
      <c r="N336" s="110" t="s">
        <v>130</v>
      </c>
      <c r="O336" s="110" t="s">
        <v>1490</v>
      </c>
      <c r="P336" s="110" t="s">
        <v>137</v>
      </c>
      <c r="Q336" s="110" t="s">
        <v>96</v>
      </c>
      <c r="R336" s="121">
        <v>0.41699999999999998</v>
      </c>
      <c r="S336" s="113" t="e">
        <f t="shared" si="10"/>
        <v>#VALUE!</v>
      </c>
      <c r="T336" s="113">
        <f t="shared" si="11"/>
        <v>0</v>
      </c>
    </row>
    <row r="337" spans="1:20" s="109" customFormat="1" x14ac:dyDescent="0.2">
      <c r="A337" s="116"/>
      <c r="B337" s="111" t="s">
        <v>207</v>
      </c>
      <c r="C337" s="110" t="s">
        <v>1491</v>
      </c>
      <c r="D337" s="110" t="s">
        <v>1492</v>
      </c>
      <c r="E337" s="112" t="s">
        <v>1493</v>
      </c>
      <c r="F337" s="111" t="s">
        <v>130</v>
      </c>
      <c r="G337" s="133">
        <v>279</v>
      </c>
      <c r="H337" s="124"/>
      <c r="I337" s="133" t="str">
        <f>IF(H337&gt;0,(#REF!*H337),"-")</f>
        <v>-</v>
      </c>
      <c r="J337" s="113">
        <v>3375</v>
      </c>
      <c r="K337" s="110" t="s">
        <v>127</v>
      </c>
      <c r="L337" s="110" t="s">
        <v>1437</v>
      </c>
      <c r="M337" s="110" t="s">
        <v>129</v>
      </c>
      <c r="N337" s="110" t="s">
        <v>130</v>
      </c>
      <c r="O337" s="110" t="s">
        <v>1494</v>
      </c>
      <c r="P337" s="110" t="s">
        <v>137</v>
      </c>
      <c r="Q337" s="110" t="s">
        <v>96</v>
      </c>
      <c r="R337" s="121">
        <v>0.36899999999999999</v>
      </c>
      <c r="S337" s="113" t="e">
        <f t="shared" si="10"/>
        <v>#VALUE!</v>
      </c>
      <c r="T337" s="113">
        <f t="shared" si="11"/>
        <v>0</v>
      </c>
    </row>
    <row r="338" spans="1:20" s="109" customFormat="1" x14ac:dyDescent="0.2">
      <c r="A338" s="116"/>
      <c r="B338" s="111"/>
      <c r="C338" s="110" t="s">
        <v>1495</v>
      </c>
      <c r="D338" s="110" t="s">
        <v>1496</v>
      </c>
      <c r="E338" s="112" t="s">
        <v>1497</v>
      </c>
      <c r="F338" s="111" t="s">
        <v>126</v>
      </c>
      <c r="G338" s="133">
        <v>155</v>
      </c>
      <c r="H338" s="124"/>
      <c r="I338" s="133" t="str">
        <f>IF(H338&gt;0,(#REF!*H338),"-")</f>
        <v>-</v>
      </c>
      <c r="J338" s="113">
        <v>586</v>
      </c>
      <c r="K338" s="110" t="s">
        <v>127</v>
      </c>
      <c r="L338" s="110" t="s">
        <v>1437</v>
      </c>
      <c r="M338" s="110" t="s">
        <v>129</v>
      </c>
      <c r="N338" s="110" t="s">
        <v>130</v>
      </c>
      <c r="O338" s="110" t="s">
        <v>1498</v>
      </c>
      <c r="P338" s="110" t="s">
        <v>132</v>
      </c>
      <c r="Q338" s="110" t="s">
        <v>97</v>
      </c>
      <c r="R338" s="121">
        <v>0.495</v>
      </c>
      <c r="S338" s="113" t="e">
        <f t="shared" si="10"/>
        <v>#VALUE!</v>
      </c>
      <c r="T338" s="113">
        <f t="shared" si="11"/>
        <v>0</v>
      </c>
    </row>
    <row r="339" spans="1:20" s="109" customFormat="1" x14ac:dyDescent="0.2">
      <c r="A339" s="116"/>
      <c r="B339" s="111" t="s">
        <v>202</v>
      </c>
      <c r="C339" s="110" t="s">
        <v>1499</v>
      </c>
      <c r="D339" s="110" t="s">
        <v>1500</v>
      </c>
      <c r="E339" s="112" t="s">
        <v>1501</v>
      </c>
      <c r="F339" s="111" t="s">
        <v>130</v>
      </c>
      <c r="G339" s="133">
        <v>215</v>
      </c>
      <c r="H339" s="124"/>
      <c r="I339" s="133" t="str">
        <f>IF(H339&gt;0,(#REF!*H339),"-")</f>
        <v>-</v>
      </c>
      <c r="J339" s="113">
        <v>1046</v>
      </c>
      <c r="K339" s="110" t="s">
        <v>127</v>
      </c>
      <c r="L339" s="110" t="s">
        <v>1437</v>
      </c>
      <c r="M339" s="110" t="s">
        <v>129</v>
      </c>
      <c r="N339" s="110" t="s">
        <v>130</v>
      </c>
      <c r="O339" s="110" t="s">
        <v>1502</v>
      </c>
      <c r="P339" s="110" t="s">
        <v>137</v>
      </c>
      <c r="Q339" s="110" t="s">
        <v>96</v>
      </c>
      <c r="R339" s="121">
        <v>0.17699999999999999</v>
      </c>
      <c r="S339" s="113" t="e">
        <f t="shared" si="10"/>
        <v>#VALUE!</v>
      </c>
      <c r="T339" s="113">
        <f t="shared" si="11"/>
        <v>0</v>
      </c>
    </row>
    <row r="340" spans="1:20" s="109" customFormat="1" x14ac:dyDescent="0.2">
      <c r="A340" s="116"/>
      <c r="B340" s="111"/>
      <c r="C340" s="110" t="s">
        <v>1503</v>
      </c>
      <c r="D340" s="110" t="s">
        <v>1504</v>
      </c>
      <c r="E340" s="112" t="s">
        <v>1505</v>
      </c>
      <c r="F340" s="111" t="s">
        <v>126</v>
      </c>
      <c r="G340" s="133">
        <v>60</v>
      </c>
      <c r="H340" s="124"/>
      <c r="I340" s="133" t="str">
        <f>IF(H340&gt;0,(#REF!*H340),"-")</f>
        <v>-</v>
      </c>
      <c r="J340" s="113">
        <v>305</v>
      </c>
      <c r="K340" s="110" t="s">
        <v>127</v>
      </c>
      <c r="L340" s="110" t="s">
        <v>1437</v>
      </c>
      <c r="M340" s="110" t="s">
        <v>129</v>
      </c>
      <c r="N340" s="110" t="s">
        <v>130</v>
      </c>
      <c r="O340" s="110" t="s">
        <v>1506</v>
      </c>
      <c r="P340" s="110" t="s">
        <v>400</v>
      </c>
      <c r="Q340" s="110" t="s">
        <v>97</v>
      </c>
      <c r="R340" s="121">
        <v>0.17699999999999999</v>
      </c>
      <c r="S340" s="113" t="e">
        <f t="shared" si="10"/>
        <v>#VALUE!</v>
      </c>
      <c r="T340" s="113">
        <f t="shared" si="11"/>
        <v>0</v>
      </c>
    </row>
    <row r="341" spans="1:20" s="109" customFormat="1" x14ac:dyDescent="0.2">
      <c r="A341" s="116"/>
      <c r="B341" s="111" t="s">
        <v>207</v>
      </c>
      <c r="C341" s="110" t="s">
        <v>1507</v>
      </c>
      <c r="D341" s="110" t="s">
        <v>1508</v>
      </c>
      <c r="E341" s="112" t="s">
        <v>1509</v>
      </c>
      <c r="F341" s="111" t="s">
        <v>130</v>
      </c>
      <c r="G341" s="133">
        <v>125</v>
      </c>
      <c r="H341" s="124"/>
      <c r="I341" s="133" t="str">
        <f>IF(H341&gt;0,(#REF!*H341),"-")</f>
        <v>-</v>
      </c>
      <c r="J341" s="113">
        <v>537</v>
      </c>
      <c r="K341" s="110" t="s">
        <v>127</v>
      </c>
      <c r="L341" s="110" t="s">
        <v>1437</v>
      </c>
      <c r="M341" s="110" t="s">
        <v>129</v>
      </c>
      <c r="N341" s="110" t="s">
        <v>130</v>
      </c>
      <c r="O341" s="110" t="s">
        <v>1510</v>
      </c>
      <c r="P341" s="110" t="s">
        <v>137</v>
      </c>
      <c r="Q341" s="110" t="s">
        <v>96</v>
      </c>
      <c r="R341" s="121">
        <v>5.3900000000000003E-2</v>
      </c>
      <c r="S341" s="113" t="e">
        <f t="shared" si="10"/>
        <v>#VALUE!</v>
      </c>
      <c r="T341" s="113">
        <f t="shared" si="11"/>
        <v>0</v>
      </c>
    </row>
    <row r="342" spans="1:20" s="109" customFormat="1" x14ac:dyDescent="0.2">
      <c r="A342" s="116"/>
      <c r="B342" s="111"/>
      <c r="C342" s="110" t="s">
        <v>1511</v>
      </c>
      <c r="D342" s="110" t="s">
        <v>1512</v>
      </c>
      <c r="E342" s="112" t="s">
        <v>1513</v>
      </c>
      <c r="F342" s="111" t="s">
        <v>126</v>
      </c>
      <c r="G342" s="133">
        <v>110</v>
      </c>
      <c r="H342" s="124"/>
      <c r="I342" s="133" t="str">
        <f>IF(H342&gt;0,(#REF!*H342),"-")</f>
        <v>-</v>
      </c>
      <c r="J342" s="113">
        <v>398</v>
      </c>
      <c r="K342" s="110" t="s">
        <v>127</v>
      </c>
      <c r="L342" s="110" t="s">
        <v>1437</v>
      </c>
      <c r="M342" s="110" t="s">
        <v>129</v>
      </c>
      <c r="N342" s="110" t="s">
        <v>130</v>
      </c>
      <c r="O342" s="110" t="s">
        <v>1514</v>
      </c>
      <c r="P342" s="110" t="s">
        <v>137</v>
      </c>
      <c r="Q342" s="110" t="s">
        <v>96</v>
      </c>
      <c r="R342" s="121">
        <v>2.63E-2</v>
      </c>
      <c r="S342" s="113" t="e">
        <f t="shared" si="10"/>
        <v>#VALUE!</v>
      </c>
      <c r="T342" s="113">
        <f t="shared" si="11"/>
        <v>0</v>
      </c>
    </row>
    <row r="343" spans="1:20" s="109" customFormat="1" x14ac:dyDescent="0.2">
      <c r="A343" s="116"/>
      <c r="B343" s="111" t="s">
        <v>207</v>
      </c>
      <c r="C343" s="110" t="s">
        <v>1515</v>
      </c>
      <c r="D343" s="110" t="s">
        <v>1516</v>
      </c>
      <c r="E343" s="112" t="s">
        <v>1517</v>
      </c>
      <c r="F343" s="111" t="s">
        <v>130</v>
      </c>
      <c r="G343" s="133">
        <v>135</v>
      </c>
      <c r="H343" s="124"/>
      <c r="I343" s="133" t="str">
        <f>IF(H343&gt;0,(#REF!*H343),"-")</f>
        <v>-</v>
      </c>
      <c r="J343" s="113">
        <v>504</v>
      </c>
      <c r="K343" s="110" t="s">
        <v>127</v>
      </c>
      <c r="L343" s="110" t="s">
        <v>1437</v>
      </c>
      <c r="M343" s="110" t="s">
        <v>129</v>
      </c>
      <c r="N343" s="110" t="s">
        <v>130</v>
      </c>
      <c r="O343" s="110" t="s">
        <v>1518</v>
      </c>
      <c r="P343" s="110" t="s">
        <v>137</v>
      </c>
      <c r="Q343" s="110" t="s">
        <v>96</v>
      </c>
      <c r="R343" s="121">
        <v>5.1999999999999998E-2</v>
      </c>
      <c r="S343" s="113" t="e">
        <f t="shared" si="10"/>
        <v>#VALUE!</v>
      </c>
      <c r="T343" s="113">
        <f t="shared" si="11"/>
        <v>0</v>
      </c>
    </row>
    <row r="344" spans="1:20" s="109" customFormat="1" x14ac:dyDescent="0.2">
      <c r="A344" s="116"/>
      <c r="B344" s="111" t="s">
        <v>202</v>
      </c>
      <c r="C344" s="110" t="s">
        <v>1519</v>
      </c>
      <c r="D344" s="110" t="s">
        <v>1520</v>
      </c>
      <c r="E344" s="112" t="s">
        <v>1521</v>
      </c>
      <c r="F344" s="111" t="s">
        <v>130</v>
      </c>
      <c r="G344" s="133">
        <v>140</v>
      </c>
      <c r="H344" s="124"/>
      <c r="I344" s="133" t="str">
        <f>IF(H344&gt;0,(#REF!*H344),"-")</f>
        <v>-</v>
      </c>
      <c r="J344" s="113">
        <v>1046</v>
      </c>
      <c r="K344" s="110" t="s">
        <v>127</v>
      </c>
      <c r="L344" s="110" t="s">
        <v>1437</v>
      </c>
      <c r="M344" s="110" t="s">
        <v>129</v>
      </c>
      <c r="N344" s="110" t="s">
        <v>130</v>
      </c>
      <c r="O344" s="110" t="s">
        <v>1522</v>
      </c>
      <c r="P344" s="110" t="s">
        <v>137</v>
      </c>
      <c r="Q344" s="110" t="s">
        <v>96</v>
      </c>
      <c r="R344" s="121">
        <v>0.11899999999999999</v>
      </c>
      <c r="S344" s="113" t="e">
        <f t="shared" si="10"/>
        <v>#VALUE!</v>
      </c>
      <c r="T344" s="113">
        <f t="shared" si="11"/>
        <v>0</v>
      </c>
    </row>
    <row r="345" spans="1:20" s="109" customFormat="1" x14ac:dyDescent="0.2">
      <c r="A345" s="116"/>
      <c r="B345" s="111"/>
      <c r="C345" s="110" t="s">
        <v>1523</v>
      </c>
      <c r="D345" s="110" t="s">
        <v>1524</v>
      </c>
      <c r="E345" s="112" t="s">
        <v>1525</v>
      </c>
      <c r="F345" s="111" t="s">
        <v>126</v>
      </c>
      <c r="G345" s="133">
        <v>110</v>
      </c>
      <c r="H345" s="124"/>
      <c r="I345" s="133" t="str">
        <f>IF(H345&gt;0,(#REF!*H345),"-")</f>
        <v>-</v>
      </c>
      <c r="J345" s="113">
        <v>398</v>
      </c>
      <c r="K345" s="110" t="s">
        <v>127</v>
      </c>
      <c r="L345" s="110" t="s">
        <v>1437</v>
      </c>
      <c r="M345" s="110" t="s">
        <v>129</v>
      </c>
      <c r="N345" s="110" t="s">
        <v>130</v>
      </c>
      <c r="O345" s="110" t="s">
        <v>1526</v>
      </c>
      <c r="P345" s="110" t="s">
        <v>137</v>
      </c>
      <c r="Q345" s="110" t="s">
        <v>96</v>
      </c>
      <c r="R345" s="121">
        <v>2.7E-2</v>
      </c>
      <c r="S345" s="113" t="e">
        <f t="shared" si="10"/>
        <v>#VALUE!</v>
      </c>
      <c r="T345" s="113">
        <f t="shared" si="11"/>
        <v>0</v>
      </c>
    </row>
    <row r="346" spans="1:20" s="109" customFormat="1" x14ac:dyDescent="0.2">
      <c r="A346" s="116"/>
      <c r="B346" s="111" t="s">
        <v>207</v>
      </c>
      <c r="C346" s="110" t="s">
        <v>1527</v>
      </c>
      <c r="D346" s="110" t="s">
        <v>1528</v>
      </c>
      <c r="E346" s="112" t="s">
        <v>1529</v>
      </c>
      <c r="F346" s="111" t="s">
        <v>130</v>
      </c>
      <c r="G346" s="133">
        <v>60</v>
      </c>
      <c r="H346" s="124"/>
      <c r="I346" s="133" t="str">
        <f>IF(H346&gt;0,(#REF!*H346),"-")</f>
        <v>-</v>
      </c>
      <c r="J346" s="113">
        <v>504</v>
      </c>
      <c r="K346" s="110" t="s">
        <v>127</v>
      </c>
      <c r="L346" s="110" t="s">
        <v>1437</v>
      </c>
      <c r="M346" s="110" t="s">
        <v>129</v>
      </c>
      <c r="N346" s="110" t="s">
        <v>130</v>
      </c>
      <c r="O346" s="110" t="s">
        <v>1530</v>
      </c>
      <c r="P346" s="110" t="s">
        <v>137</v>
      </c>
      <c r="Q346" s="110" t="s">
        <v>96</v>
      </c>
      <c r="R346" s="121">
        <v>6.7000000000000004E-2</v>
      </c>
      <c r="S346" s="113" t="e">
        <f t="shared" si="10"/>
        <v>#VALUE!</v>
      </c>
      <c r="T346" s="113">
        <f t="shared" si="11"/>
        <v>0</v>
      </c>
    </row>
    <row r="347" spans="1:20" s="109" customFormat="1" x14ac:dyDescent="0.2">
      <c r="A347" s="116"/>
      <c r="B347" s="111" t="s">
        <v>202</v>
      </c>
      <c r="C347" s="110" t="s">
        <v>1531</v>
      </c>
      <c r="D347" s="110" t="s">
        <v>1532</v>
      </c>
      <c r="E347" s="112" t="s">
        <v>1533</v>
      </c>
      <c r="F347" s="111" t="s">
        <v>130</v>
      </c>
      <c r="G347" s="133">
        <v>560</v>
      </c>
      <c r="H347" s="124"/>
      <c r="I347" s="133" t="str">
        <f>IF(H347&gt;0,(#REF!*H347),"-")</f>
        <v>-</v>
      </c>
      <c r="J347" s="113">
        <v>3713</v>
      </c>
      <c r="K347" s="110" t="s">
        <v>127</v>
      </c>
      <c r="L347" s="110" t="s">
        <v>1437</v>
      </c>
      <c r="M347" s="110" t="s">
        <v>129</v>
      </c>
      <c r="N347" s="110" t="s">
        <v>130</v>
      </c>
      <c r="O347" s="110" t="s">
        <v>1534</v>
      </c>
      <c r="P347" s="110" t="s">
        <v>137</v>
      </c>
      <c r="Q347" s="110" t="s">
        <v>96</v>
      </c>
      <c r="R347" s="121">
        <v>0.47799999999999998</v>
      </c>
      <c r="S347" s="113" t="e">
        <f t="shared" si="10"/>
        <v>#VALUE!</v>
      </c>
      <c r="T347" s="113">
        <f t="shared" si="11"/>
        <v>0</v>
      </c>
    </row>
    <row r="348" spans="1:20" s="109" customFormat="1" x14ac:dyDescent="0.2">
      <c r="A348" s="116"/>
      <c r="B348" s="111" t="s">
        <v>289</v>
      </c>
      <c r="C348" s="110" t="s">
        <v>1535</v>
      </c>
      <c r="D348" s="110" t="s">
        <v>1536</v>
      </c>
      <c r="E348" s="112" t="s">
        <v>1537</v>
      </c>
      <c r="F348" s="111" t="s">
        <v>130</v>
      </c>
      <c r="G348" s="133">
        <v>200</v>
      </c>
      <c r="H348" s="124"/>
      <c r="I348" s="133" t="str">
        <f>IF(H348&gt;0,(#REF!*H348),"-")</f>
        <v>-</v>
      </c>
      <c r="J348" s="113">
        <v>1522</v>
      </c>
      <c r="K348" s="110" t="s">
        <v>127</v>
      </c>
      <c r="L348" s="110" t="s">
        <v>1437</v>
      </c>
      <c r="M348" s="110" t="s">
        <v>129</v>
      </c>
      <c r="N348" s="110" t="s">
        <v>130</v>
      </c>
      <c r="O348" s="110" t="s">
        <v>1538</v>
      </c>
      <c r="P348" s="110" t="s">
        <v>137</v>
      </c>
      <c r="Q348" s="110" t="s">
        <v>96</v>
      </c>
      <c r="R348" s="121">
        <v>0.20169999999999999</v>
      </c>
      <c r="S348" s="113" t="e">
        <f t="shared" si="10"/>
        <v>#VALUE!</v>
      </c>
      <c r="T348" s="113">
        <f t="shared" si="11"/>
        <v>0</v>
      </c>
    </row>
    <row r="349" spans="1:20" s="109" customFormat="1" x14ac:dyDescent="0.2">
      <c r="A349" s="116"/>
      <c r="B349" s="111" t="s">
        <v>207</v>
      </c>
      <c r="C349" s="110" t="s">
        <v>1539</v>
      </c>
      <c r="D349" s="110" t="s">
        <v>1540</v>
      </c>
      <c r="E349" s="112" t="s">
        <v>1541</v>
      </c>
      <c r="F349" s="111" t="s">
        <v>130</v>
      </c>
      <c r="G349" s="133">
        <v>215</v>
      </c>
      <c r="H349" s="124"/>
      <c r="I349" s="133" t="str">
        <f>IF(H349&gt;0,(#REF!*H349),"-")</f>
        <v>-</v>
      </c>
      <c r="J349" s="113">
        <v>1384</v>
      </c>
      <c r="K349" s="110" t="s">
        <v>127</v>
      </c>
      <c r="L349" s="110" t="s">
        <v>1437</v>
      </c>
      <c r="M349" s="110" t="s">
        <v>129</v>
      </c>
      <c r="N349" s="110" t="s">
        <v>130</v>
      </c>
      <c r="O349" s="110" t="s">
        <v>1542</v>
      </c>
      <c r="P349" s="110" t="s">
        <v>137</v>
      </c>
      <c r="Q349" s="110" t="s">
        <v>96</v>
      </c>
      <c r="R349" s="121">
        <v>0.159</v>
      </c>
      <c r="S349" s="113" t="e">
        <f t="shared" si="10"/>
        <v>#VALUE!</v>
      </c>
      <c r="T349" s="113">
        <f t="shared" si="11"/>
        <v>0</v>
      </c>
    </row>
    <row r="350" spans="1:20" s="109" customFormat="1" x14ac:dyDescent="0.2">
      <c r="A350" s="116"/>
      <c r="B350" s="111" t="s">
        <v>289</v>
      </c>
      <c r="C350" s="110" t="s">
        <v>1543</v>
      </c>
      <c r="D350" s="110" t="s">
        <v>1544</v>
      </c>
      <c r="E350" s="112" t="s">
        <v>1545</v>
      </c>
      <c r="F350" s="111" t="s">
        <v>130</v>
      </c>
      <c r="G350" s="133">
        <v>140</v>
      </c>
      <c r="H350" s="124"/>
      <c r="I350" s="133" t="str">
        <f>IF(H350&gt;0,(#REF!*H350),"-")</f>
        <v>-</v>
      </c>
      <c r="J350" s="113">
        <v>756</v>
      </c>
      <c r="K350" s="110" t="s">
        <v>127</v>
      </c>
      <c r="L350" s="110" t="s">
        <v>1437</v>
      </c>
      <c r="M350" s="110" t="s">
        <v>129</v>
      </c>
      <c r="N350" s="110" t="s">
        <v>130</v>
      </c>
      <c r="O350" s="110" t="s">
        <v>1546</v>
      </c>
      <c r="P350" s="110" t="s">
        <v>137</v>
      </c>
      <c r="Q350" s="110" t="s">
        <v>96</v>
      </c>
      <c r="R350" s="121">
        <v>7.8E-2</v>
      </c>
      <c r="S350" s="113" t="e">
        <f t="shared" si="10"/>
        <v>#VALUE!</v>
      </c>
      <c r="T350" s="113">
        <f t="shared" si="11"/>
        <v>0</v>
      </c>
    </row>
    <row r="351" spans="1:20" s="109" customFormat="1" x14ac:dyDescent="0.2">
      <c r="A351" s="116"/>
      <c r="B351" s="111" t="s">
        <v>202</v>
      </c>
      <c r="C351" s="110" t="s">
        <v>1547</v>
      </c>
      <c r="D351" s="110" t="s">
        <v>1548</v>
      </c>
      <c r="E351" s="112" t="s">
        <v>1549</v>
      </c>
      <c r="F351" s="111" t="s">
        <v>130</v>
      </c>
      <c r="G351" s="133">
        <v>155</v>
      </c>
      <c r="H351" s="124"/>
      <c r="I351" s="133" t="str">
        <f>IF(H351&gt;0,(#REF!*H351),"-")</f>
        <v>-</v>
      </c>
      <c r="J351" s="113">
        <v>756</v>
      </c>
      <c r="K351" s="110" t="s">
        <v>127</v>
      </c>
      <c r="L351" s="110" t="s">
        <v>1437</v>
      </c>
      <c r="M351" s="110" t="s">
        <v>129</v>
      </c>
      <c r="N351" s="110" t="s">
        <v>130</v>
      </c>
      <c r="O351" s="110" t="s">
        <v>1550</v>
      </c>
      <c r="P351" s="110" t="s">
        <v>137</v>
      </c>
      <c r="Q351" s="110" t="s">
        <v>96</v>
      </c>
      <c r="R351" s="121">
        <v>7.4200000000000002E-2</v>
      </c>
      <c r="S351" s="113" t="e">
        <f t="shared" si="10"/>
        <v>#VALUE!</v>
      </c>
      <c r="T351" s="113">
        <f t="shared" si="11"/>
        <v>0</v>
      </c>
    </row>
    <row r="352" spans="1:20" s="109" customFormat="1" x14ac:dyDescent="0.2">
      <c r="A352" s="116"/>
      <c r="B352" s="111" t="s">
        <v>207</v>
      </c>
      <c r="C352" s="110" t="s">
        <v>1551</v>
      </c>
      <c r="D352" s="110" t="s">
        <v>1552</v>
      </c>
      <c r="E352" s="112" t="s">
        <v>1553</v>
      </c>
      <c r="F352" s="111" t="s">
        <v>130</v>
      </c>
      <c r="G352" s="133">
        <v>215</v>
      </c>
      <c r="H352" s="124"/>
      <c r="I352" s="133" t="str">
        <f>IF(H352&gt;0,(#REF!*H352),"-")</f>
        <v>-</v>
      </c>
      <c r="J352" s="113">
        <v>1384</v>
      </c>
      <c r="K352" s="110" t="s">
        <v>127</v>
      </c>
      <c r="L352" s="110" t="s">
        <v>1437</v>
      </c>
      <c r="M352" s="110" t="s">
        <v>129</v>
      </c>
      <c r="N352" s="110" t="s">
        <v>130</v>
      </c>
      <c r="O352" s="110" t="s">
        <v>1554</v>
      </c>
      <c r="P352" s="110" t="s">
        <v>137</v>
      </c>
      <c r="Q352" s="110" t="s">
        <v>96</v>
      </c>
      <c r="R352" s="121">
        <v>0.16200000000000001</v>
      </c>
      <c r="S352" s="113" t="e">
        <f t="shared" si="10"/>
        <v>#VALUE!</v>
      </c>
      <c r="T352" s="113">
        <f t="shared" si="11"/>
        <v>0</v>
      </c>
    </row>
    <row r="353" spans="1:20" s="109" customFormat="1" x14ac:dyDescent="0.2">
      <c r="A353" s="116"/>
      <c r="B353" s="111" t="s">
        <v>207</v>
      </c>
      <c r="C353" s="110" t="s">
        <v>1555</v>
      </c>
      <c r="D353" s="110" t="s">
        <v>1556</v>
      </c>
      <c r="E353" s="112" t="s">
        <v>1557</v>
      </c>
      <c r="F353" s="111" t="s">
        <v>130</v>
      </c>
      <c r="G353" s="133">
        <v>60</v>
      </c>
      <c r="H353" s="124"/>
      <c r="I353" s="133" t="str">
        <f>IF(H353&gt;0,(#REF!*H353),"-")</f>
        <v>-</v>
      </c>
      <c r="J353" s="113">
        <v>504</v>
      </c>
      <c r="K353" s="110" t="s">
        <v>127</v>
      </c>
      <c r="L353" s="110" t="s">
        <v>1437</v>
      </c>
      <c r="M353" s="110" t="s">
        <v>129</v>
      </c>
      <c r="N353" s="110" t="s">
        <v>130</v>
      </c>
      <c r="O353" s="110" t="s">
        <v>1558</v>
      </c>
      <c r="P353" s="110" t="s">
        <v>137</v>
      </c>
      <c r="Q353" s="110" t="s">
        <v>96</v>
      </c>
      <c r="R353" s="121">
        <v>6.0999999999999999E-2</v>
      </c>
      <c r="S353" s="113" t="e">
        <f t="shared" si="10"/>
        <v>#VALUE!</v>
      </c>
      <c r="T353" s="113">
        <f t="shared" si="11"/>
        <v>0</v>
      </c>
    </row>
    <row r="354" spans="1:20" s="109" customFormat="1" x14ac:dyDescent="0.2">
      <c r="A354" s="116"/>
      <c r="B354" s="111" t="s">
        <v>202</v>
      </c>
      <c r="C354" s="110" t="s">
        <v>1559</v>
      </c>
      <c r="D354" s="110" t="s">
        <v>1560</v>
      </c>
      <c r="E354" s="112" t="s">
        <v>1561</v>
      </c>
      <c r="F354" s="111" t="s">
        <v>130</v>
      </c>
      <c r="G354" s="133">
        <v>110</v>
      </c>
      <c r="H354" s="124"/>
      <c r="I354" s="133" t="str">
        <f>IF(H354&gt;0,(#REF!*H354),"-")</f>
        <v>-</v>
      </c>
      <c r="J354" s="113">
        <v>398</v>
      </c>
      <c r="K354" s="110" t="s">
        <v>127</v>
      </c>
      <c r="L354" s="110" t="s">
        <v>1437</v>
      </c>
      <c r="M354" s="110" t="s">
        <v>129</v>
      </c>
      <c r="N354" s="110" t="s">
        <v>130</v>
      </c>
      <c r="O354" s="110" t="s">
        <v>1562</v>
      </c>
      <c r="P354" s="110" t="s">
        <v>137</v>
      </c>
      <c r="Q354" s="110" t="s">
        <v>96</v>
      </c>
      <c r="R354" s="121">
        <v>2.7E-2</v>
      </c>
      <c r="S354" s="113" t="e">
        <f t="shared" si="10"/>
        <v>#VALUE!</v>
      </c>
      <c r="T354" s="113">
        <f t="shared" si="11"/>
        <v>0</v>
      </c>
    </row>
    <row r="355" spans="1:20" s="109" customFormat="1" x14ac:dyDescent="0.2">
      <c r="A355" s="116"/>
      <c r="B355" s="111"/>
      <c r="C355" s="110" t="s">
        <v>1563</v>
      </c>
      <c r="D355" s="110" t="s">
        <v>1564</v>
      </c>
      <c r="E355" s="112" t="s">
        <v>1565</v>
      </c>
      <c r="F355" s="111" t="s">
        <v>126</v>
      </c>
      <c r="G355" s="133">
        <v>110</v>
      </c>
      <c r="H355" s="124"/>
      <c r="I355" s="133" t="str">
        <f>IF(H355&gt;0,(#REF!*H355),"-")</f>
        <v>-</v>
      </c>
      <c r="J355" s="113">
        <v>398</v>
      </c>
      <c r="K355" s="110" t="s">
        <v>127</v>
      </c>
      <c r="L355" s="110" t="s">
        <v>1437</v>
      </c>
      <c r="M355" s="110" t="s">
        <v>129</v>
      </c>
      <c r="N355" s="110" t="s">
        <v>130</v>
      </c>
      <c r="O355" s="110" t="s">
        <v>1566</v>
      </c>
      <c r="P355" s="110" t="s">
        <v>137</v>
      </c>
      <c r="Q355" s="110" t="s">
        <v>96</v>
      </c>
      <c r="R355" s="121">
        <v>2.7199999999999998E-2</v>
      </c>
      <c r="S355" s="113" t="e">
        <f t="shared" si="10"/>
        <v>#VALUE!</v>
      </c>
      <c r="T355" s="113">
        <f t="shared" si="11"/>
        <v>0</v>
      </c>
    </row>
    <row r="356" spans="1:20" s="109" customFormat="1" x14ac:dyDescent="0.2">
      <c r="A356" s="116"/>
      <c r="B356" s="111"/>
      <c r="C356" s="110" t="s">
        <v>1567</v>
      </c>
      <c r="D356" s="110" t="s">
        <v>1568</v>
      </c>
      <c r="E356" s="112" t="s">
        <v>1569</v>
      </c>
      <c r="F356" s="111" t="s">
        <v>126</v>
      </c>
      <c r="G356" s="133">
        <v>110</v>
      </c>
      <c r="H356" s="124"/>
      <c r="I356" s="133" t="str">
        <f>IF(H356&gt;0,(#REF!*H356),"-")</f>
        <v>-</v>
      </c>
      <c r="J356" s="113">
        <v>398</v>
      </c>
      <c r="K356" s="110" t="s">
        <v>127</v>
      </c>
      <c r="L356" s="110" t="s">
        <v>1437</v>
      </c>
      <c r="M356" s="110" t="s">
        <v>129</v>
      </c>
      <c r="N356" s="110" t="s">
        <v>130</v>
      </c>
      <c r="O356" s="110" t="s">
        <v>1570</v>
      </c>
      <c r="P356" s="110" t="s">
        <v>137</v>
      </c>
      <c r="Q356" s="110" t="s">
        <v>96</v>
      </c>
      <c r="R356" s="121">
        <v>2.7E-2</v>
      </c>
      <c r="S356" s="113" t="e">
        <f t="shared" si="10"/>
        <v>#VALUE!</v>
      </c>
      <c r="T356" s="113">
        <f t="shared" si="11"/>
        <v>0</v>
      </c>
    </row>
    <row r="357" spans="1:20" s="109" customFormat="1" x14ac:dyDescent="0.2">
      <c r="A357" s="116"/>
      <c r="B357" s="111"/>
      <c r="C357" s="110" t="s">
        <v>1571</v>
      </c>
      <c r="D357" s="110" t="s">
        <v>1572</v>
      </c>
      <c r="E357" s="112" t="s">
        <v>1573</v>
      </c>
      <c r="F357" s="111" t="s">
        <v>126</v>
      </c>
      <c r="G357" s="133">
        <v>110</v>
      </c>
      <c r="H357" s="124"/>
      <c r="I357" s="133" t="str">
        <f>IF(H357&gt;0,(#REF!*H357),"-")</f>
        <v>-</v>
      </c>
      <c r="J357" s="113">
        <v>398</v>
      </c>
      <c r="K357" s="110" t="s">
        <v>127</v>
      </c>
      <c r="L357" s="110" t="s">
        <v>1437</v>
      </c>
      <c r="M357" s="110" t="s">
        <v>129</v>
      </c>
      <c r="N357" s="110" t="s">
        <v>130</v>
      </c>
      <c r="O357" s="110" t="s">
        <v>1574</v>
      </c>
      <c r="P357" s="110" t="s">
        <v>137</v>
      </c>
      <c r="Q357" s="110" t="s">
        <v>96</v>
      </c>
      <c r="R357" s="121">
        <v>2.5600000000000001E-2</v>
      </c>
      <c r="S357" s="113" t="e">
        <f t="shared" si="10"/>
        <v>#VALUE!</v>
      </c>
      <c r="T357" s="113">
        <f t="shared" si="11"/>
        <v>0</v>
      </c>
    </row>
    <row r="358" spans="1:20" s="109" customFormat="1" x14ac:dyDescent="0.2">
      <c r="A358" s="116"/>
      <c r="B358" s="111"/>
      <c r="C358" s="110" t="s">
        <v>1575</v>
      </c>
      <c r="D358" s="110" t="s">
        <v>1576</v>
      </c>
      <c r="E358" s="112" t="s">
        <v>1577</v>
      </c>
      <c r="F358" s="111" t="s">
        <v>126</v>
      </c>
      <c r="G358" s="133">
        <v>110</v>
      </c>
      <c r="H358" s="124"/>
      <c r="I358" s="133" t="str">
        <f>IF(H358&gt;0,(#REF!*H358),"-")</f>
        <v>-</v>
      </c>
      <c r="J358" s="113">
        <v>398</v>
      </c>
      <c r="K358" s="110" t="s">
        <v>127</v>
      </c>
      <c r="L358" s="110" t="s">
        <v>1437</v>
      </c>
      <c r="M358" s="110" t="s">
        <v>129</v>
      </c>
      <c r="N358" s="110" t="s">
        <v>130</v>
      </c>
      <c r="O358" s="110" t="s">
        <v>1578</v>
      </c>
      <c r="P358" s="110" t="s">
        <v>137</v>
      </c>
      <c r="Q358" s="110" t="s">
        <v>96</v>
      </c>
      <c r="R358" s="121">
        <v>2.7E-2</v>
      </c>
      <c r="S358" s="113" t="e">
        <f t="shared" si="10"/>
        <v>#VALUE!</v>
      </c>
      <c r="T358" s="113">
        <f t="shared" si="11"/>
        <v>0</v>
      </c>
    </row>
    <row r="359" spans="1:20" s="109" customFormat="1" x14ac:dyDescent="0.2">
      <c r="A359" s="116"/>
      <c r="B359" s="111" t="s">
        <v>202</v>
      </c>
      <c r="C359" s="110" t="s">
        <v>1579</v>
      </c>
      <c r="D359" s="110" t="s">
        <v>1580</v>
      </c>
      <c r="E359" s="112" t="s">
        <v>1581</v>
      </c>
      <c r="F359" s="111" t="s">
        <v>130</v>
      </c>
      <c r="G359" s="133">
        <v>560</v>
      </c>
      <c r="H359" s="124"/>
      <c r="I359" s="133" t="str">
        <f>IF(H359&gt;0,(#REF!*H359),"-")</f>
        <v>-</v>
      </c>
      <c r="J359" s="113">
        <v>3791</v>
      </c>
      <c r="K359" s="110" t="s">
        <v>127</v>
      </c>
      <c r="L359" s="110" t="s">
        <v>1437</v>
      </c>
      <c r="M359" s="110" t="s">
        <v>129</v>
      </c>
      <c r="N359" s="110" t="s">
        <v>130</v>
      </c>
      <c r="O359" s="110" t="s">
        <v>1582</v>
      </c>
      <c r="P359" s="110" t="s">
        <v>137</v>
      </c>
      <c r="Q359" s="110" t="s">
        <v>96</v>
      </c>
      <c r="R359" s="121">
        <v>0.46600000000000003</v>
      </c>
      <c r="S359" s="113" t="e">
        <f t="shared" si="10"/>
        <v>#VALUE!</v>
      </c>
      <c r="T359" s="113">
        <f t="shared" si="11"/>
        <v>0</v>
      </c>
    </row>
    <row r="360" spans="1:20" s="109" customFormat="1" x14ac:dyDescent="0.2">
      <c r="A360" s="116"/>
      <c r="B360" s="111"/>
      <c r="C360" s="110" t="s">
        <v>1583</v>
      </c>
      <c r="D360" s="110" t="s">
        <v>1584</v>
      </c>
      <c r="E360" s="112" t="s">
        <v>1585</v>
      </c>
      <c r="F360" s="111" t="s">
        <v>126</v>
      </c>
      <c r="G360" s="133">
        <v>215</v>
      </c>
      <c r="H360" s="124"/>
      <c r="I360" s="133" t="str">
        <f>IF(H360&gt;0,(#REF!*H360),"-")</f>
        <v>-</v>
      </c>
      <c r="J360" s="113">
        <v>1046</v>
      </c>
      <c r="K360" s="110" t="s">
        <v>127</v>
      </c>
      <c r="L360" s="110" t="s">
        <v>1437</v>
      </c>
      <c r="M360" s="110" t="s">
        <v>129</v>
      </c>
      <c r="N360" s="110" t="s">
        <v>130</v>
      </c>
      <c r="O360" s="110" t="s">
        <v>1586</v>
      </c>
      <c r="P360" s="110" t="s">
        <v>137</v>
      </c>
      <c r="Q360" s="110" t="s">
        <v>96</v>
      </c>
      <c r="R360" s="121">
        <v>0.14899999999999999</v>
      </c>
      <c r="S360" s="113" t="e">
        <f t="shared" si="10"/>
        <v>#VALUE!</v>
      </c>
      <c r="T360" s="113">
        <f t="shared" si="11"/>
        <v>0</v>
      </c>
    </row>
    <row r="361" spans="1:20" s="109" customFormat="1" x14ac:dyDescent="0.2">
      <c r="A361" s="116"/>
      <c r="B361" s="111" t="s">
        <v>202</v>
      </c>
      <c r="C361" s="110" t="s">
        <v>1587</v>
      </c>
      <c r="D361" s="110" t="s">
        <v>1588</v>
      </c>
      <c r="E361" s="112" t="s">
        <v>1589</v>
      </c>
      <c r="F361" s="111" t="s">
        <v>130</v>
      </c>
      <c r="G361" s="133">
        <v>215</v>
      </c>
      <c r="H361" s="124"/>
      <c r="I361" s="133" t="str">
        <f>IF(H361&gt;0,(#REF!*H361),"-")</f>
        <v>-</v>
      </c>
      <c r="J361" s="113">
        <v>1046</v>
      </c>
      <c r="K361" s="110" t="s">
        <v>127</v>
      </c>
      <c r="L361" s="110" t="s">
        <v>1437</v>
      </c>
      <c r="M361" s="110" t="s">
        <v>129</v>
      </c>
      <c r="N361" s="110" t="s">
        <v>130</v>
      </c>
      <c r="O361" s="110" t="s">
        <v>1590</v>
      </c>
      <c r="P361" s="110" t="s">
        <v>137</v>
      </c>
      <c r="Q361" s="110" t="s">
        <v>96</v>
      </c>
      <c r="R361" s="121">
        <v>0.18099999999999999</v>
      </c>
      <c r="S361" s="113" t="e">
        <f t="shared" si="10"/>
        <v>#VALUE!</v>
      </c>
      <c r="T361" s="113">
        <f t="shared" si="11"/>
        <v>0</v>
      </c>
    </row>
    <row r="362" spans="1:20" s="109" customFormat="1" x14ac:dyDescent="0.2">
      <c r="A362" s="116"/>
      <c r="B362" s="111" t="s">
        <v>289</v>
      </c>
      <c r="C362" s="110" t="s">
        <v>1591</v>
      </c>
      <c r="D362" s="110" t="s">
        <v>1592</v>
      </c>
      <c r="E362" s="112" t="s">
        <v>1593</v>
      </c>
      <c r="F362" s="111" t="s">
        <v>130</v>
      </c>
      <c r="G362" s="133">
        <v>250</v>
      </c>
      <c r="H362" s="124"/>
      <c r="I362" s="133" t="str">
        <f>IF(H362&gt;0,(#REF!*H362),"-")</f>
        <v>-</v>
      </c>
      <c r="J362" s="113">
        <v>4358</v>
      </c>
      <c r="K362" s="110" t="s">
        <v>127</v>
      </c>
      <c r="L362" s="110" t="s">
        <v>1437</v>
      </c>
      <c r="M362" s="110" t="s">
        <v>129</v>
      </c>
      <c r="N362" s="110" t="s">
        <v>130</v>
      </c>
      <c r="O362" s="110" t="s">
        <v>1594</v>
      </c>
      <c r="P362" s="110" t="s">
        <v>137</v>
      </c>
      <c r="Q362" s="110" t="s">
        <v>96</v>
      </c>
      <c r="R362" s="121">
        <v>0.40300000000000002</v>
      </c>
      <c r="S362" s="113" t="e">
        <f t="shared" si="10"/>
        <v>#VALUE!</v>
      </c>
      <c r="T362" s="113">
        <f t="shared" si="11"/>
        <v>0</v>
      </c>
    </row>
    <row r="363" spans="1:20" s="109" customFormat="1" x14ac:dyDescent="0.2">
      <c r="A363" s="116"/>
      <c r="B363" s="111" t="s">
        <v>207</v>
      </c>
      <c r="C363" s="110" t="s">
        <v>1595</v>
      </c>
      <c r="D363" s="110" t="s">
        <v>1596</v>
      </c>
      <c r="E363" s="112" t="s">
        <v>1597</v>
      </c>
      <c r="F363" s="111" t="s">
        <v>130</v>
      </c>
      <c r="G363" s="133">
        <v>155</v>
      </c>
      <c r="H363" s="124"/>
      <c r="I363" s="133" t="str">
        <f>IF(H363&gt;0,(#REF!*H363),"-")</f>
        <v>-</v>
      </c>
      <c r="J363" s="113">
        <v>756</v>
      </c>
      <c r="K363" s="110" t="s">
        <v>127</v>
      </c>
      <c r="L363" s="110" t="s">
        <v>1437</v>
      </c>
      <c r="M363" s="110" t="s">
        <v>129</v>
      </c>
      <c r="N363" s="110" t="s">
        <v>130</v>
      </c>
      <c r="O363" s="110" t="s">
        <v>1598</v>
      </c>
      <c r="P363" s="110" t="s">
        <v>137</v>
      </c>
      <c r="Q363" s="110" t="s">
        <v>96</v>
      </c>
      <c r="R363" s="121">
        <v>7.8399999999999997E-2</v>
      </c>
      <c r="S363" s="113" t="e">
        <f t="shared" si="10"/>
        <v>#VALUE!</v>
      </c>
      <c r="T363" s="113">
        <f t="shared" si="11"/>
        <v>0</v>
      </c>
    </row>
    <row r="364" spans="1:20" s="109" customFormat="1" x14ac:dyDescent="0.2">
      <c r="A364" s="116"/>
      <c r="B364" s="111"/>
      <c r="C364" s="110" t="s">
        <v>1599</v>
      </c>
      <c r="D364" s="110" t="s">
        <v>1600</v>
      </c>
      <c r="E364" s="112" t="s">
        <v>1601</v>
      </c>
      <c r="F364" s="111" t="s">
        <v>126</v>
      </c>
      <c r="G364" s="133">
        <v>185</v>
      </c>
      <c r="H364" s="124"/>
      <c r="I364" s="133" t="str">
        <f>IF(H364&gt;0,(#REF!*H364),"-")</f>
        <v>-</v>
      </c>
      <c r="J364" s="113">
        <v>1449</v>
      </c>
      <c r="K364" s="110" t="s">
        <v>127</v>
      </c>
      <c r="L364" s="110" t="s">
        <v>1437</v>
      </c>
      <c r="M364" s="110" t="s">
        <v>129</v>
      </c>
      <c r="N364" s="110" t="s">
        <v>130</v>
      </c>
      <c r="O364" s="110" t="s">
        <v>1602</v>
      </c>
      <c r="P364" s="110" t="s">
        <v>137</v>
      </c>
      <c r="Q364" s="110" t="s">
        <v>96</v>
      </c>
      <c r="R364" s="121">
        <v>0.16300000000000001</v>
      </c>
      <c r="S364" s="113" t="e">
        <f t="shared" si="10"/>
        <v>#VALUE!</v>
      </c>
      <c r="T364" s="113">
        <f t="shared" si="11"/>
        <v>0</v>
      </c>
    </row>
    <row r="365" spans="1:20" s="109" customFormat="1" x14ac:dyDescent="0.2">
      <c r="A365" s="116"/>
      <c r="B365" s="111" t="s">
        <v>207</v>
      </c>
      <c r="C365" s="110" t="s">
        <v>1603</v>
      </c>
      <c r="D365" s="110" t="s">
        <v>1604</v>
      </c>
      <c r="E365" s="112" t="s">
        <v>1605</v>
      </c>
      <c r="F365" s="111" t="s">
        <v>130</v>
      </c>
      <c r="G365" s="133">
        <v>185</v>
      </c>
      <c r="H365" s="124"/>
      <c r="I365" s="133" t="str">
        <f>IF(H365&gt;0,(#REF!*H365),"-")</f>
        <v>-</v>
      </c>
      <c r="J365" s="113">
        <v>1587</v>
      </c>
      <c r="K365" s="110" t="s">
        <v>127</v>
      </c>
      <c r="L365" s="110" t="s">
        <v>1437</v>
      </c>
      <c r="M365" s="110" t="s">
        <v>129</v>
      </c>
      <c r="N365" s="110" t="s">
        <v>130</v>
      </c>
      <c r="O365" s="110" t="s">
        <v>1606</v>
      </c>
      <c r="P365" s="110" t="s">
        <v>137</v>
      </c>
      <c r="Q365" s="110" t="s">
        <v>96</v>
      </c>
      <c r="R365" s="121">
        <v>0.24099999999999999</v>
      </c>
      <c r="S365" s="113" t="e">
        <f t="shared" si="10"/>
        <v>#VALUE!</v>
      </c>
      <c r="T365" s="113">
        <f t="shared" si="11"/>
        <v>0</v>
      </c>
    </row>
    <row r="366" spans="1:20" s="109" customFormat="1" x14ac:dyDescent="0.2">
      <c r="A366" s="116"/>
      <c r="B366" s="111" t="s">
        <v>289</v>
      </c>
      <c r="C366" s="110" t="s">
        <v>1607</v>
      </c>
      <c r="D366" s="110" t="s">
        <v>1608</v>
      </c>
      <c r="E366" s="112" t="s">
        <v>1609</v>
      </c>
      <c r="F366" s="111" t="s">
        <v>130</v>
      </c>
      <c r="G366" s="133">
        <v>90</v>
      </c>
      <c r="H366" s="124"/>
      <c r="I366" s="133" t="str">
        <f>IF(H366&gt;0,(#REF!*H366),"-")</f>
        <v>-</v>
      </c>
      <c r="J366" s="113">
        <v>1046</v>
      </c>
      <c r="K366" s="110" t="s">
        <v>127</v>
      </c>
      <c r="L366" s="110" t="s">
        <v>1437</v>
      </c>
      <c r="M366" s="110" t="s">
        <v>129</v>
      </c>
      <c r="N366" s="110" t="s">
        <v>130</v>
      </c>
      <c r="O366" s="110" t="s">
        <v>1610</v>
      </c>
      <c r="P366" s="110" t="s">
        <v>137</v>
      </c>
      <c r="Q366" s="110" t="s">
        <v>96</v>
      </c>
      <c r="R366" s="121">
        <v>0.108</v>
      </c>
      <c r="S366" s="113" t="e">
        <f t="shared" si="10"/>
        <v>#VALUE!</v>
      </c>
      <c r="T366" s="113">
        <f t="shared" si="11"/>
        <v>0</v>
      </c>
    </row>
    <row r="367" spans="1:20" s="109" customFormat="1" x14ac:dyDescent="0.2">
      <c r="A367" s="116"/>
      <c r="B367" s="111"/>
      <c r="C367" s="110" t="s">
        <v>1611</v>
      </c>
      <c r="D367" s="110" t="s">
        <v>1612</v>
      </c>
      <c r="E367" s="112" t="s">
        <v>1613</v>
      </c>
      <c r="F367" s="111" t="s">
        <v>126</v>
      </c>
      <c r="G367" s="133">
        <v>150</v>
      </c>
      <c r="H367" s="124"/>
      <c r="I367" s="133" t="str">
        <f>IF(H367&gt;0,(#REF!*H367),"-")</f>
        <v>-</v>
      </c>
      <c r="J367" s="113">
        <v>1046</v>
      </c>
      <c r="K367" s="110" t="s">
        <v>127</v>
      </c>
      <c r="L367" s="110" t="s">
        <v>1437</v>
      </c>
      <c r="M367" s="110" t="s">
        <v>129</v>
      </c>
      <c r="N367" s="110" t="s">
        <v>130</v>
      </c>
      <c r="O367" s="110" t="s">
        <v>1614</v>
      </c>
      <c r="P367" s="110" t="s">
        <v>137</v>
      </c>
      <c r="Q367" s="110" t="s">
        <v>96</v>
      </c>
      <c r="R367" s="121">
        <v>0.14599999999999999</v>
      </c>
      <c r="S367" s="113" t="e">
        <f t="shared" si="10"/>
        <v>#VALUE!</v>
      </c>
      <c r="T367" s="113">
        <f t="shared" si="11"/>
        <v>0</v>
      </c>
    </row>
    <row r="368" spans="1:20" s="109" customFormat="1" x14ac:dyDescent="0.2">
      <c r="A368" s="116"/>
      <c r="B368" s="111"/>
      <c r="C368" s="110" t="s">
        <v>1615</v>
      </c>
      <c r="D368" s="110" t="s">
        <v>1616</v>
      </c>
      <c r="E368" s="112" t="s">
        <v>1617</v>
      </c>
      <c r="F368" s="111" t="s">
        <v>126</v>
      </c>
      <c r="G368" s="133">
        <v>125</v>
      </c>
      <c r="H368" s="124"/>
      <c r="I368" s="133" t="str">
        <f>IF(H368&gt;0,(#REF!*H368),"-")</f>
        <v>-</v>
      </c>
      <c r="J368" s="113">
        <v>504</v>
      </c>
      <c r="K368" s="110" t="s">
        <v>127</v>
      </c>
      <c r="L368" s="110" t="s">
        <v>1437</v>
      </c>
      <c r="M368" s="110" t="s">
        <v>129</v>
      </c>
      <c r="N368" s="110" t="s">
        <v>130</v>
      </c>
      <c r="O368" s="110" t="s">
        <v>1618</v>
      </c>
      <c r="P368" s="110" t="s">
        <v>137</v>
      </c>
      <c r="Q368" s="110" t="s">
        <v>96</v>
      </c>
      <c r="R368" s="121">
        <v>5.7000000000000002E-2</v>
      </c>
      <c r="S368" s="113" t="e">
        <f t="shared" si="10"/>
        <v>#VALUE!</v>
      </c>
      <c r="T368" s="113">
        <f t="shared" si="11"/>
        <v>0</v>
      </c>
    </row>
    <row r="369" spans="1:20" s="109" customFormat="1" x14ac:dyDescent="0.2">
      <c r="A369" s="116"/>
      <c r="B369" s="111"/>
      <c r="C369" s="110" t="s">
        <v>1619</v>
      </c>
      <c r="D369" s="110" t="s">
        <v>1620</v>
      </c>
      <c r="E369" s="112" t="s">
        <v>1621</v>
      </c>
      <c r="F369" s="111" t="s">
        <v>126</v>
      </c>
      <c r="G369" s="133">
        <v>250</v>
      </c>
      <c r="H369" s="124"/>
      <c r="I369" s="133" t="str">
        <f>IF(H369&gt;0,(#REF!*H369),"-")</f>
        <v>-</v>
      </c>
      <c r="J369" s="113">
        <v>1415</v>
      </c>
      <c r="K369" s="110" t="s">
        <v>127</v>
      </c>
      <c r="L369" s="110" t="s">
        <v>1437</v>
      </c>
      <c r="M369" s="110" t="s">
        <v>129</v>
      </c>
      <c r="N369" s="110" t="s">
        <v>130</v>
      </c>
      <c r="O369" s="110" t="s">
        <v>1622</v>
      </c>
      <c r="P369" s="110" t="s">
        <v>137</v>
      </c>
      <c r="Q369" s="110" t="s">
        <v>96</v>
      </c>
      <c r="R369" s="121">
        <v>0.16250000000000001</v>
      </c>
      <c r="S369" s="113" t="e">
        <f t="shared" si="10"/>
        <v>#VALUE!</v>
      </c>
      <c r="T369" s="113">
        <f t="shared" si="11"/>
        <v>0</v>
      </c>
    </row>
    <row r="370" spans="1:20" s="109" customFormat="1" x14ac:dyDescent="0.2">
      <c r="A370" s="116"/>
      <c r="B370" s="111" t="s">
        <v>207</v>
      </c>
      <c r="C370" s="110" t="s">
        <v>1623</v>
      </c>
      <c r="D370" s="110" t="s">
        <v>1624</v>
      </c>
      <c r="E370" s="112" t="s">
        <v>1625</v>
      </c>
      <c r="F370" s="111" t="s">
        <v>130</v>
      </c>
      <c r="G370" s="133">
        <v>235</v>
      </c>
      <c r="H370" s="124"/>
      <c r="I370" s="133" t="str">
        <f>IF(H370&gt;0,(#REF!*H370),"-")</f>
        <v>-</v>
      </c>
      <c r="J370" s="113">
        <v>1384</v>
      </c>
      <c r="K370" s="110" t="s">
        <v>127</v>
      </c>
      <c r="L370" s="110" t="s">
        <v>1437</v>
      </c>
      <c r="M370" s="110" t="s">
        <v>129</v>
      </c>
      <c r="N370" s="110" t="s">
        <v>130</v>
      </c>
      <c r="O370" s="110" t="s">
        <v>1626</v>
      </c>
      <c r="P370" s="110" t="s">
        <v>137</v>
      </c>
      <c r="Q370" s="110" t="s">
        <v>96</v>
      </c>
      <c r="R370" s="121">
        <v>0.153</v>
      </c>
      <c r="S370" s="113" t="e">
        <f t="shared" si="10"/>
        <v>#VALUE!</v>
      </c>
      <c r="T370" s="113">
        <f t="shared" si="11"/>
        <v>0</v>
      </c>
    </row>
    <row r="371" spans="1:20" s="109" customFormat="1" x14ac:dyDescent="0.2">
      <c r="A371" s="116"/>
      <c r="B371" s="111"/>
      <c r="C371" s="110" t="s">
        <v>1627</v>
      </c>
      <c r="D371" s="110" t="s">
        <v>1628</v>
      </c>
      <c r="E371" s="112" t="s">
        <v>1629</v>
      </c>
      <c r="F371" s="111" t="s">
        <v>126</v>
      </c>
      <c r="G371" s="133">
        <v>200</v>
      </c>
      <c r="H371" s="124"/>
      <c r="I371" s="133" t="str">
        <f>IF(H371&gt;0,(#REF!*H371),"-")</f>
        <v>-</v>
      </c>
      <c r="J371" s="113">
        <v>1522</v>
      </c>
      <c r="K371" s="110" t="s">
        <v>127</v>
      </c>
      <c r="L371" s="110" t="s">
        <v>1437</v>
      </c>
      <c r="M371" s="110" t="s">
        <v>129</v>
      </c>
      <c r="N371" s="110" t="s">
        <v>130</v>
      </c>
      <c r="O371" s="110" t="s">
        <v>1630</v>
      </c>
      <c r="P371" s="110" t="s">
        <v>137</v>
      </c>
      <c r="Q371" s="110" t="s">
        <v>96</v>
      </c>
      <c r="R371" s="121">
        <v>0.19900000000000001</v>
      </c>
      <c r="S371" s="113" t="e">
        <f t="shared" si="10"/>
        <v>#VALUE!</v>
      </c>
      <c r="T371" s="113">
        <f t="shared" si="11"/>
        <v>0</v>
      </c>
    </row>
    <row r="372" spans="1:20" s="109" customFormat="1" x14ac:dyDescent="0.2">
      <c r="A372" s="116"/>
      <c r="B372" s="111"/>
      <c r="C372" s="110" t="s">
        <v>1631</v>
      </c>
      <c r="D372" s="110" t="s">
        <v>1632</v>
      </c>
      <c r="E372" s="112" t="s">
        <v>1633</v>
      </c>
      <c r="F372" s="111" t="s">
        <v>126</v>
      </c>
      <c r="G372" s="133">
        <v>110</v>
      </c>
      <c r="H372" s="124"/>
      <c r="I372" s="133" t="str">
        <f>IF(H372&gt;0,(#REF!*H372),"-")</f>
        <v>-</v>
      </c>
      <c r="J372" s="113">
        <v>398</v>
      </c>
      <c r="K372" s="110" t="s">
        <v>127</v>
      </c>
      <c r="L372" s="110" t="s">
        <v>1437</v>
      </c>
      <c r="M372" s="110" t="s">
        <v>129</v>
      </c>
      <c r="N372" s="110" t="s">
        <v>130</v>
      </c>
      <c r="O372" s="110" t="s">
        <v>1634</v>
      </c>
      <c r="P372" s="110" t="s">
        <v>137</v>
      </c>
      <c r="Q372" s="110" t="s">
        <v>96</v>
      </c>
      <c r="R372" s="121">
        <v>2.4500000000000001E-2</v>
      </c>
      <c r="S372" s="113" t="e">
        <f t="shared" si="10"/>
        <v>#VALUE!</v>
      </c>
      <c r="T372" s="113">
        <f t="shared" si="11"/>
        <v>0</v>
      </c>
    </row>
    <row r="373" spans="1:20" s="109" customFormat="1" x14ac:dyDescent="0.2">
      <c r="A373" s="116"/>
      <c r="B373" s="111"/>
      <c r="C373" s="110" t="s">
        <v>1635</v>
      </c>
      <c r="D373" s="110" t="s">
        <v>1636</v>
      </c>
      <c r="E373" s="112" t="s">
        <v>1637</v>
      </c>
      <c r="F373" s="111" t="s">
        <v>126</v>
      </c>
      <c r="G373" s="133">
        <v>560</v>
      </c>
      <c r="H373" s="124"/>
      <c r="I373" s="133" t="str">
        <f>IF(H373&gt;0,(#REF!*H373),"-")</f>
        <v>-</v>
      </c>
      <c r="J373" s="113">
        <v>6274</v>
      </c>
      <c r="K373" s="110" t="s">
        <v>127</v>
      </c>
      <c r="L373" s="110" t="s">
        <v>1437</v>
      </c>
      <c r="M373" s="110" t="s">
        <v>129</v>
      </c>
      <c r="N373" s="110" t="s">
        <v>130</v>
      </c>
      <c r="O373" s="110" t="s">
        <v>1638</v>
      </c>
      <c r="P373" s="110" t="s">
        <v>137</v>
      </c>
      <c r="Q373" s="110" t="s">
        <v>96</v>
      </c>
      <c r="R373" s="121">
        <v>0.626</v>
      </c>
      <c r="S373" s="113" t="e">
        <f t="shared" si="10"/>
        <v>#VALUE!</v>
      </c>
      <c r="T373" s="113">
        <f t="shared" si="11"/>
        <v>0</v>
      </c>
    </row>
    <row r="374" spans="1:20" s="109" customFormat="1" x14ac:dyDescent="0.2">
      <c r="A374" s="116"/>
      <c r="B374" s="111"/>
      <c r="C374" s="110" t="s">
        <v>1639</v>
      </c>
      <c r="D374" s="110" t="s">
        <v>1640</v>
      </c>
      <c r="E374" s="112" t="s">
        <v>1641</v>
      </c>
      <c r="F374" s="111" t="s">
        <v>126</v>
      </c>
      <c r="G374" s="133">
        <v>110</v>
      </c>
      <c r="H374" s="124"/>
      <c r="I374" s="133" t="str">
        <f>IF(H374&gt;0,(#REF!*H374),"-")</f>
        <v>-</v>
      </c>
      <c r="J374" s="113">
        <v>380</v>
      </c>
      <c r="K374" s="110" t="s">
        <v>127</v>
      </c>
      <c r="L374" s="110" t="s">
        <v>1437</v>
      </c>
      <c r="M374" s="110" t="s">
        <v>129</v>
      </c>
      <c r="N374" s="110" t="s">
        <v>130</v>
      </c>
      <c r="O374" s="110" t="s">
        <v>1642</v>
      </c>
      <c r="P374" s="110" t="s">
        <v>137</v>
      </c>
      <c r="Q374" s="110" t="s">
        <v>96</v>
      </c>
      <c r="R374" s="121">
        <v>2.52E-2</v>
      </c>
      <c r="S374" s="113" t="e">
        <f t="shared" si="10"/>
        <v>#VALUE!</v>
      </c>
      <c r="T374" s="113">
        <f t="shared" si="11"/>
        <v>0</v>
      </c>
    </row>
    <row r="375" spans="1:20" s="109" customFormat="1" x14ac:dyDescent="0.2">
      <c r="A375" s="116"/>
      <c r="B375" s="111"/>
      <c r="C375" s="110" t="s">
        <v>1643</v>
      </c>
      <c r="D375" s="110" t="s">
        <v>1644</v>
      </c>
      <c r="E375" s="112" t="s">
        <v>1645</v>
      </c>
      <c r="F375" s="111" t="s">
        <v>126</v>
      </c>
      <c r="G375" s="133">
        <v>185</v>
      </c>
      <c r="H375" s="124"/>
      <c r="I375" s="133" t="str">
        <f>IF(H375&gt;0,(#REF!*H375),"-")</f>
        <v>-</v>
      </c>
      <c r="J375" s="113">
        <v>3522</v>
      </c>
      <c r="K375" s="110" t="s">
        <v>127</v>
      </c>
      <c r="L375" s="110" t="s">
        <v>1437</v>
      </c>
      <c r="M375" s="110" t="s">
        <v>129</v>
      </c>
      <c r="N375" s="110" t="s">
        <v>130</v>
      </c>
      <c r="O375" s="110" t="s">
        <v>1646</v>
      </c>
      <c r="P375" s="110" t="s">
        <v>137</v>
      </c>
      <c r="Q375" s="110" t="s">
        <v>97</v>
      </c>
      <c r="R375" s="121">
        <v>0.56120000000000003</v>
      </c>
      <c r="S375" s="113" t="e">
        <f t="shared" si="10"/>
        <v>#VALUE!</v>
      </c>
      <c r="T375" s="113">
        <f t="shared" si="11"/>
        <v>0</v>
      </c>
    </row>
    <row r="376" spans="1:20" s="109" customFormat="1" x14ac:dyDescent="0.2">
      <c r="A376" s="116"/>
      <c r="B376" s="111" t="s">
        <v>289</v>
      </c>
      <c r="C376" s="110" t="s">
        <v>1647</v>
      </c>
      <c r="D376" s="110" t="s">
        <v>1648</v>
      </c>
      <c r="E376" s="112" t="s">
        <v>1649</v>
      </c>
      <c r="F376" s="111" t="s">
        <v>130</v>
      </c>
      <c r="G376" s="133">
        <v>120</v>
      </c>
      <c r="H376" s="124"/>
      <c r="I376" s="133" t="str">
        <f>IF(H376&gt;0,(#REF!*H376),"-")</f>
        <v>-</v>
      </c>
      <c r="J376" s="113">
        <v>1590</v>
      </c>
      <c r="K376" s="110" t="s">
        <v>127</v>
      </c>
      <c r="L376" s="110" t="s">
        <v>1437</v>
      </c>
      <c r="M376" s="110" t="s">
        <v>129</v>
      </c>
      <c r="N376" s="110" t="s">
        <v>130</v>
      </c>
      <c r="O376" s="110" t="s">
        <v>1650</v>
      </c>
      <c r="P376" s="110" t="s">
        <v>958</v>
      </c>
      <c r="Q376" s="110" t="s">
        <v>96</v>
      </c>
      <c r="R376" s="121">
        <v>0.249</v>
      </c>
      <c r="S376" s="113" t="e">
        <f t="shared" si="10"/>
        <v>#VALUE!</v>
      </c>
      <c r="T376" s="113">
        <f t="shared" si="11"/>
        <v>0</v>
      </c>
    </row>
    <row r="377" spans="1:20" s="109" customFormat="1" x14ac:dyDescent="0.2">
      <c r="A377" s="116"/>
      <c r="B377" s="111" t="s">
        <v>289</v>
      </c>
      <c r="C377" s="110" t="s">
        <v>1651</v>
      </c>
      <c r="D377" s="110" t="s">
        <v>1652</v>
      </c>
      <c r="E377" s="112" t="s">
        <v>1653</v>
      </c>
      <c r="F377" s="111" t="s">
        <v>130</v>
      </c>
      <c r="G377" s="133">
        <v>120</v>
      </c>
      <c r="H377" s="124"/>
      <c r="I377" s="133" t="str">
        <f>IF(H377&gt;0,(#REF!*H377),"-")</f>
        <v>-</v>
      </c>
      <c r="J377" s="113">
        <v>1590</v>
      </c>
      <c r="K377" s="110" t="s">
        <v>127</v>
      </c>
      <c r="L377" s="110" t="s">
        <v>1437</v>
      </c>
      <c r="M377" s="110" t="s">
        <v>129</v>
      </c>
      <c r="N377" s="110" t="s">
        <v>130</v>
      </c>
      <c r="O377" s="110" t="s">
        <v>1654</v>
      </c>
      <c r="P377" s="110" t="s">
        <v>958</v>
      </c>
      <c r="Q377" s="110" t="s">
        <v>96</v>
      </c>
      <c r="R377" s="121">
        <v>0.249</v>
      </c>
      <c r="S377" s="113" t="e">
        <f t="shared" si="10"/>
        <v>#VALUE!</v>
      </c>
      <c r="T377" s="113">
        <f t="shared" si="11"/>
        <v>0</v>
      </c>
    </row>
    <row r="378" spans="1:20" s="109" customFormat="1" x14ac:dyDescent="0.2">
      <c r="A378" s="116"/>
      <c r="B378" s="111" t="s">
        <v>202</v>
      </c>
      <c r="C378" s="110" t="s">
        <v>1655</v>
      </c>
      <c r="D378" s="110" t="s">
        <v>1656</v>
      </c>
      <c r="E378" s="112" t="s">
        <v>1657</v>
      </c>
      <c r="F378" s="111" t="s">
        <v>130</v>
      </c>
      <c r="G378" s="133">
        <v>370</v>
      </c>
      <c r="H378" s="124"/>
      <c r="I378" s="133" t="str">
        <f>IF(H378&gt;0,(#REF!*H378),"-")</f>
        <v>-</v>
      </c>
      <c r="J378" s="113">
        <v>3621</v>
      </c>
      <c r="K378" s="110" t="s">
        <v>127</v>
      </c>
      <c r="L378" s="110" t="s">
        <v>1437</v>
      </c>
      <c r="M378" s="110" t="s">
        <v>129</v>
      </c>
      <c r="N378" s="110" t="s">
        <v>130</v>
      </c>
      <c r="O378" s="110" t="s">
        <v>1658</v>
      </c>
      <c r="P378" s="110" t="s">
        <v>137</v>
      </c>
      <c r="Q378" s="110" t="s">
        <v>96</v>
      </c>
      <c r="R378" s="121">
        <v>0.46250000000000002</v>
      </c>
      <c r="S378" s="113" t="e">
        <f t="shared" si="10"/>
        <v>#VALUE!</v>
      </c>
      <c r="T378" s="113">
        <f t="shared" si="11"/>
        <v>0</v>
      </c>
    </row>
    <row r="379" spans="1:20" s="109" customFormat="1" x14ac:dyDescent="0.2">
      <c r="A379" s="116"/>
      <c r="B379" s="111" t="s">
        <v>202</v>
      </c>
      <c r="C379" s="110" t="s">
        <v>1659</v>
      </c>
      <c r="D379" s="110" t="s">
        <v>1660</v>
      </c>
      <c r="E379" s="112" t="s">
        <v>1661</v>
      </c>
      <c r="F379" s="111" t="s">
        <v>130</v>
      </c>
      <c r="G379" s="133">
        <v>370</v>
      </c>
      <c r="H379" s="124"/>
      <c r="I379" s="133" t="str">
        <f>IF(H379&gt;0,(#REF!*H379),"-")</f>
        <v>-</v>
      </c>
      <c r="J379" s="113">
        <v>4358</v>
      </c>
      <c r="K379" s="110" t="s">
        <v>127</v>
      </c>
      <c r="L379" s="110" t="s">
        <v>1437</v>
      </c>
      <c r="M379" s="110" t="s">
        <v>129</v>
      </c>
      <c r="N379" s="110" t="s">
        <v>130</v>
      </c>
      <c r="O379" s="110" t="s">
        <v>1662</v>
      </c>
      <c r="P379" s="110" t="s">
        <v>137</v>
      </c>
      <c r="Q379" s="110" t="s">
        <v>96</v>
      </c>
      <c r="R379" s="121">
        <v>0.59599999999999997</v>
      </c>
      <c r="S379" s="113" t="e">
        <f t="shared" si="10"/>
        <v>#VALUE!</v>
      </c>
      <c r="T379" s="113">
        <f t="shared" si="11"/>
        <v>0</v>
      </c>
    </row>
    <row r="380" spans="1:20" s="109" customFormat="1" x14ac:dyDescent="0.2">
      <c r="A380" s="116"/>
      <c r="B380" s="111"/>
      <c r="C380" s="110" t="s">
        <v>1663</v>
      </c>
      <c r="D380" s="110" t="s">
        <v>1664</v>
      </c>
      <c r="E380" s="112" t="s">
        <v>1665</v>
      </c>
      <c r="F380" s="111" t="s">
        <v>126</v>
      </c>
      <c r="G380" s="133">
        <v>620</v>
      </c>
      <c r="H380" s="124"/>
      <c r="I380" s="133" t="str">
        <f>IF(H380&gt;0,(#REF!*H380),"-")</f>
        <v>-</v>
      </c>
      <c r="J380" s="113">
        <v>8579</v>
      </c>
      <c r="K380" s="110" t="s">
        <v>127</v>
      </c>
      <c r="L380" s="110" t="s">
        <v>1437</v>
      </c>
      <c r="M380" s="110" t="s">
        <v>129</v>
      </c>
      <c r="N380" s="110" t="s">
        <v>130</v>
      </c>
      <c r="O380" s="110" t="s">
        <v>1666</v>
      </c>
      <c r="P380" s="110" t="s">
        <v>137</v>
      </c>
      <c r="Q380" s="110" t="s">
        <v>96</v>
      </c>
      <c r="R380" s="121">
        <v>1.1339999999999999</v>
      </c>
      <c r="S380" s="113" t="e">
        <f t="shared" si="10"/>
        <v>#VALUE!</v>
      </c>
      <c r="T380" s="113">
        <f t="shared" si="11"/>
        <v>0</v>
      </c>
    </row>
    <row r="381" spans="1:20" s="109" customFormat="1" x14ac:dyDescent="0.2">
      <c r="A381" s="116"/>
      <c r="B381" s="111"/>
      <c r="C381" s="110" t="s">
        <v>1667</v>
      </c>
      <c r="D381" s="110" t="s">
        <v>1668</v>
      </c>
      <c r="E381" s="112" t="s">
        <v>1669</v>
      </c>
      <c r="F381" s="111" t="s">
        <v>126</v>
      </c>
      <c r="G381" s="133">
        <v>60</v>
      </c>
      <c r="H381" s="124"/>
      <c r="I381" s="133" t="str">
        <f>IF(H381&gt;0,(#REF!*H381),"-")</f>
        <v>-</v>
      </c>
      <c r="J381" s="113">
        <v>231</v>
      </c>
      <c r="K381" s="110" t="s">
        <v>127</v>
      </c>
      <c r="L381" s="110" t="s">
        <v>283</v>
      </c>
      <c r="M381" s="110" t="s">
        <v>129</v>
      </c>
      <c r="N381" s="110" t="s">
        <v>130</v>
      </c>
      <c r="O381" s="110" t="s">
        <v>1670</v>
      </c>
      <c r="P381" s="110" t="s">
        <v>400</v>
      </c>
      <c r="Q381" s="110" t="s">
        <v>97</v>
      </c>
      <c r="R381" s="121">
        <v>0.16300000000000001</v>
      </c>
      <c r="S381" s="113" t="e">
        <f t="shared" si="10"/>
        <v>#VALUE!</v>
      </c>
      <c r="T381" s="113">
        <f t="shared" si="11"/>
        <v>0</v>
      </c>
    </row>
    <row r="382" spans="1:20" s="109" customFormat="1" x14ac:dyDescent="0.2">
      <c r="A382" s="116"/>
      <c r="B382" s="111" t="s">
        <v>202</v>
      </c>
      <c r="C382" s="110" t="s">
        <v>1671</v>
      </c>
      <c r="D382" s="110" t="s">
        <v>1672</v>
      </c>
      <c r="E382" s="112" t="s">
        <v>1673</v>
      </c>
      <c r="F382" s="111" t="s">
        <v>130</v>
      </c>
      <c r="G382" s="133">
        <v>155</v>
      </c>
      <c r="H382" s="124"/>
      <c r="I382" s="133" t="str">
        <f>IF(H382&gt;0,(#REF!*H382),"-")</f>
        <v>-</v>
      </c>
      <c r="J382" s="113">
        <v>1384</v>
      </c>
      <c r="K382" s="110" t="s">
        <v>127</v>
      </c>
      <c r="L382" s="110" t="s">
        <v>283</v>
      </c>
      <c r="M382" s="110" t="s">
        <v>129</v>
      </c>
      <c r="N382" s="110" t="s">
        <v>130</v>
      </c>
      <c r="O382" s="110" t="s">
        <v>1674</v>
      </c>
      <c r="P382" s="110" t="s">
        <v>137</v>
      </c>
      <c r="Q382" s="110" t="s">
        <v>96</v>
      </c>
      <c r="R382" s="121">
        <v>0.17910000000000001</v>
      </c>
      <c r="S382" s="113" t="e">
        <f t="shared" si="10"/>
        <v>#VALUE!</v>
      </c>
      <c r="T382" s="113">
        <f t="shared" si="11"/>
        <v>0</v>
      </c>
    </row>
    <row r="383" spans="1:20" s="109" customFormat="1" x14ac:dyDescent="0.2">
      <c r="A383" s="116"/>
      <c r="B383" s="111" t="s">
        <v>202</v>
      </c>
      <c r="C383" s="110" t="s">
        <v>1675</v>
      </c>
      <c r="D383" s="110" t="s">
        <v>1676</v>
      </c>
      <c r="E383" s="112" t="s">
        <v>1677</v>
      </c>
      <c r="F383" s="111" t="s">
        <v>130</v>
      </c>
      <c r="G383" s="133">
        <v>236</v>
      </c>
      <c r="H383" s="124"/>
      <c r="I383" s="133" t="str">
        <f>IF(H383&gt;0,(#REF!*H383),"-")</f>
        <v>-</v>
      </c>
      <c r="J383" s="113">
        <v>1522</v>
      </c>
      <c r="K383" s="110" t="s">
        <v>127</v>
      </c>
      <c r="L383" s="110" t="s">
        <v>283</v>
      </c>
      <c r="M383" s="110" t="s">
        <v>129</v>
      </c>
      <c r="N383" s="110" t="s">
        <v>130</v>
      </c>
      <c r="O383" s="110" t="s">
        <v>1678</v>
      </c>
      <c r="P383" s="110" t="s">
        <v>137</v>
      </c>
      <c r="Q383" s="110" t="s">
        <v>96</v>
      </c>
      <c r="R383" s="121">
        <v>0.19</v>
      </c>
      <c r="S383" s="113" t="e">
        <f t="shared" si="10"/>
        <v>#VALUE!</v>
      </c>
      <c r="T383" s="113">
        <f t="shared" si="11"/>
        <v>0</v>
      </c>
    </row>
    <row r="384" spans="1:20" s="109" customFormat="1" x14ac:dyDescent="0.2">
      <c r="A384" s="116"/>
      <c r="B384" s="111" t="s">
        <v>202</v>
      </c>
      <c r="C384" s="110" t="s">
        <v>1679</v>
      </c>
      <c r="D384" s="110" t="s">
        <v>1680</v>
      </c>
      <c r="E384" s="112" t="s">
        <v>1681</v>
      </c>
      <c r="F384" s="111" t="s">
        <v>130</v>
      </c>
      <c r="G384" s="133">
        <v>110</v>
      </c>
      <c r="H384" s="124"/>
      <c r="I384" s="133" t="str">
        <f>IF(H384&gt;0,(#REF!*H384),"-")</f>
        <v>-</v>
      </c>
      <c r="J384" s="113">
        <v>1522</v>
      </c>
      <c r="K384" s="110" t="s">
        <v>127</v>
      </c>
      <c r="L384" s="110" t="s">
        <v>283</v>
      </c>
      <c r="M384" s="110" t="s">
        <v>129</v>
      </c>
      <c r="N384" s="110" t="s">
        <v>130</v>
      </c>
      <c r="O384" s="110" t="s">
        <v>1682</v>
      </c>
      <c r="P384" s="110" t="s">
        <v>137</v>
      </c>
      <c r="Q384" s="110" t="s">
        <v>96</v>
      </c>
      <c r="R384" s="121">
        <v>0.161</v>
      </c>
      <c r="S384" s="113" t="e">
        <f t="shared" si="10"/>
        <v>#VALUE!</v>
      </c>
      <c r="T384" s="113">
        <f t="shared" si="11"/>
        <v>0</v>
      </c>
    </row>
    <row r="385" spans="1:20" s="109" customFormat="1" x14ac:dyDescent="0.2">
      <c r="A385" s="116"/>
      <c r="B385" s="111"/>
      <c r="C385" s="110" t="s">
        <v>1683</v>
      </c>
      <c r="D385" s="110" t="s">
        <v>1684</v>
      </c>
      <c r="E385" s="112" t="s">
        <v>1685</v>
      </c>
      <c r="F385" s="111" t="s">
        <v>126</v>
      </c>
      <c r="G385" s="133">
        <v>155</v>
      </c>
      <c r="H385" s="124"/>
      <c r="I385" s="133" t="str">
        <f>IF(H385&gt;0,(#REF!*H385),"-")</f>
        <v>-</v>
      </c>
      <c r="J385" s="113">
        <v>3656</v>
      </c>
      <c r="K385" s="110" t="s">
        <v>127</v>
      </c>
      <c r="L385" s="110" t="s">
        <v>283</v>
      </c>
      <c r="M385" s="110" t="s">
        <v>129</v>
      </c>
      <c r="N385" s="110" t="s">
        <v>130</v>
      </c>
      <c r="O385" s="110" t="s">
        <v>1686</v>
      </c>
      <c r="P385" s="110" t="s">
        <v>137</v>
      </c>
      <c r="Q385" s="110" t="s">
        <v>97</v>
      </c>
      <c r="R385" s="121">
        <v>0.55100000000000005</v>
      </c>
      <c r="S385" s="113" t="e">
        <f t="shared" si="10"/>
        <v>#VALUE!</v>
      </c>
      <c r="T385" s="113">
        <f t="shared" si="11"/>
        <v>0</v>
      </c>
    </row>
    <row r="386" spans="1:20" s="109" customFormat="1" x14ac:dyDescent="0.2">
      <c r="A386" s="116"/>
      <c r="B386" s="111" t="s">
        <v>207</v>
      </c>
      <c r="C386" s="110" t="s">
        <v>1687</v>
      </c>
      <c r="D386" s="110" t="s">
        <v>1688</v>
      </c>
      <c r="E386" s="112" t="s">
        <v>1689</v>
      </c>
      <c r="F386" s="111" t="s">
        <v>130</v>
      </c>
      <c r="G386" s="133">
        <v>155</v>
      </c>
      <c r="H386" s="124"/>
      <c r="I386" s="133" t="str">
        <f>IF(H386&gt;0,(#REF!*H386),"-")</f>
        <v>-</v>
      </c>
      <c r="J386" s="113">
        <v>820</v>
      </c>
      <c r="K386" s="110" t="s">
        <v>127</v>
      </c>
      <c r="L386" s="110" t="s">
        <v>427</v>
      </c>
      <c r="M386" s="110" t="s">
        <v>129</v>
      </c>
      <c r="N386" s="110" t="s">
        <v>130</v>
      </c>
      <c r="O386" s="110" t="s">
        <v>1690</v>
      </c>
      <c r="P386" s="110" t="s">
        <v>132</v>
      </c>
      <c r="Q386" s="110" t="s">
        <v>97</v>
      </c>
      <c r="R386" s="121">
        <v>0.69099999999999995</v>
      </c>
      <c r="S386" s="113" t="e">
        <f t="shared" ref="S386:S449" si="12">Q386*H386</f>
        <v>#VALUE!</v>
      </c>
      <c r="T386" s="113">
        <f t="shared" ref="T386:T449" si="13">R386*H386</f>
        <v>0</v>
      </c>
    </row>
    <row r="387" spans="1:20" s="109" customFormat="1" x14ac:dyDescent="0.2">
      <c r="A387" s="116"/>
      <c r="B387" s="111"/>
      <c r="C387" s="110" t="s">
        <v>1691</v>
      </c>
      <c r="D387" s="110" t="s">
        <v>1692</v>
      </c>
      <c r="E387" s="112" t="s">
        <v>1693</v>
      </c>
      <c r="F387" s="111" t="s">
        <v>126</v>
      </c>
      <c r="G387" s="133">
        <v>60</v>
      </c>
      <c r="H387" s="124"/>
      <c r="I387" s="133" t="str">
        <f>IF(H387&gt;0,(#REF!*H387),"-")</f>
        <v>-</v>
      </c>
      <c r="J387" s="113">
        <v>282</v>
      </c>
      <c r="K387" s="110" t="s">
        <v>127</v>
      </c>
      <c r="L387" s="110" t="s">
        <v>427</v>
      </c>
      <c r="M387" s="110" t="s">
        <v>129</v>
      </c>
      <c r="N387" s="110" t="s">
        <v>130</v>
      </c>
      <c r="O387" s="110" t="s">
        <v>1694</v>
      </c>
      <c r="P387" s="110" t="s">
        <v>400</v>
      </c>
      <c r="Q387" s="110" t="s">
        <v>97</v>
      </c>
      <c r="R387" s="121">
        <v>0.17299999999999999</v>
      </c>
      <c r="S387" s="113" t="e">
        <f t="shared" si="12"/>
        <v>#VALUE!</v>
      </c>
      <c r="T387" s="113">
        <f t="shared" si="13"/>
        <v>0</v>
      </c>
    </row>
    <row r="388" spans="1:20" s="109" customFormat="1" x14ac:dyDescent="0.2">
      <c r="A388" s="116"/>
      <c r="B388" s="111" t="s">
        <v>202</v>
      </c>
      <c r="C388" s="110" t="s">
        <v>1695</v>
      </c>
      <c r="D388" s="110" t="s">
        <v>1696</v>
      </c>
      <c r="E388" s="112" t="s">
        <v>1697</v>
      </c>
      <c r="F388" s="111" t="s">
        <v>130</v>
      </c>
      <c r="G388" s="133">
        <v>90</v>
      </c>
      <c r="H388" s="124"/>
      <c r="I388" s="133" t="str">
        <f>IF(H388&gt;0,(#REF!*H388),"-")</f>
        <v>-</v>
      </c>
      <c r="J388" s="113">
        <v>398</v>
      </c>
      <c r="K388" s="110" t="s">
        <v>127</v>
      </c>
      <c r="L388" s="110" t="s">
        <v>427</v>
      </c>
      <c r="M388" s="110" t="s">
        <v>129</v>
      </c>
      <c r="N388" s="110" t="s">
        <v>130</v>
      </c>
      <c r="O388" s="110" t="s">
        <v>1698</v>
      </c>
      <c r="P388" s="110" t="s">
        <v>137</v>
      </c>
      <c r="Q388" s="110" t="s">
        <v>96</v>
      </c>
      <c r="R388" s="121">
        <v>2.2200000000000001E-2</v>
      </c>
      <c r="S388" s="113" t="e">
        <f t="shared" si="12"/>
        <v>#VALUE!</v>
      </c>
      <c r="T388" s="113">
        <f t="shared" si="13"/>
        <v>0</v>
      </c>
    </row>
    <row r="389" spans="1:20" s="109" customFormat="1" x14ac:dyDescent="0.2">
      <c r="A389" s="116"/>
      <c r="B389" s="111" t="s">
        <v>202</v>
      </c>
      <c r="C389" s="110" t="s">
        <v>1699</v>
      </c>
      <c r="D389" s="110" t="s">
        <v>1700</v>
      </c>
      <c r="E389" s="112" t="s">
        <v>1701</v>
      </c>
      <c r="F389" s="111" t="s">
        <v>130</v>
      </c>
      <c r="G389" s="133">
        <v>185</v>
      </c>
      <c r="H389" s="124"/>
      <c r="I389" s="133" t="str">
        <f>IF(H389&gt;0,(#REF!*H389),"-")</f>
        <v>-</v>
      </c>
      <c r="J389" s="113">
        <v>1046</v>
      </c>
      <c r="K389" s="110" t="s">
        <v>127</v>
      </c>
      <c r="L389" s="110" t="s">
        <v>427</v>
      </c>
      <c r="M389" s="110" t="s">
        <v>129</v>
      </c>
      <c r="N389" s="110" t="s">
        <v>130</v>
      </c>
      <c r="O389" s="110" t="s">
        <v>1702</v>
      </c>
      <c r="P389" s="110" t="s">
        <v>137</v>
      </c>
      <c r="Q389" s="110" t="s">
        <v>96</v>
      </c>
      <c r="R389" s="121">
        <v>0.13100000000000001</v>
      </c>
      <c r="S389" s="113" t="e">
        <f t="shared" si="12"/>
        <v>#VALUE!</v>
      </c>
      <c r="T389" s="113">
        <f t="shared" si="13"/>
        <v>0</v>
      </c>
    </row>
    <row r="390" spans="1:20" s="109" customFormat="1" x14ac:dyDescent="0.2">
      <c r="A390" s="116"/>
      <c r="B390" s="111" t="s">
        <v>202</v>
      </c>
      <c r="C390" s="110" t="s">
        <v>1703</v>
      </c>
      <c r="D390" s="110" t="s">
        <v>1704</v>
      </c>
      <c r="E390" s="112" t="s">
        <v>1705</v>
      </c>
      <c r="F390" s="111" t="s">
        <v>130</v>
      </c>
      <c r="G390" s="133">
        <v>140</v>
      </c>
      <c r="H390" s="124"/>
      <c r="I390" s="133" t="str">
        <f>IF(H390&gt;0,(#REF!*H390),"-")</f>
        <v>-</v>
      </c>
      <c r="J390" s="113">
        <v>1522</v>
      </c>
      <c r="K390" s="110" t="s">
        <v>127</v>
      </c>
      <c r="L390" s="110" t="s">
        <v>427</v>
      </c>
      <c r="M390" s="110" t="s">
        <v>129</v>
      </c>
      <c r="N390" s="110" t="s">
        <v>130</v>
      </c>
      <c r="O390" s="110" t="s">
        <v>1706</v>
      </c>
      <c r="P390" s="110" t="s">
        <v>137</v>
      </c>
      <c r="Q390" s="110" t="s">
        <v>96</v>
      </c>
      <c r="R390" s="121">
        <v>0.17399999999999999</v>
      </c>
      <c r="S390" s="113" t="e">
        <f t="shared" si="12"/>
        <v>#VALUE!</v>
      </c>
      <c r="T390" s="113">
        <f t="shared" si="13"/>
        <v>0</v>
      </c>
    </row>
    <row r="391" spans="1:20" s="109" customFormat="1" x14ac:dyDescent="0.2">
      <c r="A391" s="116"/>
      <c r="B391" s="111"/>
      <c r="C391" s="110" t="s">
        <v>1707</v>
      </c>
      <c r="D391" s="110" t="s">
        <v>1708</v>
      </c>
      <c r="E391" s="112" t="s">
        <v>1709</v>
      </c>
      <c r="F391" s="111" t="s">
        <v>126</v>
      </c>
      <c r="G391" s="133">
        <v>200</v>
      </c>
      <c r="H391" s="124"/>
      <c r="I391" s="133" t="str">
        <f>IF(H391&gt;0,(#REF!*H391),"-")</f>
        <v>-</v>
      </c>
      <c r="J391" s="113">
        <v>1522</v>
      </c>
      <c r="K391" s="110" t="s">
        <v>127</v>
      </c>
      <c r="L391" s="110" t="s">
        <v>427</v>
      </c>
      <c r="M391" s="110" t="s">
        <v>129</v>
      </c>
      <c r="N391" s="110" t="s">
        <v>130</v>
      </c>
      <c r="O391" s="110" t="s">
        <v>1710</v>
      </c>
      <c r="P391" s="110" t="s">
        <v>137</v>
      </c>
      <c r="Q391" s="110" t="s">
        <v>96</v>
      </c>
      <c r="R391" s="121">
        <v>0.19700000000000001</v>
      </c>
      <c r="S391" s="113" t="e">
        <f t="shared" si="12"/>
        <v>#VALUE!</v>
      </c>
      <c r="T391" s="113">
        <f t="shared" si="13"/>
        <v>0</v>
      </c>
    </row>
    <row r="392" spans="1:20" s="109" customFormat="1" x14ac:dyDescent="0.2">
      <c r="A392" s="116"/>
      <c r="B392" s="111" t="s">
        <v>202</v>
      </c>
      <c r="C392" s="110" t="s">
        <v>1711</v>
      </c>
      <c r="D392" s="110" t="s">
        <v>1712</v>
      </c>
      <c r="E392" s="112" t="s">
        <v>1713</v>
      </c>
      <c r="F392" s="111" t="s">
        <v>130</v>
      </c>
      <c r="G392" s="133">
        <v>280</v>
      </c>
      <c r="H392" s="124"/>
      <c r="I392" s="133" t="str">
        <f>IF(H392&gt;0,(#REF!*H392),"-")</f>
        <v>-</v>
      </c>
      <c r="J392" s="113">
        <v>4050</v>
      </c>
      <c r="K392" s="110" t="s">
        <v>127</v>
      </c>
      <c r="L392" s="110" t="s">
        <v>427</v>
      </c>
      <c r="M392" s="110" t="s">
        <v>129</v>
      </c>
      <c r="N392" s="110" t="s">
        <v>130</v>
      </c>
      <c r="O392" s="110" t="s">
        <v>1714</v>
      </c>
      <c r="P392" s="110" t="s">
        <v>137</v>
      </c>
      <c r="Q392" s="110" t="s">
        <v>96</v>
      </c>
      <c r="R392" s="121">
        <v>0.38</v>
      </c>
      <c r="S392" s="113" t="e">
        <f t="shared" si="12"/>
        <v>#VALUE!</v>
      </c>
      <c r="T392" s="113">
        <f t="shared" si="13"/>
        <v>0</v>
      </c>
    </row>
    <row r="393" spans="1:20" s="109" customFormat="1" x14ac:dyDescent="0.2">
      <c r="A393" s="116"/>
      <c r="B393" s="111" t="s">
        <v>207</v>
      </c>
      <c r="C393" s="110" t="s">
        <v>1715</v>
      </c>
      <c r="D393" s="110" t="s">
        <v>1716</v>
      </c>
      <c r="E393" s="112" t="s">
        <v>1717</v>
      </c>
      <c r="F393" s="111" t="s">
        <v>130</v>
      </c>
      <c r="G393" s="133">
        <v>140</v>
      </c>
      <c r="H393" s="124"/>
      <c r="I393" s="133" t="str">
        <f>IF(H393&gt;0,(#REF!*H393),"-")</f>
        <v>-</v>
      </c>
      <c r="J393" s="113">
        <v>1046</v>
      </c>
      <c r="K393" s="110" t="s">
        <v>127</v>
      </c>
      <c r="L393" s="110" t="s">
        <v>427</v>
      </c>
      <c r="M393" s="110" t="s">
        <v>129</v>
      </c>
      <c r="N393" s="110" t="s">
        <v>130</v>
      </c>
      <c r="O393" s="110" t="s">
        <v>1718</v>
      </c>
      <c r="P393" s="110" t="s">
        <v>137</v>
      </c>
      <c r="Q393" s="110" t="s">
        <v>96</v>
      </c>
      <c r="R393" s="121">
        <v>0.11</v>
      </c>
      <c r="S393" s="113" t="e">
        <f t="shared" si="12"/>
        <v>#VALUE!</v>
      </c>
      <c r="T393" s="113">
        <f t="shared" si="13"/>
        <v>0</v>
      </c>
    </row>
    <row r="394" spans="1:20" s="109" customFormat="1" x14ac:dyDescent="0.2">
      <c r="A394" s="116"/>
      <c r="B394" s="111"/>
      <c r="C394" s="110" t="s">
        <v>1719</v>
      </c>
      <c r="D394" s="110" t="s">
        <v>1720</v>
      </c>
      <c r="E394" s="112" t="s">
        <v>1721</v>
      </c>
      <c r="F394" s="111" t="s">
        <v>126</v>
      </c>
      <c r="G394" s="133">
        <v>200</v>
      </c>
      <c r="H394" s="124"/>
      <c r="I394" s="133" t="str">
        <f>IF(H394&gt;0,(#REF!*H394),"-")</f>
        <v>-</v>
      </c>
      <c r="J394" s="113">
        <v>1046</v>
      </c>
      <c r="K394" s="110" t="s">
        <v>127</v>
      </c>
      <c r="L394" s="110" t="s">
        <v>427</v>
      </c>
      <c r="M394" s="110" t="s">
        <v>129</v>
      </c>
      <c r="N394" s="110" t="s">
        <v>130</v>
      </c>
      <c r="O394" s="110" t="s">
        <v>1722</v>
      </c>
      <c r="P394" s="110" t="s">
        <v>137</v>
      </c>
      <c r="Q394" s="110" t="s">
        <v>96</v>
      </c>
      <c r="R394" s="121">
        <v>0.12839999999999999</v>
      </c>
      <c r="S394" s="113" t="e">
        <f t="shared" si="12"/>
        <v>#VALUE!</v>
      </c>
      <c r="T394" s="113">
        <f t="shared" si="13"/>
        <v>0</v>
      </c>
    </row>
    <row r="395" spans="1:20" s="109" customFormat="1" x14ac:dyDescent="0.2">
      <c r="A395" s="116"/>
      <c r="B395" s="111"/>
      <c r="C395" s="110" t="s">
        <v>1723</v>
      </c>
      <c r="D395" s="110" t="s">
        <v>1724</v>
      </c>
      <c r="E395" s="112" t="s">
        <v>1725</v>
      </c>
      <c r="F395" s="111" t="s">
        <v>126</v>
      </c>
      <c r="G395" s="133">
        <v>125</v>
      </c>
      <c r="H395" s="124"/>
      <c r="I395" s="133" t="str">
        <f>IF(H395&gt;0,(#REF!*H395),"-")</f>
        <v>-</v>
      </c>
      <c r="J395" s="113">
        <v>1046</v>
      </c>
      <c r="K395" s="110" t="s">
        <v>127</v>
      </c>
      <c r="L395" s="110" t="s">
        <v>427</v>
      </c>
      <c r="M395" s="110" t="s">
        <v>129</v>
      </c>
      <c r="N395" s="110" t="s">
        <v>130</v>
      </c>
      <c r="O395" s="110" t="s">
        <v>1726</v>
      </c>
      <c r="P395" s="110" t="s">
        <v>137</v>
      </c>
      <c r="Q395" s="110" t="s">
        <v>96</v>
      </c>
      <c r="R395" s="121">
        <v>0.11700000000000001</v>
      </c>
      <c r="S395" s="113" t="e">
        <f t="shared" si="12"/>
        <v>#VALUE!</v>
      </c>
      <c r="T395" s="113">
        <f t="shared" si="13"/>
        <v>0</v>
      </c>
    </row>
    <row r="396" spans="1:20" s="109" customFormat="1" x14ac:dyDescent="0.2">
      <c r="A396" s="116"/>
      <c r="B396" s="111" t="s">
        <v>207</v>
      </c>
      <c r="C396" s="110" t="s">
        <v>1727</v>
      </c>
      <c r="D396" s="110" t="s">
        <v>1728</v>
      </c>
      <c r="E396" s="112" t="s">
        <v>1729</v>
      </c>
      <c r="F396" s="111" t="s">
        <v>130</v>
      </c>
      <c r="G396" s="133">
        <v>124</v>
      </c>
      <c r="H396" s="124"/>
      <c r="I396" s="133" t="str">
        <f>IF(H396&gt;0,(#REF!*H396),"-")</f>
        <v>-</v>
      </c>
      <c r="J396" s="113">
        <v>540</v>
      </c>
      <c r="K396" s="110" t="s">
        <v>127</v>
      </c>
      <c r="L396" s="110" t="s">
        <v>427</v>
      </c>
      <c r="M396" s="110" t="s">
        <v>129</v>
      </c>
      <c r="N396" s="110" t="s">
        <v>130</v>
      </c>
      <c r="O396" s="110" t="s">
        <v>1730</v>
      </c>
      <c r="P396" s="110" t="s">
        <v>137</v>
      </c>
      <c r="Q396" s="110" t="s">
        <v>96</v>
      </c>
      <c r="R396" s="121">
        <v>3.61E-2</v>
      </c>
      <c r="S396" s="113" t="e">
        <f t="shared" si="12"/>
        <v>#VALUE!</v>
      </c>
      <c r="T396" s="113">
        <f t="shared" si="13"/>
        <v>0</v>
      </c>
    </row>
    <row r="397" spans="1:20" s="109" customFormat="1" x14ac:dyDescent="0.2">
      <c r="A397" s="116"/>
      <c r="B397" s="111" t="s">
        <v>207</v>
      </c>
      <c r="C397" s="110" t="s">
        <v>1731</v>
      </c>
      <c r="D397" s="110" t="s">
        <v>1732</v>
      </c>
      <c r="E397" s="112" t="s">
        <v>1733</v>
      </c>
      <c r="F397" s="111" t="s">
        <v>130</v>
      </c>
      <c r="G397" s="133">
        <v>185</v>
      </c>
      <c r="H397" s="124"/>
      <c r="I397" s="133" t="str">
        <f>IF(H397&gt;0,(#REF!*H397),"-")</f>
        <v>-</v>
      </c>
      <c r="J397" s="113">
        <v>4050</v>
      </c>
      <c r="K397" s="110" t="s">
        <v>127</v>
      </c>
      <c r="L397" s="110" t="s">
        <v>427</v>
      </c>
      <c r="M397" s="110" t="s">
        <v>129</v>
      </c>
      <c r="N397" s="110" t="s">
        <v>130</v>
      </c>
      <c r="O397" s="110" t="s">
        <v>1734</v>
      </c>
      <c r="P397" s="110" t="s">
        <v>137</v>
      </c>
      <c r="Q397" s="110" t="s">
        <v>96</v>
      </c>
      <c r="R397" s="121">
        <v>0.38200000000000001</v>
      </c>
      <c r="S397" s="113" t="e">
        <f t="shared" si="12"/>
        <v>#VALUE!</v>
      </c>
      <c r="T397" s="113">
        <f t="shared" si="13"/>
        <v>0</v>
      </c>
    </row>
    <row r="398" spans="1:20" s="109" customFormat="1" x14ac:dyDescent="0.2">
      <c r="A398" s="116"/>
      <c r="B398" s="111" t="s">
        <v>207</v>
      </c>
      <c r="C398" s="110" t="s">
        <v>1735</v>
      </c>
      <c r="D398" s="110" t="s">
        <v>1736</v>
      </c>
      <c r="E398" s="112" t="s">
        <v>1737</v>
      </c>
      <c r="F398" s="111" t="s">
        <v>130</v>
      </c>
      <c r="G398" s="133">
        <v>525</v>
      </c>
      <c r="H398" s="124"/>
      <c r="I398" s="133" t="str">
        <f>IF(H398&gt;0,(#REF!*H398),"-")</f>
        <v>-</v>
      </c>
      <c r="J398" s="113">
        <v>4050</v>
      </c>
      <c r="K398" s="110" t="s">
        <v>127</v>
      </c>
      <c r="L398" s="110" t="s">
        <v>427</v>
      </c>
      <c r="M398" s="110" t="s">
        <v>129</v>
      </c>
      <c r="N398" s="110" t="s">
        <v>130</v>
      </c>
      <c r="O398" s="110" t="s">
        <v>1738</v>
      </c>
      <c r="P398" s="110" t="s">
        <v>137</v>
      </c>
      <c r="Q398" s="110" t="s">
        <v>96</v>
      </c>
      <c r="R398" s="121">
        <v>0.45700000000000002</v>
      </c>
      <c r="S398" s="113" t="e">
        <f t="shared" si="12"/>
        <v>#VALUE!</v>
      </c>
      <c r="T398" s="113">
        <f t="shared" si="13"/>
        <v>0</v>
      </c>
    </row>
    <row r="399" spans="1:20" s="109" customFormat="1" x14ac:dyDescent="0.2">
      <c r="A399" s="116"/>
      <c r="B399" s="111"/>
      <c r="C399" s="110" t="s">
        <v>1739</v>
      </c>
      <c r="D399" s="110" t="s">
        <v>1740</v>
      </c>
      <c r="E399" s="112" t="s">
        <v>1741</v>
      </c>
      <c r="F399" s="111" t="s">
        <v>126</v>
      </c>
      <c r="G399" s="133">
        <v>280</v>
      </c>
      <c r="H399" s="124"/>
      <c r="I399" s="133" t="str">
        <f>IF(H399&gt;0,(#REF!*H399),"-")</f>
        <v>-</v>
      </c>
      <c r="J399" s="113">
        <v>4050</v>
      </c>
      <c r="K399" s="110" t="s">
        <v>127</v>
      </c>
      <c r="L399" s="110" t="s">
        <v>427</v>
      </c>
      <c r="M399" s="110" t="s">
        <v>129</v>
      </c>
      <c r="N399" s="110" t="s">
        <v>130</v>
      </c>
      <c r="O399" s="110" t="s">
        <v>1742</v>
      </c>
      <c r="P399" s="110" t="s">
        <v>137</v>
      </c>
      <c r="Q399" s="110" t="s">
        <v>96</v>
      </c>
      <c r="R399" s="121">
        <v>0.34</v>
      </c>
      <c r="S399" s="113" t="e">
        <f t="shared" si="12"/>
        <v>#VALUE!</v>
      </c>
      <c r="T399" s="113">
        <f t="shared" si="13"/>
        <v>0</v>
      </c>
    </row>
    <row r="400" spans="1:20" s="109" customFormat="1" x14ac:dyDescent="0.2">
      <c r="A400" s="116"/>
      <c r="B400" s="111"/>
      <c r="C400" s="110" t="s">
        <v>1743</v>
      </c>
      <c r="D400" s="110" t="s">
        <v>1744</v>
      </c>
      <c r="E400" s="112" t="s">
        <v>1745</v>
      </c>
      <c r="F400" s="111" t="s">
        <v>126</v>
      </c>
      <c r="G400" s="133">
        <v>155</v>
      </c>
      <c r="H400" s="124"/>
      <c r="I400" s="133" t="str">
        <f>IF(H400&gt;0,(#REF!*H400),"-")</f>
        <v>-</v>
      </c>
      <c r="J400" s="113">
        <v>521</v>
      </c>
      <c r="K400" s="110" t="s">
        <v>127</v>
      </c>
      <c r="L400" s="110" t="s">
        <v>427</v>
      </c>
      <c r="M400" s="110" t="s">
        <v>129</v>
      </c>
      <c r="N400" s="110" t="s">
        <v>130</v>
      </c>
      <c r="O400" s="110" t="s">
        <v>1746</v>
      </c>
      <c r="P400" s="110" t="s">
        <v>1747</v>
      </c>
      <c r="Q400" s="110" t="s">
        <v>96</v>
      </c>
      <c r="R400" s="121">
        <v>8.2000000000000003E-2</v>
      </c>
      <c r="S400" s="113" t="e">
        <f t="shared" si="12"/>
        <v>#VALUE!</v>
      </c>
      <c r="T400" s="113">
        <f t="shared" si="13"/>
        <v>0</v>
      </c>
    </row>
    <row r="401" spans="1:20" s="109" customFormat="1" x14ac:dyDescent="0.2">
      <c r="A401" s="116"/>
      <c r="B401" s="111"/>
      <c r="C401" s="110" t="s">
        <v>1748</v>
      </c>
      <c r="D401" s="110" t="s">
        <v>1749</v>
      </c>
      <c r="E401" s="112" t="s">
        <v>1750</v>
      </c>
      <c r="F401" s="111" t="s">
        <v>126</v>
      </c>
      <c r="G401" s="133">
        <v>110</v>
      </c>
      <c r="H401" s="124"/>
      <c r="I401" s="133" t="str">
        <f>IF(H401&gt;0,(#REF!*H401),"-")</f>
        <v>-</v>
      </c>
      <c r="J401" s="113">
        <v>540</v>
      </c>
      <c r="K401" s="110" t="s">
        <v>127</v>
      </c>
      <c r="L401" s="110" t="s">
        <v>427</v>
      </c>
      <c r="M401" s="110" t="s">
        <v>129</v>
      </c>
      <c r="N401" s="110" t="s">
        <v>130</v>
      </c>
      <c r="O401" s="110" t="s">
        <v>1751</v>
      </c>
      <c r="P401" s="110" t="s">
        <v>137</v>
      </c>
      <c r="Q401" s="110" t="s">
        <v>96</v>
      </c>
      <c r="R401" s="121">
        <v>3.1E-2</v>
      </c>
      <c r="S401" s="113" t="e">
        <f t="shared" si="12"/>
        <v>#VALUE!</v>
      </c>
      <c r="T401" s="113">
        <f t="shared" si="13"/>
        <v>0</v>
      </c>
    </row>
    <row r="402" spans="1:20" s="109" customFormat="1" x14ac:dyDescent="0.2">
      <c r="A402" s="116"/>
      <c r="B402" s="111"/>
      <c r="C402" s="110" t="s">
        <v>1752</v>
      </c>
      <c r="D402" s="110" t="s">
        <v>1753</v>
      </c>
      <c r="E402" s="112" t="s">
        <v>1754</v>
      </c>
      <c r="F402" s="111" t="s">
        <v>126</v>
      </c>
      <c r="G402" s="133">
        <v>110</v>
      </c>
      <c r="H402" s="124"/>
      <c r="I402" s="133" t="str">
        <f>IF(H402&gt;0,(#REF!*H402),"-")</f>
        <v>-</v>
      </c>
      <c r="J402" s="113">
        <v>398</v>
      </c>
      <c r="K402" s="110" t="s">
        <v>127</v>
      </c>
      <c r="L402" s="110" t="s">
        <v>427</v>
      </c>
      <c r="M402" s="110" t="s">
        <v>129</v>
      </c>
      <c r="N402" s="110" t="s">
        <v>130</v>
      </c>
      <c r="O402" s="110" t="s">
        <v>1755</v>
      </c>
      <c r="P402" s="110" t="s">
        <v>137</v>
      </c>
      <c r="Q402" s="110" t="s">
        <v>96</v>
      </c>
      <c r="R402" s="121">
        <v>2.1600000000000001E-2</v>
      </c>
      <c r="S402" s="113" t="e">
        <f t="shared" si="12"/>
        <v>#VALUE!</v>
      </c>
      <c r="T402" s="113">
        <f t="shared" si="13"/>
        <v>0</v>
      </c>
    </row>
    <row r="403" spans="1:20" s="109" customFormat="1" x14ac:dyDescent="0.2">
      <c r="A403" s="116"/>
      <c r="B403" s="111" t="s">
        <v>289</v>
      </c>
      <c r="C403" s="110" t="s">
        <v>1756</v>
      </c>
      <c r="D403" s="110" t="s">
        <v>1757</v>
      </c>
      <c r="E403" s="112" t="s">
        <v>1758</v>
      </c>
      <c r="F403" s="111" t="s">
        <v>130</v>
      </c>
      <c r="G403" s="133">
        <v>340</v>
      </c>
      <c r="H403" s="124"/>
      <c r="I403" s="133" t="str">
        <f>IF(H403&gt;0,(#REF!*H403),"-")</f>
        <v>-</v>
      </c>
      <c r="J403" s="113">
        <v>3706</v>
      </c>
      <c r="K403" s="110" t="s">
        <v>127</v>
      </c>
      <c r="L403" s="110" t="s">
        <v>427</v>
      </c>
      <c r="M403" s="110" t="s">
        <v>129</v>
      </c>
      <c r="N403" s="110" t="s">
        <v>130</v>
      </c>
      <c r="O403" s="110" t="s">
        <v>1759</v>
      </c>
      <c r="P403" s="110" t="s">
        <v>137</v>
      </c>
      <c r="Q403" s="110" t="s">
        <v>96</v>
      </c>
      <c r="R403" s="121">
        <v>0.52300000000000002</v>
      </c>
      <c r="S403" s="113" t="e">
        <f t="shared" si="12"/>
        <v>#VALUE!</v>
      </c>
      <c r="T403" s="113">
        <f t="shared" si="13"/>
        <v>0</v>
      </c>
    </row>
    <row r="404" spans="1:20" s="109" customFormat="1" x14ac:dyDescent="0.2">
      <c r="A404" s="116"/>
      <c r="B404" s="111"/>
      <c r="C404" s="110" t="s">
        <v>1760</v>
      </c>
      <c r="D404" s="110" t="s">
        <v>1761</v>
      </c>
      <c r="E404" s="112" t="s">
        <v>1762</v>
      </c>
      <c r="F404" s="111" t="s">
        <v>126</v>
      </c>
      <c r="G404" s="133">
        <v>37</v>
      </c>
      <c r="H404" s="124"/>
      <c r="I404" s="133" t="str">
        <f>IF(H404&gt;0,(#REF!*H404),"-")</f>
        <v>-</v>
      </c>
      <c r="J404" s="113">
        <v>511</v>
      </c>
      <c r="K404" s="110" t="s">
        <v>127</v>
      </c>
      <c r="L404" s="110" t="s">
        <v>1763</v>
      </c>
      <c r="M404" s="110" t="s">
        <v>129</v>
      </c>
      <c r="N404" s="110" t="s">
        <v>130</v>
      </c>
      <c r="O404" s="110" t="s">
        <v>1764</v>
      </c>
      <c r="P404" s="110" t="s">
        <v>137</v>
      </c>
      <c r="Q404" s="110" t="s">
        <v>96</v>
      </c>
      <c r="R404" s="121">
        <v>5.6899999999999999E-2</v>
      </c>
      <c r="S404" s="113" t="e">
        <f t="shared" si="12"/>
        <v>#VALUE!</v>
      </c>
      <c r="T404" s="113">
        <f t="shared" si="13"/>
        <v>0</v>
      </c>
    </row>
    <row r="405" spans="1:20" s="109" customFormat="1" x14ac:dyDescent="0.2">
      <c r="A405" s="116"/>
      <c r="B405" s="111" t="s">
        <v>207</v>
      </c>
      <c r="C405" s="110" t="s">
        <v>1765</v>
      </c>
      <c r="D405" s="110" t="s">
        <v>1766</v>
      </c>
      <c r="E405" s="112" t="s">
        <v>1767</v>
      </c>
      <c r="F405" s="111" t="s">
        <v>130</v>
      </c>
      <c r="G405" s="133">
        <v>155</v>
      </c>
      <c r="H405" s="124"/>
      <c r="I405" s="133" t="str">
        <f>IF(H405&gt;0,(#REF!*H405),"-")</f>
        <v>-</v>
      </c>
      <c r="J405" s="113">
        <v>824</v>
      </c>
      <c r="K405" s="110" t="s">
        <v>127</v>
      </c>
      <c r="L405" s="110" t="s">
        <v>1763</v>
      </c>
      <c r="M405" s="110" t="s">
        <v>129</v>
      </c>
      <c r="N405" s="110" t="s">
        <v>130</v>
      </c>
      <c r="O405" s="110" t="s">
        <v>1768</v>
      </c>
      <c r="P405" s="110" t="s">
        <v>132</v>
      </c>
      <c r="Q405" s="110" t="s">
        <v>97</v>
      </c>
      <c r="R405" s="121">
        <v>0.74399999999999999</v>
      </c>
      <c r="S405" s="113" t="e">
        <f t="shared" si="12"/>
        <v>#VALUE!</v>
      </c>
      <c r="T405" s="113">
        <f t="shared" si="13"/>
        <v>0</v>
      </c>
    </row>
    <row r="406" spans="1:20" s="109" customFormat="1" x14ac:dyDescent="0.2">
      <c r="A406" s="116"/>
      <c r="B406" s="111"/>
      <c r="C406" s="110" t="s">
        <v>1769</v>
      </c>
      <c r="D406" s="110" t="s">
        <v>1770</v>
      </c>
      <c r="E406" s="112" t="s">
        <v>1771</v>
      </c>
      <c r="F406" s="111" t="s">
        <v>126</v>
      </c>
      <c r="G406" s="133">
        <v>60</v>
      </c>
      <c r="H406" s="124"/>
      <c r="I406" s="133" t="str">
        <f>IF(H406&gt;0,(#REF!*H406),"-")</f>
        <v>-</v>
      </c>
      <c r="J406" s="113">
        <v>250</v>
      </c>
      <c r="K406" s="110" t="s">
        <v>127</v>
      </c>
      <c r="L406" s="110" t="s">
        <v>1763</v>
      </c>
      <c r="M406" s="110" t="s">
        <v>129</v>
      </c>
      <c r="N406" s="110" t="s">
        <v>130</v>
      </c>
      <c r="O406" s="110" t="s">
        <v>1772</v>
      </c>
      <c r="P406" s="110" t="s">
        <v>400</v>
      </c>
      <c r="Q406" s="110" t="s">
        <v>97</v>
      </c>
      <c r="R406" s="121">
        <v>0.19500000000000001</v>
      </c>
      <c r="S406" s="113" t="e">
        <f t="shared" si="12"/>
        <v>#VALUE!</v>
      </c>
      <c r="T406" s="113">
        <f t="shared" si="13"/>
        <v>0</v>
      </c>
    </row>
    <row r="407" spans="1:20" s="109" customFormat="1" x14ac:dyDescent="0.2">
      <c r="A407" s="116"/>
      <c r="B407" s="111" t="s">
        <v>207</v>
      </c>
      <c r="C407" s="110" t="s">
        <v>1773</v>
      </c>
      <c r="D407" s="110" t="s">
        <v>1774</v>
      </c>
      <c r="E407" s="112" t="s">
        <v>1775</v>
      </c>
      <c r="F407" s="111" t="s">
        <v>130</v>
      </c>
      <c r="G407" s="133">
        <v>200</v>
      </c>
      <c r="H407" s="124"/>
      <c r="I407" s="133" t="str">
        <f>IF(H407&gt;0,(#REF!*H407),"-")</f>
        <v>-</v>
      </c>
      <c r="J407" s="113">
        <v>3621</v>
      </c>
      <c r="K407" s="110" t="s">
        <v>127</v>
      </c>
      <c r="L407" s="110" t="s">
        <v>1763</v>
      </c>
      <c r="M407" s="110" t="s">
        <v>129</v>
      </c>
      <c r="N407" s="110" t="s">
        <v>130</v>
      </c>
      <c r="O407" s="110" t="s">
        <v>1776</v>
      </c>
      <c r="P407" s="110" t="s">
        <v>137</v>
      </c>
      <c r="Q407" s="110" t="s">
        <v>96</v>
      </c>
      <c r="R407" s="121">
        <v>0.35899999999999999</v>
      </c>
      <c r="S407" s="113" t="e">
        <f t="shared" si="12"/>
        <v>#VALUE!</v>
      </c>
      <c r="T407" s="113">
        <f t="shared" si="13"/>
        <v>0</v>
      </c>
    </row>
    <row r="408" spans="1:20" s="109" customFormat="1" x14ac:dyDescent="0.2">
      <c r="A408" s="116"/>
      <c r="B408" s="111" t="s">
        <v>207</v>
      </c>
      <c r="C408" s="110" t="s">
        <v>1777</v>
      </c>
      <c r="D408" s="110" t="s">
        <v>1778</v>
      </c>
      <c r="E408" s="112" t="s">
        <v>1779</v>
      </c>
      <c r="F408" s="111" t="s">
        <v>130</v>
      </c>
      <c r="G408" s="133">
        <v>155</v>
      </c>
      <c r="H408" s="124"/>
      <c r="I408" s="133" t="str">
        <f>IF(H408&gt;0,(#REF!*H408),"-")</f>
        <v>-</v>
      </c>
      <c r="J408" s="113">
        <v>4050</v>
      </c>
      <c r="K408" s="110" t="s">
        <v>127</v>
      </c>
      <c r="L408" s="110" t="s">
        <v>1763</v>
      </c>
      <c r="M408" s="110" t="s">
        <v>129</v>
      </c>
      <c r="N408" s="110" t="s">
        <v>130</v>
      </c>
      <c r="O408" s="110" t="s">
        <v>1780</v>
      </c>
      <c r="P408" s="110" t="s">
        <v>137</v>
      </c>
      <c r="Q408" s="110" t="s">
        <v>96</v>
      </c>
      <c r="R408" s="121">
        <v>0.35399999999999998</v>
      </c>
      <c r="S408" s="113" t="e">
        <f t="shared" si="12"/>
        <v>#VALUE!</v>
      </c>
      <c r="T408" s="113">
        <f t="shared" si="13"/>
        <v>0</v>
      </c>
    </row>
    <row r="409" spans="1:20" s="109" customFormat="1" x14ac:dyDescent="0.2">
      <c r="A409" s="116"/>
      <c r="B409" s="111" t="s">
        <v>289</v>
      </c>
      <c r="C409" s="110" t="s">
        <v>1781</v>
      </c>
      <c r="D409" s="110" t="s">
        <v>1782</v>
      </c>
      <c r="E409" s="112" t="s">
        <v>1783</v>
      </c>
      <c r="F409" s="111" t="s">
        <v>130</v>
      </c>
      <c r="G409" s="133">
        <v>125</v>
      </c>
      <c r="H409" s="124"/>
      <c r="I409" s="133" t="str">
        <f>IF(H409&gt;0,(#REF!*H409),"-")</f>
        <v>-</v>
      </c>
      <c r="J409" s="113">
        <v>1046</v>
      </c>
      <c r="K409" s="110" t="s">
        <v>127</v>
      </c>
      <c r="L409" s="110" t="s">
        <v>1763</v>
      </c>
      <c r="M409" s="110" t="s">
        <v>129</v>
      </c>
      <c r="N409" s="110" t="s">
        <v>130</v>
      </c>
      <c r="O409" s="110" t="s">
        <v>1784</v>
      </c>
      <c r="P409" s="110" t="s">
        <v>137</v>
      </c>
      <c r="Q409" s="110" t="s">
        <v>96</v>
      </c>
      <c r="R409" s="121">
        <v>0.13300000000000001</v>
      </c>
      <c r="S409" s="113" t="e">
        <f t="shared" si="12"/>
        <v>#VALUE!</v>
      </c>
      <c r="T409" s="113">
        <f t="shared" si="13"/>
        <v>0</v>
      </c>
    </row>
    <row r="410" spans="1:20" s="109" customFormat="1" x14ac:dyDescent="0.2">
      <c r="A410" s="116"/>
      <c r="B410" s="111" t="s">
        <v>207</v>
      </c>
      <c r="C410" s="110" t="s">
        <v>1785</v>
      </c>
      <c r="D410" s="110" t="s">
        <v>1786</v>
      </c>
      <c r="E410" s="112" t="s">
        <v>1787</v>
      </c>
      <c r="F410" s="111" t="s">
        <v>130</v>
      </c>
      <c r="G410" s="133">
        <v>280</v>
      </c>
      <c r="H410" s="124"/>
      <c r="I410" s="133" t="str">
        <f>IF(H410&gt;0,(#REF!*H410),"-")</f>
        <v>-</v>
      </c>
      <c r="J410" s="113">
        <v>6075</v>
      </c>
      <c r="K410" s="110" t="s">
        <v>127</v>
      </c>
      <c r="L410" s="110" t="s">
        <v>1763</v>
      </c>
      <c r="M410" s="110" t="s">
        <v>129</v>
      </c>
      <c r="N410" s="110" t="s">
        <v>130</v>
      </c>
      <c r="O410" s="110" t="s">
        <v>1788</v>
      </c>
      <c r="P410" s="110" t="s">
        <v>137</v>
      </c>
      <c r="Q410" s="110" t="s">
        <v>96</v>
      </c>
      <c r="R410" s="121">
        <v>0.622</v>
      </c>
      <c r="S410" s="113" t="e">
        <f t="shared" si="12"/>
        <v>#VALUE!</v>
      </c>
      <c r="T410" s="113">
        <f t="shared" si="13"/>
        <v>0</v>
      </c>
    </row>
    <row r="411" spans="1:20" s="109" customFormat="1" x14ac:dyDescent="0.2">
      <c r="A411" s="116"/>
      <c r="B411" s="111" t="s">
        <v>207</v>
      </c>
      <c r="C411" s="110" t="s">
        <v>1789</v>
      </c>
      <c r="D411" s="110" t="s">
        <v>1790</v>
      </c>
      <c r="E411" s="112" t="s">
        <v>1791</v>
      </c>
      <c r="F411" s="111" t="s">
        <v>130</v>
      </c>
      <c r="G411" s="133">
        <v>200</v>
      </c>
      <c r="H411" s="124"/>
      <c r="I411" s="133" t="str">
        <f>IF(H411&gt;0,(#REF!*H411),"-")</f>
        <v>-</v>
      </c>
      <c r="J411" s="113">
        <v>3621</v>
      </c>
      <c r="K411" s="110" t="s">
        <v>127</v>
      </c>
      <c r="L411" s="110" t="s">
        <v>1763</v>
      </c>
      <c r="M411" s="110" t="s">
        <v>129</v>
      </c>
      <c r="N411" s="110" t="s">
        <v>130</v>
      </c>
      <c r="O411" s="110" t="s">
        <v>1792</v>
      </c>
      <c r="P411" s="110" t="s">
        <v>137</v>
      </c>
      <c r="Q411" s="110" t="s">
        <v>96</v>
      </c>
      <c r="R411" s="121">
        <v>0.38200000000000001</v>
      </c>
      <c r="S411" s="113" t="e">
        <f t="shared" si="12"/>
        <v>#VALUE!</v>
      </c>
      <c r="T411" s="113">
        <f t="shared" si="13"/>
        <v>0</v>
      </c>
    </row>
    <row r="412" spans="1:20" s="109" customFormat="1" x14ac:dyDescent="0.2">
      <c r="A412" s="116"/>
      <c r="B412" s="111" t="s">
        <v>289</v>
      </c>
      <c r="C412" s="110" t="s">
        <v>1793</v>
      </c>
      <c r="D412" s="110" t="s">
        <v>1794</v>
      </c>
      <c r="E412" s="112" t="s">
        <v>1795</v>
      </c>
      <c r="F412" s="111" t="s">
        <v>130</v>
      </c>
      <c r="G412" s="133">
        <v>125</v>
      </c>
      <c r="H412" s="124"/>
      <c r="I412" s="133" t="str">
        <f>IF(H412&gt;0,(#REF!*H412),"-")</f>
        <v>-</v>
      </c>
      <c r="J412" s="113">
        <v>1046</v>
      </c>
      <c r="K412" s="110" t="s">
        <v>127</v>
      </c>
      <c r="L412" s="110" t="s">
        <v>1763</v>
      </c>
      <c r="M412" s="110" t="s">
        <v>129</v>
      </c>
      <c r="N412" s="110" t="s">
        <v>130</v>
      </c>
      <c r="O412" s="110" t="s">
        <v>1796</v>
      </c>
      <c r="P412" s="110" t="s">
        <v>137</v>
      </c>
      <c r="Q412" s="110" t="s">
        <v>96</v>
      </c>
      <c r="R412" s="121">
        <v>0.15409999999999999</v>
      </c>
      <c r="S412" s="113" t="e">
        <f t="shared" si="12"/>
        <v>#VALUE!</v>
      </c>
      <c r="T412" s="113">
        <f t="shared" si="13"/>
        <v>0</v>
      </c>
    </row>
    <row r="413" spans="1:20" s="109" customFormat="1" x14ac:dyDescent="0.2">
      <c r="A413" s="116"/>
      <c r="B413" s="111" t="s">
        <v>202</v>
      </c>
      <c r="C413" s="110" t="s">
        <v>1797</v>
      </c>
      <c r="D413" s="110" t="s">
        <v>1798</v>
      </c>
      <c r="E413" s="112" t="s">
        <v>1799</v>
      </c>
      <c r="F413" s="111" t="s">
        <v>130</v>
      </c>
      <c r="G413" s="133">
        <v>200</v>
      </c>
      <c r="H413" s="124"/>
      <c r="I413" s="133" t="str">
        <f>IF(H413&gt;0,(#REF!*H413),"-")</f>
        <v>-</v>
      </c>
      <c r="J413" s="113">
        <v>1553</v>
      </c>
      <c r="K413" s="110" t="s">
        <v>127</v>
      </c>
      <c r="L413" s="110" t="s">
        <v>1763</v>
      </c>
      <c r="M413" s="110" t="s">
        <v>129</v>
      </c>
      <c r="N413" s="110" t="s">
        <v>130</v>
      </c>
      <c r="O413" s="110" t="s">
        <v>1800</v>
      </c>
      <c r="P413" s="110" t="s">
        <v>137</v>
      </c>
      <c r="Q413" s="110" t="s">
        <v>96</v>
      </c>
      <c r="R413" s="121">
        <v>0.23100000000000001</v>
      </c>
      <c r="S413" s="113" t="e">
        <f t="shared" si="12"/>
        <v>#VALUE!</v>
      </c>
      <c r="T413" s="113">
        <f t="shared" si="13"/>
        <v>0</v>
      </c>
    </row>
    <row r="414" spans="1:20" s="109" customFormat="1" x14ac:dyDescent="0.2">
      <c r="A414" s="116"/>
      <c r="B414" s="111" t="s">
        <v>207</v>
      </c>
      <c r="C414" s="110" t="s">
        <v>1801</v>
      </c>
      <c r="D414" s="110" t="s">
        <v>1802</v>
      </c>
      <c r="E414" s="112" t="s">
        <v>1803</v>
      </c>
      <c r="F414" s="111" t="s">
        <v>130</v>
      </c>
      <c r="G414" s="133">
        <v>140</v>
      </c>
      <c r="H414" s="124"/>
      <c r="I414" s="133" t="str">
        <f>IF(H414&gt;0,(#REF!*H414),"-")</f>
        <v>-</v>
      </c>
      <c r="J414" s="113">
        <v>1051</v>
      </c>
      <c r="K414" s="110" t="s">
        <v>127</v>
      </c>
      <c r="L414" s="110" t="s">
        <v>1763</v>
      </c>
      <c r="M414" s="110" t="s">
        <v>129</v>
      </c>
      <c r="N414" s="110" t="s">
        <v>130</v>
      </c>
      <c r="O414" s="110" t="s">
        <v>1804</v>
      </c>
      <c r="P414" s="110" t="s">
        <v>137</v>
      </c>
      <c r="Q414" s="110" t="s">
        <v>96</v>
      </c>
      <c r="R414" s="121">
        <v>0.1542</v>
      </c>
      <c r="S414" s="113" t="e">
        <f t="shared" si="12"/>
        <v>#VALUE!</v>
      </c>
      <c r="T414" s="113">
        <f t="shared" si="13"/>
        <v>0</v>
      </c>
    </row>
    <row r="415" spans="1:20" s="109" customFormat="1" x14ac:dyDescent="0.2">
      <c r="A415" s="116"/>
      <c r="B415" s="111" t="s">
        <v>289</v>
      </c>
      <c r="C415" s="110" t="s">
        <v>1805</v>
      </c>
      <c r="D415" s="110" t="s">
        <v>1806</v>
      </c>
      <c r="E415" s="112" t="s">
        <v>1807</v>
      </c>
      <c r="F415" s="111" t="s">
        <v>130</v>
      </c>
      <c r="G415" s="133">
        <v>125</v>
      </c>
      <c r="H415" s="124"/>
      <c r="I415" s="133" t="str">
        <f>IF(H415&gt;0,(#REF!*H415),"-")</f>
        <v>-</v>
      </c>
      <c r="J415" s="113">
        <v>1522</v>
      </c>
      <c r="K415" s="110" t="s">
        <v>127</v>
      </c>
      <c r="L415" s="110" t="s">
        <v>1763</v>
      </c>
      <c r="M415" s="110" t="s">
        <v>129</v>
      </c>
      <c r="N415" s="110" t="s">
        <v>130</v>
      </c>
      <c r="O415" s="110" t="s">
        <v>1808</v>
      </c>
      <c r="P415" s="110" t="s">
        <v>137</v>
      </c>
      <c r="Q415" s="110" t="s">
        <v>96</v>
      </c>
      <c r="R415" s="121">
        <v>0.17499999999999999</v>
      </c>
      <c r="S415" s="113" t="e">
        <f t="shared" si="12"/>
        <v>#VALUE!</v>
      </c>
      <c r="T415" s="113">
        <f t="shared" si="13"/>
        <v>0</v>
      </c>
    </row>
    <row r="416" spans="1:20" s="109" customFormat="1" x14ac:dyDescent="0.2">
      <c r="A416" s="116"/>
      <c r="B416" s="111" t="s">
        <v>289</v>
      </c>
      <c r="C416" s="110" t="s">
        <v>1809</v>
      </c>
      <c r="D416" s="110" t="s">
        <v>1810</v>
      </c>
      <c r="E416" s="112" t="s">
        <v>1811</v>
      </c>
      <c r="F416" s="111" t="s">
        <v>130</v>
      </c>
      <c r="G416" s="133">
        <v>155</v>
      </c>
      <c r="H416" s="124"/>
      <c r="I416" s="133" t="str">
        <f>IF(H416&gt;0,(#REF!*H416),"-")</f>
        <v>-</v>
      </c>
      <c r="J416" s="113">
        <v>1605</v>
      </c>
      <c r="K416" s="110" t="s">
        <v>127</v>
      </c>
      <c r="L416" s="110" t="s">
        <v>1763</v>
      </c>
      <c r="M416" s="110" t="s">
        <v>129</v>
      </c>
      <c r="N416" s="110" t="s">
        <v>130</v>
      </c>
      <c r="O416" s="110" t="s">
        <v>1812</v>
      </c>
      <c r="P416" s="110" t="s">
        <v>137</v>
      </c>
      <c r="Q416" s="110" t="s">
        <v>96</v>
      </c>
      <c r="R416" s="121">
        <v>0.183</v>
      </c>
      <c r="S416" s="113" t="e">
        <f t="shared" si="12"/>
        <v>#VALUE!</v>
      </c>
      <c r="T416" s="113">
        <f t="shared" si="13"/>
        <v>0</v>
      </c>
    </row>
    <row r="417" spans="1:20" s="109" customFormat="1" x14ac:dyDescent="0.2">
      <c r="A417" s="116"/>
      <c r="B417" s="111"/>
      <c r="C417" s="110" t="s">
        <v>1813</v>
      </c>
      <c r="D417" s="110" t="s">
        <v>1814</v>
      </c>
      <c r="E417" s="112" t="s">
        <v>1815</v>
      </c>
      <c r="F417" s="111" t="s">
        <v>126</v>
      </c>
      <c r="G417" s="133">
        <v>90</v>
      </c>
      <c r="H417" s="124"/>
      <c r="I417" s="133" t="str">
        <f>IF(H417&gt;0,(#REF!*H417),"-")</f>
        <v>-</v>
      </c>
      <c r="J417" s="113">
        <v>398</v>
      </c>
      <c r="K417" s="110" t="s">
        <v>127</v>
      </c>
      <c r="L417" s="110" t="s">
        <v>1763</v>
      </c>
      <c r="M417" s="110" t="s">
        <v>129</v>
      </c>
      <c r="N417" s="110" t="s">
        <v>130</v>
      </c>
      <c r="O417" s="110" t="s">
        <v>1816</v>
      </c>
      <c r="P417" s="110" t="s">
        <v>137</v>
      </c>
      <c r="Q417" s="110" t="s">
        <v>96</v>
      </c>
      <c r="R417" s="121">
        <v>2.1000000000000001E-2</v>
      </c>
      <c r="S417" s="113" t="e">
        <f t="shared" si="12"/>
        <v>#VALUE!</v>
      </c>
      <c r="T417" s="113">
        <f t="shared" si="13"/>
        <v>0</v>
      </c>
    </row>
    <row r="418" spans="1:20" s="109" customFormat="1" x14ac:dyDescent="0.2">
      <c r="A418" s="116"/>
      <c r="B418" s="111" t="s">
        <v>202</v>
      </c>
      <c r="C418" s="110" t="s">
        <v>1817</v>
      </c>
      <c r="D418" s="110" t="s">
        <v>1818</v>
      </c>
      <c r="E418" s="112" t="s">
        <v>1819</v>
      </c>
      <c r="F418" s="111" t="s">
        <v>130</v>
      </c>
      <c r="G418" s="133">
        <v>215</v>
      </c>
      <c r="H418" s="124"/>
      <c r="I418" s="133" t="str">
        <f>IF(H418&gt;0,(#REF!*H418),"-")</f>
        <v>-</v>
      </c>
      <c r="J418" s="113">
        <v>4050</v>
      </c>
      <c r="K418" s="110" t="s">
        <v>127</v>
      </c>
      <c r="L418" s="110" t="s">
        <v>1763</v>
      </c>
      <c r="M418" s="110" t="s">
        <v>129</v>
      </c>
      <c r="N418" s="110" t="s">
        <v>130</v>
      </c>
      <c r="O418" s="110" t="s">
        <v>1820</v>
      </c>
      <c r="P418" s="110" t="s">
        <v>137</v>
      </c>
      <c r="Q418" s="110" t="s">
        <v>96</v>
      </c>
      <c r="R418" s="121">
        <v>0.374</v>
      </c>
      <c r="S418" s="113" t="e">
        <f t="shared" si="12"/>
        <v>#VALUE!</v>
      </c>
      <c r="T418" s="113">
        <f t="shared" si="13"/>
        <v>0</v>
      </c>
    </row>
    <row r="419" spans="1:20" s="109" customFormat="1" x14ac:dyDescent="0.2">
      <c r="A419" s="116"/>
      <c r="B419" s="111"/>
      <c r="C419" s="110" t="s">
        <v>1821</v>
      </c>
      <c r="D419" s="110" t="s">
        <v>1822</v>
      </c>
      <c r="E419" s="112" t="s">
        <v>1823</v>
      </c>
      <c r="F419" s="111" t="s">
        <v>126</v>
      </c>
      <c r="G419" s="133">
        <v>527</v>
      </c>
      <c r="H419" s="124"/>
      <c r="I419" s="133" t="str">
        <f>IF(H419&gt;0,(#REF!*H419),"-")</f>
        <v>-</v>
      </c>
      <c r="J419" s="113">
        <v>10695</v>
      </c>
      <c r="K419" s="110" t="s">
        <v>127</v>
      </c>
      <c r="L419" s="110" t="s">
        <v>1763</v>
      </c>
      <c r="M419" s="110" t="s">
        <v>129</v>
      </c>
      <c r="N419" s="110" t="s">
        <v>130</v>
      </c>
      <c r="O419" s="110" t="s">
        <v>1824</v>
      </c>
      <c r="P419" s="110" t="s">
        <v>137</v>
      </c>
      <c r="Q419" s="110" t="s">
        <v>96</v>
      </c>
      <c r="R419" s="121">
        <v>1.2350000000000001</v>
      </c>
      <c r="S419" s="113" t="e">
        <f t="shared" si="12"/>
        <v>#VALUE!</v>
      </c>
      <c r="T419" s="113">
        <f t="shared" si="13"/>
        <v>0</v>
      </c>
    </row>
    <row r="420" spans="1:20" s="109" customFormat="1" x14ac:dyDescent="0.2">
      <c r="A420" s="116"/>
      <c r="B420" s="111" t="s">
        <v>202</v>
      </c>
      <c r="C420" s="110" t="s">
        <v>1825</v>
      </c>
      <c r="D420" s="110" t="s">
        <v>1826</v>
      </c>
      <c r="E420" s="112" t="s">
        <v>1827</v>
      </c>
      <c r="F420" s="111" t="s">
        <v>130</v>
      </c>
      <c r="G420" s="133">
        <v>110</v>
      </c>
      <c r="H420" s="124"/>
      <c r="I420" s="133" t="str">
        <f>IF(H420&gt;0,(#REF!*H420),"-")</f>
        <v>-</v>
      </c>
      <c r="J420" s="113">
        <v>398</v>
      </c>
      <c r="K420" s="110" t="s">
        <v>127</v>
      </c>
      <c r="L420" s="110" t="s">
        <v>1763</v>
      </c>
      <c r="M420" s="110" t="s">
        <v>129</v>
      </c>
      <c r="N420" s="110" t="s">
        <v>130</v>
      </c>
      <c r="O420" s="110" t="s">
        <v>1828</v>
      </c>
      <c r="P420" s="110" t="s">
        <v>137</v>
      </c>
      <c r="Q420" s="110" t="s">
        <v>96</v>
      </c>
      <c r="R420" s="121">
        <v>2.3800000000000002E-2</v>
      </c>
      <c r="S420" s="113" t="e">
        <f t="shared" si="12"/>
        <v>#VALUE!</v>
      </c>
      <c r="T420" s="113">
        <f t="shared" si="13"/>
        <v>0</v>
      </c>
    </row>
    <row r="421" spans="1:20" s="109" customFormat="1" x14ac:dyDescent="0.2">
      <c r="A421" s="116"/>
      <c r="B421" s="111" t="s">
        <v>202</v>
      </c>
      <c r="C421" s="110" t="s">
        <v>1829</v>
      </c>
      <c r="D421" s="110" t="s">
        <v>1830</v>
      </c>
      <c r="E421" s="112" t="s">
        <v>1831</v>
      </c>
      <c r="F421" s="111" t="s">
        <v>130</v>
      </c>
      <c r="G421" s="133">
        <v>340</v>
      </c>
      <c r="H421" s="124"/>
      <c r="I421" s="133" t="str">
        <f>IF(H421&gt;0,(#REF!*H421),"-")</f>
        <v>-</v>
      </c>
      <c r="J421" s="113">
        <v>4050</v>
      </c>
      <c r="K421" s="110" t="s">
        <v>127</v>
      </c>
      <c r="L421" s="110" t="s">
        <v>1763</v>
      </c>
      <c r="M421" s="110" t="s">
        <v>129</v>
      </c>
      <c r="N421" s="110" t="s">
        <v>130</v>
      </c>
      <c r="O421" s="110" t="s">
        <v>1832</v>
      </c>
      <c r="P421" s="110" t="s">
        <v>137</v>
      </c>
      <c r="Q421" s="110" t="s">
        <v>96</v>
      </c>
      <c r="R421" s="121">
        <v>0.55220000000000002</v>
      </c>
      <c r="S421" s="113" t="e">
        <f t="shared" si="12"/>
        <v>#VALUE!</v>
      </c>
      <c r="T421" s="113">
        <f t="shared" si="13"/>
        <v>0</v>
      </c>
    </row>
    <row r="422" spans="1:20" s="109" customFormat="1" x14ac:dyDescent="0.2">
      <c r="A422" s="116"/>
      <c r="B422" s="111" t="s">
        <v>202</v>
      </c>
      <c r="C422" s="110" t="s">
        <v>1833</v>
      </c>
      <c r="D422" s="110" t="s">
        <v>1834</v>
      </c>
      <c r="E422" s="112" t="s">
        <v>1835</v>
      </c>
      <c r="F422" s="111" t="s">
        <v>130</v>
      </c>
      <c r="G422" s="133">
        <v>370</v>
      </c>
      <c r="H422" s="124"/>
      <c r="I422" s="133" t="str">
        <f>IF(H422&gt;0,(#REF!*H422),"-")</f>
        <v>-</v>
      </c>
      <c r="J422" s="113">
        <v>4050</v>
      </c>
      <c r="K422" s="110" t="s">
        <v>127</v>
      </c>
      <c r="L422" s="110" t="s">
        <v>1763</v>
      </c>
      <c r="M422" s="110" t="s">
        <v>129</v>
      </c>
      <c r="N422" s="110" t="s">
        <v>130</v>
      </c>
      <c r="O422" s="110" t="s">
        <v>1836</v>
      </c>
      <c r="P422" s="110" t="s">
        <v>137</v>
      </c>
      <c r="Q422" s="110" t="s">
        <v>96</v>
      </c>
      <c r="R422" s="121">
        <v>0.60829999999999995</v>
      </c>
      <c r="S422" s="113" t="e">
        <f t="shared" si="12"/>
        <v>#VALUE!</v>
      </c>
      <c r="T422" s="113">
        <f t="shared" si="13"/>
        <v>0</v>
      </c>
    </row>
    <row r="423" spans="1:20" s="109" customFormat="1" x14ac:dyDescent="0.2">
      <c r="A423" s="116"/>
      <c r="B423" s="111" t="s">
        <v>207</v>
      </c>
      <c r="C423" s="110" t="s">
        <v>1837</v>
      </c>
      <c r="D423" s="110" t="s">
        <v>1838</v>
      </c>
      <c r="E423" s="112" t="s">
        <v>1839</v>
      </c>
      <c r="F423" s="111" t="s">
        <v>130</v>
      </c>
      <c r="G423" s="133">
        <v>155</v>
      </c>
      <c r="H423" s="124"/>
      <c r="I423" s="133" t="str">
        <f>IF(H423&gt;0,(#REF!*H423),"-")</f>
        <v>-</v>
      </c>
      <c r="J423" s="113">
        <v>879</v>
      </c>
      <c r="K423" s="110" t="s">
        <v>127</v>
      </c>
      <c r="L423" s="110" t="s">
        <v>1840</v>
      </c>
      <c r="M423" s="110" t="s">
        <v>129</v>
      </c>
      <c r="N423" s="110" t="s">
        <v>130</v>
      </c>
      <c r="O423" s="110" t="s">
        <v>1841</v>
      </c>
      <c r="P423" s="110" t="s">
        <v>132</v>
      </c>
      <c r="Q423" s="110" t="s">
        <v>97</v>
      </c>
      <c r="R423" s="121">
        <v>0.68799999999999994</v>
      </c>
      <c r="S423" s="113" t="e">
        <f t="shared" si="12"/>
        <v>#VALUE!</v>
      </c>
      <c r="T423" s="113">
        <f t="shared" si="13"/>
        <v>0</v>
      </c>
    </row>
    <row r="424" spans="1:20" s="109" customFormat="1" x14ac:dyDescent="0.2">
      <c r="A424" s="116"/>
      <c r="B424" s="111"/>
      <c r="C424" s="110" t="s">
        <v>1842</v>
      </c>
      <c r="D424" s="110" t="s">
        <v>1843</v>
      </c>
      <c r="E424" s="112" t="s">
        <v>1844</v>
      </c>
      <c r="F424" s="111" t="s">
        <v>126</v>
      </c>
      <c r="G424" s="133">
        <v>60</v>
      </c>
      <c r="H424" s="124"/>
      <c r="I424" s="133" t="str">
        <f>IF(H424&gt;0,(#REF!*H424),"-")</f>
        <v>-</v>
      </c>
      <c r="J424" s="113">
        <v>118</v>
      </c>
      <c r="K424" s="110" t="s">
        <v>127</v>
      </c>
      <c r="L424" s="110" t="s">
        <v>1840</v>
      </c>
      <c r="M424" s="110" t="s">
        <v>129</v>
      </c>
      <c r="N424" s="110" t="s">
        <v>130</v>
      </c>
      <c r="O424" s="110" t="s">
        <v>1845</v>
      </c>
      <c r="P424" s="110" t="s">
        <v>400</v>
      </c>
      <c r="Q424" s="110" t="s">
        <v>97</v>
      </c>
      <c r="R424" s="121">
        <v>0.17</v>
      </c>
      <c r="S424" s="113" t="e">
        <f t="shared" si="12"/>
        <v>#VALUE!</v>
      </c>
      <c r="T424" s="113">
        <f t="shared" si="13"/>
        <v>0</v>
      </c>
    </row>
    <row r="425" spans="1:20" s="109" customFormat="1" x14ac:dyDescent="0.2">
      <c r="A425" s="116"/>
      <c r="B425" s="111" t="s">
        <v>202</v>
      </c>
      <c r="C425" s="110" t="s">
        <v>1846</v>
      </c>
      <c r="D425" s="110" t="s">
        <v>1847</v>
      </c>
      <c r="E425" s="112" t="s">
        <v>1848</v>
      </c>
      <c r="F425" s="111" t="s">
        <v>130</v>
      </c>
      <c r="G425" s="133">
        <v>125</v>
      </c>
      <c r="H425" s="124"/>
      <c r="I425" s="133" t="str">
        <f>IF(H425&gt;0,(#REF!*H425),"-")</f>
        <v>-</v>
      </c>
      <c r="J425" s="113">
        <v>1615</v>
      </c>
      <c r="K425" s="110" t="s">
        <v>127</v>
      </c>
      <c r="L425" s="110" t="s">
        <v>1840</v>
      </c>
      <c r="M425" s="110" t="s">
        <v>129</v>
      </c>
      <c r="N425" s="110" t="s">
        <v>130</v>
      </c>
      <c r="O425" s="110" t="s">
        <v>1849</v>
      </c>
      <c r="P425" s="110" t="s">
        <v>137</v>
      </c>
      <c r="Q425" s="110" t="s">
        <v>96</v>
      </c>
      <c r="R425" s="121">
        <v>0.16600000000000001</v>
      </c>
      <c r="S425" s="113" t="e">
        <f t="shared" si="12"/>
        <v>#VALUE!</v>
      </c>
      <c r="T425" s="113">
        <f t="shared" si="13"/>
        <v>0</v>
      </c>
    </row>
    <row r="426" spans="1:20" s="109" customFormat="1" x14ac:dyDescent="0.2">
      <c r="A426" s="116"/>
      <c r="B426" s="111" t="s">
        <v>289</v>
      </c>
      <c r="C426" s="110" t="s">
        <v>1850</v>
      </c>
      <c r="D426" s="110" t="s">
        <v>1851</v>
      </c>
      <c r="E426" s="112" t="s">
        <v>1852</v>
      </c>
      <c r="F426" s="111" t="s">
        <v>130</v>
      </c>
      <c r="G426" s="133">
        <v>215</v>
      </c>
      <c r="H426" s="124"/>
      <c r="I426" s="133" t="str">
        <f>IF(H426&gt;0,(#REF!*H426),"-")</f>
        <v>-</v>
      </c>
      <c r="J426" s="113">
        <v>3625</v>
      </c>
      <c r="K426" s="110" t="s">
        <v>127</v>
      </c>
      <c r="L426" s="110" t="s">
        <v>1840</v>
      </c>
      <c r="M426" s="110" t="s">
        <v>129</v>
      </c>
      <c r="N426" s="110" t="s">
        <v>130</v>
      </c>
      <c r="O426" s="110" t="s">
        <v>1853</v>
      </c>
      <c r="P426" s="110" t="s">
        <v>137</v>
      </c>
      <c r="Q426" s="110" t="s">
        <v>96</v>
      </c>
      <c r="R426" s="121">
        <v>0.33739999999999998</v>
      </c>
      <c r="S426" s="113" t="e">
        <f t="shared" si="12"/>
        <v>#VALUE!</v>
      </c>
      <c r="T426" s="113">
        <f t="shared" si="13"/>
        <v>0</v>
      </c>
    </row>
    <row r="427" spans="1:20" s="109" customFormat="1" x14ac:dyDescent="0.2">
      <c r="A427" s="116"/>
      <c r="B427" s="111" t="s">
        <v>207</v>
      </c>
      <c r="C427" s="110" t="s">
        <v>1854</v>
      </c>
      <c r="D427" s="110" t="s">
        <v>1855</v>
      </c>
      <c r="E427" s="112" t="s">
        <v>1856</v>
      </c>
      <c r="F427" s="111" t="s">
        <v>130</v>
      </c>
      <c r="G427" s="133">
        <v>217</v>
      </c>
      <c r="H427" s="124"/>
      <c r="I427" s="133" t="str">
        <f>IF(H427&gt;0,(#REF!*H427),"-")</f>
        <v>-</v>
      </c>
      <c r="J427" s="113">
        <v>4050</v>
      </c>
      <c r="K427" s="110" t="s">
        <v>127</v>
      </c>
      <c r="L427" s="110" t="s">
        <v>1840</v>
      </c>
      <c r="M427" s="110" t="s">
        <v>129</v>
      </c>
      <c r="N427" s="110" t="s">
        <v>130</v>
      </c>
      <c r="O427" s="110" t="s">
        <v>1857</v>
      </c>
      <c r="P427" s="110" t="s">
        <v>137</v>
      </c>
      <c r="Q427" s="110" t="s">
        <v>96</v>
      </c>
      <c r="R427" s="121">
        <v>0.4859</v>
      </c>
      <c r="S427" s="113" t="e">
        <f t="shared" si="12"/>
        <v>#VALUE!</v>
      </c>
      <c r="T427" s="113">
        <f t="shared" si="13"/>
        <v>0</v>
      </c>
    </row>
    <row r="428" spans="1:20" s="109" customFormat="1" x14ac:dyDescent="0.2">
      <c r="A428" s="116"/>
      <c r="B428" s="111" t="s">
        <v>202</v>
      </c>
      <c r="C428" s="110" t="s">
        <v>1858</v>
      </c>
      <c r="D428" s="110" t="s">
        <v>1859</v>
      </c>
      <c r="E428" s="112" t="s">
        <v>1860</v>
      </c>
      <c r="F428" s="111" t="s">
        <v>130</v>
      </c>
      <c r="G428" s="133">
        <v>125</v>
      </c>
      <c r="H428" s="124"/>
      <c r="I428" s="133" t="str">
        <f>IF(H428&gt;0,(#REF!*H428),"-")</f>
        <v>-</v>
      </c>
      <c r="J428" s="113">
        <v>1522</v>
      </c>
      <c r="K428" s="110" t="s">
        <v>127</v>
      </c>
      <c r="L428" s="110" t="s">
        <v>1840</v>
      </c>
      <c r="M428" s="110" t="s">
        <v>129</v>
      </c>
      <c r="N428" s="110" t="s">
        <v>130</v>
      </c>
      <c r="O428" s="110" t="s">
        <v>1861</v>
      </c>
      <c r="P428" s="110" t="s">
        <v>137</v>
      </c>
      <c r="Q428" s="110" t="s">
        <v>96</v>
      </c>
      <c r="R428" s="121">
        <v>0.159</v>
      </c>
      <c r="S428" s="113" t="e">
        <f t="shared" si="12"/>
        <v>#VALUE!</v>
      </c>
      <c r="T428" s="113">
        <f t="shared" si="13"/>
        <v>0</v>
      </c>
    </row>
    <row r="429" spans="1:20" s="109" customFormat="1" x14ac:dyDescent="0.2">
      <c r="A429" s="116"/>
      <c r="B429" s="111"/>
      <c r="C429" s="110" t="s">
        <v>1862</v>
      </c>
      <c r="D429" s="110" t="s">
        <v>1863</v>
      </c>
      <c r="E429" s="112" t="s">
        <v>1864</v>
      </c>
      <c r="F429" s="111" t="s">
        <v>126</v>
      </c>
      <c r="G429" s="133">
        <v>280</v>
      </c>
      <c r="H429" s="124"/>
      <c r="I429" s="133" t="str">
        <f>IF(H429&gt;0,(#REF!*H429),"-")</f>
        <v>-</v>
      </c>
      <c r="J429" s="113">
        <v>4050</v>
      </c>
      <c r="K429" s="110" t="s">
        <v>127</v>
      </c>
      <c r="L429" s="110" t="s">
        <v>1840</v>
      </c>
      <c r="M429" s="110" t="s">
        <v>129</v>
      </c>
      <c r="N429" s="110" t="s">
        <v>130</v>
      </c>
      <c r="O429" s="110" t="s">
        <v>1865</v>
      </c>
      <c r="P429" s="110" t="s">
        <v>137</v>
      </c>
      <c r="Q429" s="110" t="s">
        <v>96</v>
      </c>
      <c r="R429" s="121">
        <v>0.32800000000000001</v>
      </c>
      <c r="S429" s="113" t="e">
        <f t="shared" si="12"/>
        <v>#VALUE!</v>
      </c>
      <c r="T429" s="113">
        <f t="shared" si="13"/>
        <v>0</v>
      </c>
    </row>
    <row r="430" spans="1:20" s="109" customFormat="1" x14ac:dyDescent="0.2">
      <c r="A430" s="116"/>
      <c r="B430" s="111"/>
      <c r="C430" s="110" t="s">
        <v>1866</v>
      </c>
      <c r="D430" s="110" t="s">
        <v>1867</v>
      </c>
      <c r="E430" s="112" t="s">
        <v>1868</v>
      </c>
      <c r="F430" s="111" t="s">
        <v>126</v>
      </c>
      <c r="G430" s="133">
        <v>310</v>
      </c>
      <c r="H430" s="124"/>
      <c r="I430" s="133" t="str">
        <f>IF(H430&gt;0,(#REF!*H430),"-")</f>
        <v>-</v>
      </c>
      <c r="J430" s="113">
        <v>4050</v>
      </c>
      <c r="K430" s="110" t="s">
        <v>127</v>
      </c>
      <c r="L430" s="110" t="s">
        <v>1840</v>
      </c>
      <c r="M430" s="110" t="s">
        <v>129</v>
      </c>
      <c r="N430" s="110" t="s">
        <v>130</v>
      </c>
      <c r="O430" s="110" t="s">
        <v>1869</v>
      </c>
      <c r="P430" s="110" t="s">
        <v>137</v>
      </c>
      <c r="Q430" s="110" t="s">
        <v>96</v>
      </c>
      <c r="R430" s="121">
        <v>0.39900000000000002</v>
      </c>
      <c r="S430" s="113" t="e">
        <f t="shared" si="12"/>
        <v>#VALUE!</v>
      </c>
      <c r="T430" s="113">
        <f t="shared" si="13"/>
        <v>0</v>
      </c>
    </row>
    <row r="431" spans="1:20" s="109" customFormat="1" x14ac:dyDescent="0.2">
      <c r="A431" s="116"/>
      <c r="B431" s="111"/>
      <c r="C431" s="110" t="s">
        <v>1870</v>
      </c>
      <c r="D431" s="110" t="s">
        <v>1871</v>
      </c>
      <c r="E431" s="112" t="s">
        <v>1872</v>
      </c>
      <c r="F431" s="111" t="s">
        <v>126</v>
      </c>
      <c r="G431" s="133">
        <v>125</v>
      </c>
      <c r="H431" s="124"/>
      <c r="I431" s="133" t="str">
        <f>IF(H431&gt;0,(#REF!*H431),"-")</f>
        <v>-</v>
      </c>
      <c r="J431" s="113">
        <v>1605</v>
      </c>
      <c r="K431" s="110" t="s">
        <v>127</v>
      </c>
      <c r="L431" s="110" t="s">
        <v>1840</v>
      </c>
      <c r="M431" s="110" t="s">
        <v>129</v>
      </c>
      <c r="N431" s="110" t="s">
        <v>130</v>
      </c>
      <c r="O431" s="110" t="s">
        <v>1873</v>
      </c>
      <c r="P431" s="110" t="s">
        <v>137</v>
      </c>
      <c r="Q431" s="110" t="s">
        <v>96</v>
      </c>
      <c r="R431" s="121">
        <v>0.2253</v>
      </c>
      <c r="S431" s="113" t="e">
        <f t="shared" si="12"/>
        <v>#VALUE!</v>
      </c>
      <c r="T431" s="113">
        <f t="shared" si="13"/>
        <v>0</v>
      </c>
    </row>
    <row r="432" spans="1:20" s="109" customFormat="1" x14ac:dyDescent="0.2">
      <c r="A432" s="116"/>
      <c r="B432" s="111" t="s">
        <v>202</v>
      </c>
      <c r="C432" s="110" t="s">
        <v>1874</v>
      </c>
      <c r="D432" s="110" t="s">
        <v>1875</v>
      </c>
      <c r="E432" s="112" t="s">
        <v>1876</v>
      </c>
      <c r="F432" s="111" t="s">
        <v>130</v>
      </c>
      <c r="G432" s="133">
        <v>125</v>
      </c>
      <c r="H432" s="124"/>
      <c r="I432" s="133" t="str">
        <f>IF(H432&gt;0,(#REF!*H432),"-")</f>
        <v>-</v>
      </c>
      <c r="J432" s="113">
        <v>1522</v>
      </c>
      <c r="K432" s="110" t="s">
        <v>127</v>
      </c>
      <c r="L432" s="110" t="s">
        <v>1840</v>
      </c>
      <c r="M432" s="110" t="s">
        <v>129</v>
      </c>
      <c r="N432" s="110" t="s">
        <v>130</v>
      </c>
      <c r="O432" s="110" t="s">
        <v>1877</v>
      </c>
      <c r="P432" s="110" t="s">
        <v>137</v>
      </c>
      <c r="Q432" s="110" t="s">
        <v>96</v>
      </c>
      <c r="R432" s="121">
        <v>0.13800000000000001</v>
      </c>
      <c r="S432" s="113" t="e">
        <f t="shared" si="12"/>
        <v>#VALUE!</v>
      </c>
      <c r="T432" s="113">
        <f t="shared" si="13"/>
        <v>0</v>
      </c>
    </row>
    <row r="433" spans="1:20" s="109" customFormat="1" x14ac:dyDescent="0.2">
      <c r="A433" s="116"/>
      <c r="B433" s="111"/>
      <c r="C433" s="110" t="s">
        <v>1878</v>
      </c>
      <c r="D433" s="110" t="s">
        <v>1879</v>
      </c>
      <c r="E433" s="112" t="s">
        <v>1880</v>
      </c>
      <c r="F433" s="111" t="s">
        <v>126</v>
      </c>
      <c r="G433" s="133">
        <v>200</v>
      </c>
      <c r="H433" s="124"/>
      <c r="I433" s="133" t="str">
        <f>IF(H433&gt;0,(#REF!*H433),"-")</f>
        <v>-</v>
      </c>
      <c r="J433" s="113">
        <v>1522</v>
      </c>
      <c r="K433" s="110" t="s">
        <v>127</v>
      </c>
      <c r="L433" s="110" t="s">
        <v>1840</v>
      </c>
      <c r="M433" s="110" t="s">
        <v>129</v>
      </c>
      <c r="N433" s="110" t="s">
        <v>130</v>
      </c>
      <c r="O433" s="110" t="s">
        <v>1881</v>
      </c>
      <c r="P433" s="110" t="s">
        <v>137</v>
      </c>
      <c r="Q433" s="110" t="s">
        <v>96</v>
      </c>
      <c r="R433" s="121">
        <v>0.18</v>
      </c>
      <c r="S433" s="113" t="e">
        <f t="shared" si="12"/>
        <v>#VALUE!</v>
      </c>
      <c r="T433" s="113">
        <f t="shared" si="13"/>
        <v>0</v>
      </c>
    </row>
    <row r="434" spans="1:20" s="109" customFormat="1" x14ac:dyDescent="0.2">
      <c r="A434" s="116"/>
      <c r="B434" s="111" t="s">
        <v>202</v>
      </c>
      <c r="C434" s="110" t="s">
        <v>1882</v>
      </c>
      <c r="D434" s="110" t="s">
        <v>1883</v>
      </c>
      <c r="E434" s="112" t="s">
        <v>1884</v>
      </c>
      <c r="F434" s="111" t="s">
        <v>130</v>
      </c>
      <c r="G434" s="133">
        <v>250</v>
      </c>
      <c r="H434" s="124"/>
      <c r="I434" s="133" t="str">
        <f>IF(H434&gt;0,(#REF!*H434),"-")</f>
        <v>-</v>
      </c>
      <c r="J434" s="113">
        <v>5063</v>
      </c>
      <c r="K434" s="110" t="s">
        <v>127</v>
      </c>
      <c r="L434" s="110" t="s">
        <v>1840</v>
      </c>
      <c r="M434" s="110" t="s">
        <v>129</v>
      </c>
      <c r="N434" s="110" t="s">
        <v>130</v>
      </c>
      <c r="O434" s="110" t="s">
        <v>1885</v>
      </c>
      <c r="P434" s="110" t="s">
        <v>137</v>
      </c>
      <c r="Q434" s="110" t="s">
        <v>96</v>
      </c>
      <c r="R434" s="121">
        <v>0.51259999999999994</v>
      </c>
      <c r="S434" s="113" t="e">
        <f t="shared" si="12"/>
        <v>#VALUE!</v>
      </c>
      <c r="T434" s="113">
        <f t="shared" si="13"/>
        <v>0</v>
      </c>
    </row>
    <row r="435" spans="1:20" s="109" customFormat="1" x14ac:dyDescent="0.2">
      <c r="A435" s="116"/>
      <c r="B435" s="111" t="s">
        <v>202</v>
      </c>
      <c r="C435" s="110" t="s">
        <v>1886</v>
      </c>
      <c r="D435" s="110" t="s">
        <v>1887</v>
      </c>
      <c r="E435" s="112" t="s">
        <v>1888</v>
      </c>
      <c r="F435" s="111" t="s">
        <v>130</v>
      </c>
      <c r="G435" s="133">
        <v>248</v>
      </c>
      <c r="H435" s="124"/>
      <c r="I435" s="133" t="str">
        <f>IF(H435&gt;0,(#REF!*H435),"-")</f>
        <v>-</v>
      </c>
      <c r="J435" s="113">
        <v>1522</v>
      </c>
      <c r="K435" s="110" t="s">
        <v>127</v>
      </c>
      <c r="L435" s="110" t="s">
        <v>1840</v>
      </c>
      <c r="M435" s="110" t="s">
        <v>129</v>
      </c>
      <c r="N435" s="110" t="s">
        <v>130</v>
      </c>
      <c r="O435" s="110" t="s">
        <v>1889</v>
      </c>
      <c r="P435" s="110" t="s">
        <v>137</v>
      </c>
      <c r="Q435" s="110" t="s">
        <v>96</v>
      </c>
      <c r="R435" s="121">
        <v>0.1754</v>
      </c>
      <c r="S435" s="113" t="e">
        <f t="shared" si="12"/>
        <v>#VALUE!</v>
      </c>
      <c r="T435" s="113">
        <f t="shared" si="13"/>
        <v>0</v>
      </c>
    </row>
    <row r="436" spans="1:20" s="109" customFormat="1" x14ac:dyDescent="0.2">
      <c r="A436" s="116"/>
      <c r="B436" s="111"/>
      <c r="C436" s="110" t="s">
        <v>1890</v>
      </c>
      <c r="D436" s="110" t="s">
        <v>1891</v>
      </c>
      <c r="E436" s="112" t="s">
        <v>1892</v>
      </c>
      <c r="F436" s="111" t="s">
        <v>126</v>
      </c>
      <c r="G436" s="133">
        <v>155</v>
      </c>
      <c r="H436" s="124"/>
      <c r="I436" s="133" t="str">
        <f>IF(H436&gt;0,(#REF!*H436),"-")</f>
        <v>-</v>
      </c>
      <c r="J436" s="113">
        <v>504</v>
      </c>
      <c r="K436" s="110" t="s">
        <v>127</v>
      </c>
      <c r="L436" s="110" t="s">
        <v>1840</v>
      </c>
      <c r="M436" s="110" t="s">
        <v>129</v>
      </c>
      <c r="N436" s="110" t="s">
        <v>130</v>
      </c>
      <c r="O436" s="110" t="s">
        <v>1893</v>
      </c>
      <c r="P436" s="110" t="s">
        <v>137</v>
      </c>
      <c r="Q436" s="110" t="s">
        <v>96</v>
      </c>
      <c r="R436" s="121">
        <v>5.3999999999999999E-2</v>
      </c>
      <c r="S436" s="113" t="e">
        <f t="shared" si="12"/>
        <v>#VALUE!</v>
      </c>
      <c r="T436" s="113">
        <f t="shared" si="13"/>
        <v>0</v>
      </c>
    </row>
    <row r="437" spans="1:20" s="109" customFormat="1" x14ac:dyDescent="0.2">
      <c r="A437" s="116"/>
      <c r="B437" s="111" t="s">
        <v>202</v>
      </c>
      <c r="C437" s="110" t="s">
        <v>1894</v>
      </c>
      <c r="D437" s="110" t="s">
        <v>1895</v>
      </c>
      <c r="E437" s="112" t="s">
        <v>1896</v>
      </c>
      <c r="F437" s="111" t="s">
        <v>130</v>
      </c>
      <c r="G437" s="133">
        <v>370</v>
      </c>
      <c r="H437" s="124"/>
      <c r="I437" s="133" t="str">
        <f>IF(H437&gt;0,(#REF!*H437),"-")</f>
        <v>-</v>
      </c>
      <c r="J437" s="113">
        <v>4050</v>
      </c>
      <c r="K437" s="110" t="s">
        <v>127</v>
      </c>
      <c r="L437" s="110" t="s">
        <v>1840</v>
      </c>
      <c r="M437" s="110" t="s">
        <v>129</v>
      </c>
      <c r="N437" s="110" t="s">
        <v>130</v>
      </c>
      <c r="O437" s="110" t="s">
        <v>1897</v>
      </c>
      <c r="P437" s="110" t="s">
        <v>137</v>
      </c>
      <c r="Q437" s="110" t="s">
        <v>96</v>
      </c>
      <c r="R437" s="121">
        <v>0.56579999999999997</v>
      </c>
      <c r="S437" s="113" t="e">
        <f t="shared" si="12"/>
        <v>#VALUE!</v>
      </c>
      <c r="T437" s="113">
        <f t="shared" si="13"/>
        <v>0</v>
      </c>
    </row>
    <row r="438" spans="1:20" s="109" customFormat="1" x14ac:dyDescent="0.2">
      <c r="A438" s="116"/>
      <c r="B438" s="111" t="s">
        <v>207</v>
      </c>
      <c r="C438" s="110" t="s">
        <v>1898</v>
      </c>
      <c r="D438" s="110" t="s">
        <v>1899</v>
      </c>
      <c r="E438" s="112" t="s">
        <v>1900</v>
      </c>
      <c r="F438" s="111" t="s">
        <v>130</v>
      </c>
      <c r="G438" s="133">
        <v>155</v>
      </c>
      <c r="H438" s="124"/>
      <c r="I438" s="133" t="str">
        <f>IF(H438&gt;0,(#REF!*H438),"-")</f>
        <v>-</v>
      </c>
      <c r="J438" s="113">
        <v>697</v>
      </c>
      <c r="K438" s="110" t="s">
        <v>127</v>
      </c>
      <c r="L438" s="110" t="s">
        <v>1901</v>
      </c>
      <c r="M438" s="110" t="s">
        <v>129</v>
      </c>
      <c r="N438" s="110" t="s">
        <v>130</v>
      </c>
      <c r="O438" s="110" t="s">
        <v>1902</v>
      </c>
      <c r="P438" s="110" t="s">
        <v>132</v>
      </c>
      <c r="Q438" s="110" t="s">
        <v>97</v>
      </c>
      <c r="R438" s="121">
        <v>0.60460000000000003</v>
      </c>
      <c r="S438" s="113" t="e">
        <f t="shared" si="12"/>
        <v>#VALUE!</v>
      </c>
      <c r="T438" s="113">
        <f t="shared" si="13"/>
        <v>0</v>
      </c>
    </row>
    <row r="439" spans="1:20" s="109" customFormat="1" x14ac:dyDescent="0.2">
      <c r="A439" s="116"/>
      <c r="B439" s="111" t="s">
        <v>202</v>
      </c>
      <c r="C439" s="110" t="s">
        <v>1903</v>
      </c>
      <c r="D439" s="110" t="s">
        <v>1904</v>
      </c>
      <c r="E439" s="112" t="s">
        <v>1905</v>
      </c>
      <c r="F439" s="111" t="s">
        <v>130</v>
      </c>
      <c r="G439" s="133">
        <v>233</v>
      </c>
      <c r="H439" s="124"/>
      <c r="I439" s="133" t="str">
        <f>IF(H439&gt;0,(#REF!*H439),"-")</f>
        <v>-</v>
      </c>
      <c r="J439" s="113">
        <v>1860</v>
      </c>
      <c r="K439" s="110" t="s">
        <v>127</v>
      </c>
      <c r="L439" s="110" t="s">
        <v>1901</v>
      </c>
      <c r="M439" s="110" t="s">
        <v>129</v>
      </c>
      <c r="N439" s="110" t="s">
        <v>130</v>
      </c>
      <c r="O439" s="110" t="s">
        <v>1906</v>
      </c>
      <c r="P439" s="110" t="s">
        <v>137</v>
      </c>
      <c r="Q439" s="110" t="s">
        <v>96</v>
      </c>
      <c r="R439" s="121">
        <v>0.25879999999999997</v>
      </c>
      <c r="S439" s="113" t="e">
        <f t="shared" si="12"/>
        <v>#VALUE!</v>
      </c>
      <c r="T439" s="113">
        <f t="shared" si="13"/>
        <v>0</v>
      </c>
    </row>
    <row r="440" spans="1:20" s="109" customFormat="1" x14ac:dyDescent="0.2">
      <c r="A440" s="116"/>
      <c r="B440" s="111" t="s">
        <v>207</v>
      </c>
      <c r="C440" s="110" t="s">
        <v>1907</v>
      </c>
      <c r="D440" s="110" t="s">
        <v>1908</v>
      </c>
      <c r="E440" s="112" t="s">
        <v>1909</v>
      </c>
      <c r="F440" s="111" t="s">
        <v>130</v>
      </c>
      <c r="G440" s="133">
        <v>185</v>
      </c>
      <c r="H440" s="124"/>
      <c r="I440" s="133" t="str">
        <f>IF(H440&gt;0,(#REF!*H440),"-")</f>
        <v>-</v>
      </c>
      <c r="J440" s="113">
        <v>1522</v>
      </c>
      <c r="K440" s="110" t="s">
        <v>127</v>
      </c>
      <c r="L440" s="110" t="s">
        <v>1901</v>
      </c>
      <c r="M440" s="110" t="s">
        <v>129</v>
      </c>
      <c r="N440" s="110" t="s">
        <v>130</v>
      </c>
      <c r="O440" s="110" t="s">
        <v>1910</v>
      </c>
      <c r="P440" s="110" t="s">
        <v>137</v>
      </c>
      <c r="Q440" s="110" t="s">
        <v>96</v>
      </c>
      <c r="R440" s="121">
        <v>0.183</v>
      </c>
      <c r="S440" s="113" t="e">
        <f t="shared" si="12"/>
        <v>#VALUE!</v>
      </c>
      <c r="T440" s="113">
        <f t="shared" si="13"/>
        <v>0</v>
      </c>
    </row>
    <row r="441" spans="1:20" s="109" customFormat="1" x14ac:dyDescent="0.2">
      <c r="A441" s="116"/>
      <c r="B441" s="111" t="s">
        <v>202</v>
      </c>
      <c r="C441" s="110" t="s">
        <v>1911</v>
      </c>
      <c r="D441" s="110" t="s">
        <v>1912</v>
      </c>
      <c r="E441" s="112" t="s">
        <v>1913</v>
      </c>
      <c r="F441" s="111" t="s">
        <v>130</v>
      </c>
      <c r="G441" s="133">
        <v>235</v>
      </c>
      <c r="H441" s="124"/>
      <c r="I441" s="133" t="str">
        <f>IF(H441&gt;0,(#REF!*H441),"-")</f>
        <v>-</v>
      </c>
      <c r="J441" s="113">
        <v>1522</v>
      </c>
      <c r="K441" s="110" t="s">
        <v>127</v>
      </c>
      <c r="L441" s="110" t="s">
        <v>1901</v>
      </c>
      <c r="M441" s="110" t="s">
        <v>129</v>
      </c>
      <c r="N441" s="110" t="s">
        <v>130</v>
      </c>
      <c r="O441" s="110" t="s">
        <v>1914</v>
      </c>
      <c r="P441" s="110" t="s">
        <v>137</v>
      </c>
      <c r="Q441" s="110" t="s">
        <v>96</v>
      </c>
      <c r="R441" s="121">
        <v>0.1812</v>
      </c>
      <c r="S441" s="113" t="e">
        <f t="shared" si="12"/>
        <v>#VALUE!</v>
      </c>
      <c r="T441" s="113">
        <f t="shared" si="13"/>
        <v>0</v>
      </c>
    </row>
    <row r="442" spans="1:20" s="109" customFormat="1" x14ac:dyDescent="0.2">
      <c r="A442" s="116"/>
      <c r="B442" s="111"/>
      <c r="C442" s="110" t="s">
        <v>1915</v>
      </c>
      <c r="D442" s="110" t="s">
        <v>1916</v>
      </c>
      <c r="E442" s="112" t="s">
        <v>1917</v>
      </c>
      <c r="F442" s="111" t="s">
        <v>126</v>
      </c>
      <c r="G442" s="133">
        <v>125</v>
      </c>
      <c r="H442" s="124"/>
      <c r="I442" s="133" t="str">
        <f>IF(H442&gt;0,(#REF!*H442),"-")</f>
        <v>-</v>
      </c>
      <c r="J442" s="113">
        <v>398</v>
      </c>
      <c r="K442" s="110" t="s">
        <v>127</v>
      </c>
      <c r="L442" s="110" t="s">
        <v>1901</v>
      </c>
      <c r="M442" s="110" t="s">
        <v>129</v>
      </c>
      <c r="N442" s="110" t="s">
        <v>130</v>
      </c>
      <c r="O442" s="110" t="s">
        <v>1918</v>
      </c>
      <c r="P442" s="110" t="s">
        <v>137</v>
      </c>
      <c r="Q442" s="110" t="s">
        <v>96</v>
      </c>
      <c r="R442" s="121">
        <v>2.7E-2</v>
      </c>
      <c r="S442" s="113" t="e">
        <f t="shared" si="12"/>
        <v>#VALUE!</v>
      </c>
      <c r="T442" s="113">
        <f t="shared" si="13"/>
        <v>0</v>
      </c>
    </row>
    <row r="443" spans="1:20" s="109" customFormat="1" x14ac:dyDescent="0.2">
      <c r="A443" s="116"/>
      <c r="B443" s="111"/>
      <c r="C443" s="110" t="s">
        <v>1919</v>
      </c>
      <c r="D443" s="110" t="s">
        <v>1920</v>
      </c>
      <c r="E443" s="112" t="s">
        <v>1921</v>
      </c>
      <c r="F443" s="111" t="s">
        <v>126</v>
      </c>
      <c r="G443" s="133">
        <v>60</v>
      </c>
      <c r="H443" s="124"/>
      <c r="I443" s="133" t="str">
        <f>IF(H443&gt;0,(#REF!*H443),"-")</f>
        <v>-</v>
      </c>
      <c r="J443" s="113">
        <v>221</v>
      </c>
      <c r="K443" s="110" t="s">
        <v>127</v>
      </c>
      <c r="L443" s="110" t="s">
        <v>1901</v>
      </c>
      <c r="M443" s="110" t="s">
        <v>129</v>
      </c>
      <c r="N443" s="110" t="s">
        <v>130</v>
      </c>
      <c r="O443" s="110" t="s">
        <v>1922</v>
      </c>
      <c r="P443" s="110" t="s">
        <v>400</v>
      </c>
      <c r="Q443" s="110" t="s">
        <v>97</v>
      </c>
      <c r="R443" s="121">
        <v>0.13900000000000001</v>
      </c>
      <c r="S443" s="113" t="e">
        <f t="shared" si="12"/>
        <v>#VALUE!</v>
      </c>
      <c r="T443" s="113">
        <f t="shared" si="13"/>
        <v>0</v>
      </c>
    </row>
    <row r="444" spans="1:20" s="109" customFormat="1" x14ac:dyDescent="0.2">
      <c r="A444" s="116"/>
      <c r="B444" s="111" t="s">
        <v>202</v>
      </c>
      <c r="C444" s="110" t="s">
        <v>1923</v>
      </c>
      <c r="D444" s="110" t="s">
        <v>1924</v>
      </c>
      <c r="E444" s="112" t="s">
        <v>1925</v>
      </c>
      <c r="F444" s="111" t="s">
        <v>130</v>
      </c>
      <c r="G444" s="133">
        <v>215</v>
      </c>
      <c r="H444" s="124"/>
      <c r="I444" s="133" t="str">
        <f>IF(H444&gt;0,(#REF!*H444),"-")</f>
        <v>-</v>
      </c>
      <c r="J444" s="113">
        <v>1384</v>
      </c>
      <c r="K444" s="110" t="s">
        <v>127</v>
      </c>
      <c r="L444" s="110" t="s">
        <v>163</v>
      </c>
      <c r="M444" s="110" t="s">
        <v>129</v>
      </c>
      <c r="N444" s="110" t="s">
        <v>130</v>
      </c>
      <c r="O444" s="110" t="s">
        <v>1926</v>
      </c>
      <c r="P444" s="110" t="s">
        <v>137</v>
      </c>
      <c r="Q444" s="110" t="s">
        <v>96</v>
      </c>
      <c r="R444" s="121">
        <v>0.158</v>
      </c>
      <c r="S444" s="113" t="e">
        <f t="shared" si="12"/>
        <v>#VALUE!</v>
      </c>
      <c r="T444" s="113">
        <f t="shared" si="13"/>
        <v>0</v>
      </c>
    </row>
    <row r="445" spans="1:20" s="109" customFormat="1" x14ac:dyDescent="0.2">
      <c r="A445" s="116"/>
      <c r="B445" s="111" t="s">
        <v>202</v>
      </c>
      <c r="C445" s="110" t="s">
        <v>1927</v>
      </c>
      <c r="D445" s="110" t="s">
        <v>1928</v>
      </c>
      <c r="E445" s="112" t="s">
        <v>1929</v>
      </c>
      <c r="F445" s="111" t="s">
        <v>130</v>
      </c>
      <c r="G445" s="133">
        <v>170</v>
      </c>
      <c r="H445" s="124"/>
      <c r="I445" s="133" t="str">
        <f>IF(H445&gt;0,(#REF!*H445),"-")</f>
        <v>-</v>
      </c>
      <c r="J445" s="113">
        <v>1046</v>
      </c>
      <c r="K445" s="110" t="s">
        <v>127</v>
      </c>
      <c r="L445" s="110" t="s">
        <v>163</v>
      </c>
      <c r="M445" s="110" t="s">
        <v>129</v>
      </c>
      <c r="N445" s="110" t="s">
        <v>130</v>
      </c>
      <c r="O445" s="110" t="s">
        <v>1930</v>
      </c>
      <c r="P445" s="110" t="s">
        <v>137</v>
      </c>
      <c r="Q445" s="110" t="s">
        <v>96</v>
      </c>
      <c r="R445" s="121">
        <v>0.1183</v>
      </c>
      <c r="S445" s="113" t="e">
        <f t="shared" si="12"/>
        <v>#VALUE!</v>
      </c>
      <c r="T445" s="113">
        <f t="shared" si="13"/>
        <v>0</v>
      </c>
    </row>
    <row r="446" spans="1:20" s="109" customFormat="1" x14ac:dyDescent="0.2">
      <c r="A446" s="116"/>
      <c r="B446" s="111"/>
      <c r="C446" s="110" t="s">
        <v>1931</v>
      </c>
      <c r="D446" s="110" t="s">
        <v>1932</v>
      </c>
      <c r="E446" s="112" t="s">
        <v>1933</v>
      </c>
      <c r="F446" s="111" t="s">
        <v>126</v>
      </c>
      <c r="G446" s="133">
        <v>140</v>
      </c>
      <c r="H446" s="124"/>
      <c r="I446" s="133" t="str">
        <f>IF(H446&gt;0,(#REF!*H446),"-")</f>
        <v>-</v>
      </c>
      <c r="J446" s="113">
        <v>700</v>
      </c>
      <c r="K446" s="110" t="s">
        <v>127</v>
      </c>
      <c r="L446" s="110" t="s">
        <v>163</v>
      </c>
      <c r="M446" s="110" t="s">
        <v>129</v>
      </c>
      <c r="N446" s="110" t="s">
        <v>130</v>
      </c>
      <c r="O446" s="110" t="s">
        <v>1934</v>
      </c>
      <c r="P446" s="110" t="s">
        <v>137</v>
      </c>
      <c r="Q446" s="110" t="s">
        <v>96</v>
      </c>
      <c r="R446" s="121">
        <v>7.6999999999999999E-2</v>
      </c>
      <c r="S446" s="113" t="e">
        <f t="shared" si="12"/>
        <v>#VALUE!</v>
      </c>
      <c r="T446" s="113">
        <f t="shared" si="13"/>
        <v>0</v>
      </c>
    </row>
    <row r="447" spans="1:20" s="109" customFormat="1" x14ac:dyDescent="0.2">
      <c r="A447" s="116"/>
      <c r="B447" s="111" t="s">
        <v>202</v>
      </c>
      <c r="C447" s="110" t="s">
        <v>1935</v>
      </c>
      <c r="D447" s="110" t="s">
        <v>1936</v>
      </c>
      <c r="E447" s="112" t="s">
        <v>1937</v>
      </c>
      <c r="F447" s="111" t="s">
        <v>130</v>
      </c>
      <c r="G447" s="133">
        <v>215</v>
      </c>
      <c r="H447" s="124"/>
      <c r="I447" s="133" t="str">
        <f>IF(H447&gt;0,(#REF!*H447),"-")</f>
        <v>-</v>
      </c>
      <c r="J447" s="113">
        <v>1248</v>
      </c>
      <c r="K447" s="110" t="s">
        <v>127</v>
      </c>
      <c r="L447" s="110" t="s">
        <v>163</v>
      </c>
      <c r="M447" s="110" t="s">
        <v>129</v>
      </c>
      <c r="N447" s="110" t="s">
        <v>130</v>
      </c>
      <c r="O447" s="110" t="s">
        <v>1938</v>
      </c>
      <c r="P447" s="110" t="s">
        <v>137</v>
      </c>
      <c r="Q447" s="110" t="s">
        <v>96</v>
      </c>
      <c r="R447" s="121">
        <v>0.191</v>
      </c>
      <c r="S447" s="113" t="e">
        <f t="shared" si="12"/>
        <v>#VALUE!</v>
      </c>
      <c r="T447" s="113">
        <f t="shared" si="13"/>
        <v>0</v>
      </c>
    </row>
    <row r="448" spans="1:20" s="109" customFormat="1" x14ac:dyDescent="0.2">
      <c r="A448" s="116"/>
      <c r="B448" s="111" t="s">
        <v>202</v>
      </c>
      <c r="C448" s="110" t="s">
        <v>1939</v>
      </c>
      <c r="D448" s="110" t="s">
        <v>1940</v>
      </c>
      <c r="E448" s="112" t="s">
        <v>1941</v>
      </c>
      <c r="F448" s="111" t="s">
        <v>130</v>
      </c>
      <c r="G448" s="133">
        <v>215</v>
      </c>
      <c r="H448" s="124"/>
      <c r="I448" s="133" t="str">
        <f>IF(H448&gt;0,(#REF!*H448),"-")</f>
        <v>-</v>
      </c>
      <c r="J448" s="113">
        <v>1619</v>
      </c>
      <c r="K448" s="110" t="s">
        <v>127</v>
      </c>
      <c r="L448" s="110" t="s">
        <v>163</v>
      </c>
      <c r="M448" s="110" t="s">
        <v>129</v>
      </c>
      <c r="N448" s="110" t="s">
        <v>130</v>
      </c>
      <c r="O448" s="110" t="s">
        <v>1942</v>
      </c>
      <c r="P448" s="110" t="s">
        <v>137</v>
      </c>
      <c r="Q448" s="110" t="s">
        <v>96</v>
      </c>
      <c r="R448" s="121">
        <v>0.27600000000000002</v>
      </c>
      <c r="S448" s="113" t="e">
        <f t="shared" si="12"/>
        <v>#VALUE!</v>
      </c>
      <c r="T448" s="113">
        <f t="shared" si="13"/>
        <v>0</v>
      </c>
    </row>
    <row r="449" spans="1:20" s="109" customFormat="1" x14ac:dyDescent="0.2">
      <c r="A449" s="116"/>
      <c r="B449" s="111" t="s">
        <v>207</v>
      </c>
      <c r="C449" s="110" t="s">
        <v>1943</v>
      </c>
      <c r="D449" s="110" t="s">
        <v>1944</v>
      </c>
      <c r="E449" s="112" t="s">
        <v>1945</v>
      </c>
      <c r="F449" s="111" t="s">
        <v>130</v>
      </c>
      <c r="G449" s="133">
        <v>185</v>
      </c>
      <c r="H449" s="124"/>
      <c r="I449" s="133" t="str">
        <f>IF(H449&gt;0,(#REF!*H449),"-")</f>
        <v>-</v>
      </c>
      <c r="J449" s="113">
        <v>1242</v>
      </c>
      <c r="K449" s="110" t="s">
        <v>127</v>
      </c>
      <c r="L449" s="110" t="s">
        <v>163</v>
      </c>
      <c r="M449" s="110" t="s">
        <v>129</v>
      </c>
      <c r="N449" s="110" t="s">
        <v>130</v>
      </c>
      <c r="O449" s="110" t="s">
        <v>1946</v>
      </c>
      <c r="P449" s="110" t="s">
        <v>137</v>
      </c>
      <c r="Q449" s="110" t="s">
        <v>96</v>
      </c>
      <c r="R449" s="121">
        <v>0.183</v>
      </c>
      <c r="S449" s="113" t="e">
        <f t="shared" si="12"/>
        <v>#VALUE!</v>
      </c>
      <c r="T449" s="113">
        <f t="shared" si="13"/>
        <v>0</v>
      </c>
    </row>
    <row r="450" spans="1:20" s="109" customFormat="1" x14ac:dyDescent="0.2">
      <c r="A450" s="116"/>
      <c r="B450" s="111" t="s">
        <v>207</v>
      </c>
      <c r="C450" s="110" t="s">
        <v>1947</v>
      </c>
      <c r="D450" s="110" t="s">
        <v>1948</v>
      </c>
      <c r="E450" s="112" t="s">
        <v>1949</v>
      </c>
      <c r="F450" s="111" t="s">
        <v>130</v>
      </c>
      <c r="G450" s="133">
        <v>155</v>
      </c>
      <c r="H450" s="124"/>
      <c r="I450" s="133" t="str">
        <f>IF(H450&gt;0,(#REF!*H450),"-")</f>
        <v>-</v>
      </c>
      <c r="J450" s="113">
        <v>641</v>
      </c>
      <c r="K450" s="110" t="s">
        <v>127</v>
      </c>
      <c r="L450" s="110" t="s">
        <v>163</v>
      </c>
      <c r="M450" s="110" t="s">
        <v>129</v>
      </c>
      <c r="N450" s="110" t="s">
        <v>130</v>
      </c>
      <c r="O450" s="110" t="s">
        <v>1950</v>
      </c>
      <c r="P450" s="110" t="s">
        <v>132</v>
      </c>
      <c r="Q450" s="110" t="s">
        <v>97</v>
      </c>
      <c r="R450" s="121">
        <v>0.51400000000000001</v>
      </c>
      <c r="S450" s="113" t="e">
        <f t="shared" ref="S450:S513" si="14">Q450*H450</f>
        <v>#VALUE!</v>
      </c>
      <c r="T450" s="113">
        <f t="shared" ref="T450:T513" si="15">R450*H450</f>
        <v>0</v>
      </c>
    </row>
    <row r="451" spans="1:20" s="109" customFormat="1" x14ac:dyDescent="0.2">
      <c r="A451" s="116"/>
      <c r="B451" s="111"/>
      <c r="C451" s="110" t="s">
        <v>1951</v>
      </c>
      <c r="D451" s="110" t="s">
        <v>1952</v>
      </c>
      <c r="E451" s="112" t="s">
        <v>1953</v>
      </c>
      <c r="F451" s="111" t="s">
        <v>126</v>
      </c>
      <c r="G451" s="133">
        <v>60</v>
      </c>
      <c r="H451" s="124"/>
      <c r="I451" s="133" t="str">
        <f>IF(H451&gt;0,(#REF!*H451),"-")</f>
        <v>-</v>
      </c>
      <c r="J451" s="113">
        <v>205</v>
      </c>
      <c r="K451" s="110" t="s">
        <v>127</v>
      </c>
      <c r="L451" s="110" t="s">
        <v>163</v>
      </c>
      <c r="M451" s="110" t="s">
        <v>129</v>
      </c>
      <c r="N451" s="110" t="s">
        <v>130</v>
      </c>
      <c r="O451" s="110" t="s">
        <v>1954</v>
      </c>
      <c r="P451" s="110" t="s">
        <v>400</v>
      </c>
      <c r="Q451" s="110" t="s">
        <v>97</v>
      </c>
      <c r="R451" s="121">
        <v>0.15</v>
      </c>
      <c r="S451" s="113" t="e">
        <f t="shared" si="14"/>
        <v>#VALUE!</v>
      </c>
      <c r="T451" s="113">
        <f t="shared" si="15"/>
        <v>0</v>
      </c>
    </row>
    <row r="452" spans="1:20" s="109" customFormat="1" x14ac:dyDescent="0.2">
      <c r="A452" s="116"/>
      <c r="B452" s="111" t="s">
        <v>207</v>
      </c>
      <c r="C452" s="110" t="s">
        <v>1955</v>
      </c>
      <c r="D452" s="110" t="s">
        <v>1956</v>
      </c>
      <c r="E452" s="112" t="s">
        <v>1957</v>
      </c>
      <c r="F452" s="111" t="s">
        <v>130</v>
      </c>
      <c r="G452" s="133">
        <v>118</v>
      </c>
      <c r="H452" s="124"/>
      <c r="I452" s="133" t="str">
        <f>IF(H452&gt;0,(#REF!*H452),"-")</f>
        <v>-</v>
      </c>
      <c r="J452" s="113">
        <v>398</v>
      </c>
      <c r="K452" s="110" t="s">
        <v>127</v>
      </c>
      <c r="L452" s="110" t="s">
        <v>163</v>
      </c>
      <c r="M452" s="110" t="s">
        <v>129</v>
      </c>
      <c r="N452" s="110" t="s">
        <v>130</v>
      </c>
      <c r="O452" s="110" t="s">
        <v>1958</v>
      </c>
      <c r="P452" s="110" t="s">
        <v>137</v>
      </c>
      <c r="Q452" s="110" t="s">
        <v>96</v>
      </c>
      <c r="R452" s="121">
        <v>2.3199999999999998E-2</v>
      </c>
      <c r="S452" s="113" t="e">
        <f t="shared" si="14"/>
        <v>#VALUE!</v>
      </c>
      <c r="T452" s="113">
        <f t="shared" si="15"/>
        <v>0</v>
      </c>
    </row>
    <row r="453" spans="1:20" s="109" customFormat="1" x14ac:dyDescent="0.2">
      <c r="A453" s="116"/>
      <c r="B453" s="111" t="s">
        <v>207</v>
      </c>
      <c r="C453" s="110" t="s">
        <v>1959</v>
      </c>
      <c r="D453" s="110" t="s">
        <v>1960</v>
      </c>
      <c r="E453" s="112" t="s">
        <v>1961</v>
      </c>
      <c r="F453" s="111" t="s">
        <v>130</v>
      </c>
      <c r="G453" s="133">
        <v>118</v>
      </c>
      <c r="H453" s="124"/>
      <c r="I453" s="133" t="str">
        <f>IF(H453&gt;0,(#REF!*H453),"-")</f>
        <v>-</v>
      </c>
      <c r="J453" s="113">
        <v>398</v>
      </c>
      <c r="K453" s="110" t="s">
        <v>127</v>
      </c>
      <c r="L453" s="110" t="s">
        <v>163</v>
      </c>
      <c r="M453" s="110" t="s">
        <v>129</v>
      </c>
      <c r="N453" s="110" t="s">
        <v>130</v>
      </c>
      <c r="O453" s="110" t="s">
        <v>1962</v>
      </c>
      <c r="P453" s="110" t="s">
        <v>137</v>
      </c>
      <c r="Q453" s="110" t="s">
        <v>96</v>
      </c>
      <c r="R453" s="121">
        <v>2.18E-2</v>
      </c>
      <c r="S453" s="113" t="e">
        <f t="shared" si="14"/>
        <v>#VALUE!</v>
      </c>
      <c r="T453" s="113">
        <f t="shared" si="15"/>
        <v>0</v>
      </c>
    </row>
    <row r="454" spans="1:20" s="109" customFormat="1" x14ac:dyDescent="0.2">
      <c r="A454" s="116"/>
      <c r="B454" s="111" t="s">
        <v>207</v>
      </c>
      <c r="C454" s="110" t="s">
        <v>1963</v>
      </c>
      <c r="D454" s="110" t="s">
        <v>1964</v>
      </c>
      <c r="E454" s="112" t="s">
        <v>1965</v>
      </c>
      <c r="F454" s="111" t="s">
        <v>130</v>
      </c>
      <c r="G454" s="133">
        <v>118</v>
      </c>
      <c r="H454" s="124"/>
      <c r="I454" s="133" t="str">
        <f>IF(H454&gt;0,(#REF!*H454),"-")</f>
        <v>-</v>
      </c>
      <c r="J454" s="113">
        <v>398</v>
      </c>
      <c r="K454" s="110" t="s">
        <v>127</v>
      </c>
      <c r="L454" s="110" t="s">
        <v>163</v>
      </c>
      <c r="M454" s="110" t="s">
        <v>129</v>
      </c>
      <c r="N454" s="110" t="s">
        <v>130</v>
      </c>
      <c r="O454" s="110" t="s">
        <v>1966</v>
      </c>
      <c r="P454" s="110" t="s">
        <v>137</v>
      </c>
      <c r="Q454" s="110" t="s">
        <v>96</v>
      </c>
      <c r="R454" s="121">
        <v>2.4199999999999999E-2</v>
      </c>
      <c r="S454" s="113" t="e">
        <f t="shared" si="14"/>
        <v>#VALUE!</v>
      </c>
      <c r="T454" s="113">
        <f t="shared" si="15"/>
        <v>0</v>
      </c>
    </row>
    <row r="455" spans="1:20" s="109" customFormat="1" x14ac:dyDescent="0.2">
      <c r="A455" s="116"/>
      <c r="B455" s="111"/>
      <c r="C455" s="110" t="s">
        <v>1967</v>
      </c>
      <c r="D455" s="110" t="s">
        <v>1968</v>
      </c>
      <c r="E455" s="112" t="s">
        <v>1969</v>
      </c>
      <c r="F455" s="111" t="s">
        <v>126</v>
      </c>
      <c r="G455" s="133">
        <v>200</v>
      </c>
      <c r="H455" s="124"/>
      <c r="I455" s="133" t="str">
        <f>IF(H455&gt;0,(#REF!*H455),"-")</f>
        <v>-</v>
      </c>
      <c r="J455" s="113">
        <v>1104</v>
      </c>
      <c r="K455" s="110" t="s">
        <v>127</v>
      </c>
      <c r="L455" s="110" t="s">
        <v>163</v>
      </c>
      <c r="M455" s="110" t="s">
        <v>129</v>
      </c>
      <c r="N455" s="110" t="s">
        <v>130</v>
      </c>
      <c r="O455" s="110" t="s">
        <v>1970</v>
      </c>
      <c r="P455" s="110" t="s">
        <v>137</v>
      </c>
      <c r="Q455" s="110" t="s">
        <v>96</v>
      </c>
      <c r="R455" s="121">
        <v>0.121</v>
      </c>
      <c r="S455" s="113" t="e">
        <f t="shared" si="14"/>
        <v>#VALUE!</v>
      </c>
      <c r="T455" s="113">
        <f t="shared" si="15"/>
        <v>0</v>
      </c>
    </row>
    <row r="456" spans="1:20" s="109" customFormat="1" x14ac:dyDescent="0.2">
      <c r="A456" s="116"/>
      <c r="B456" s="111" t="s">
        <v>207</v>
      </c>
      <c r="C456" s="110" t="s">
        <v>1971</v>
      </c>
      <c r="D456" s="110" t="s">
        <v>1972</v>
      </c>
      <c r="E456" s="112" t="s">
        <v>1973</v>
      </c>
      <c r="F456" s="111" t="s">
        <v>130</v>
      </c>
      <c r="G456" s="133">
        <v>155</v>
      </c>
      <c r="H456" s="124"/>
      <c r="I456" s="133" t="str">
        <f>IF(H456&gt;0,(#REF!*H456),"-")</f>
        <v>-</v>
      </c>
      <c r="J456" s="113">
        <v>762</v>
      </c>
      <c r="K456" s="110" t="s">
        <v>127</v>
      </c>
      <c r="L456" s="110" t="s">
        <v>163</v>
      </c>
      <c r="M456" s="110" t="s">
        <v>129</v>
      </c>
      <c r="N456" s="110" t="s">
        <v>130</v>
      </c>
      <c r="O456" s="110" t="s">
        <v>1974</v>
      </c>
      <c r="P456" s="110" t="s">
        <v>132</v>
      </c>
      <c r="Q456" s="110" t="s">
        <v>97</v>
      </c>
      <c r="R456" s="121">
        <v>0.67200000000000004</v>
      </c>
      <c r="S456" s="113" t="e">
        <f t="shared" si="14"/>
        <v>#VALUE!</v>
      </c>
      <c r="T456" s="113">
        <f t="shared" si="15"/>
        <v>0</v>
      </c>
    </row>
    <row r="457" spans="1:20" s="109" customFormat="1" x14ac:dyDescent="0.2">
      <c r="A457" s="116"/>
      <c r="B457" s="111"/>
      <c r="C457" s="110" t="s">
        <v>1975</v>
      </c>
      <c r="D457" s="110" t="s">
        <v>1976</v>
      </c>
      <c r="E457" s="112" t="s">
        <v>1977</v>
      </c>
      <c r="F457" s="111" t="s">
        <v>126</v>
      </c>
      <c r="G457" s="133">
        <v>60</v>
      </c>
      <c r="H457" s="124"/>
      <c r="I457" s="133" t="str">
        <f>IF(H457&gt;0,(#REF!*H457),"-")</f>
        <v>-</v>
      </c>
      <c r="J457" s="113">
        <v>236</v>
      </c>
      <c r="K457" s="110" t="s">
        <v>127</v>
      </c>
      <c r="L457" s="110" t="s">
        <v>163</v>
      </c>
      <c r="M457" s="110" t="s">
        <v>129</v>
      </c>
      <c r="N457" s="110" t="s">
        <v>130</v>
      </c>
      <c r="O457" s="110" t="s">
        <v>1978</v>
      </c>
      <c r="P457" s="110" t="s">
        <v>400</v>
      </c>
      <c r="Q457" s="110" t="s">
        <v>97</v>
      </c>
      <c r="R457" s="121">
        <v>0.17699999999999999</v>
      </c>
      <c r="S457" s="113" t="e">
        <f t="shared" si="14"/>
        <v>#VALUE!</v>
      </c>
      <c r="T457" s="113">
        <f t="shared" si="15"/>
        <v>0</v>
      </c>
    </row>
    <row r="458" spans="1:20" s="109" customFormat="1" x14ac:dyDescent="0.2">
      <c r="A458" s="116"/>
      <c r="B458" s="111"/>
      <c r="C458" s="110" t="s">
        <v>1979</v>
      </c>
      <c r="D458" s="110" t="s">
        <v>1980</v>
      </c>
      <c r="E458" s="112" t="s">
        <v>1981</v>
      </c>
      <c r="F458" s="111" t="s">
        <v>126</v>
      </c>
      <c r="G458" s="133">
        <v>280</v>
      </c>
      <c r="H458" s="124"/>
      <c r="I458" s="133" t="str">
        <f>IF(H458&gt;0,(#REF!*H458),"-")</f>
        <v>-</v>
      </c>
      <c r="J458" s="113">
        <v>1971</v>
      </c>
      <c r="K458" s="110" t="s">
        <v>127</v>
      </c>
      <c r="L458" s="110" t="s">
        <v>163</v>
      </c>
      <c r="M458" s="110" t="s">
        <v>129</v>
      </c>
      <c r="N458" s="110" t="s">
        <v>130</v>
      </c>
      <c r="O458" s="110" t="s">
        <v>1982</v>
      </c>
      <c r="P458" s="110" t="s">
        <v>137</v>
      </c>
      <c r="Q458" s="110" t="s">
        <v>96</v>
      </c>
      <c r="R458" s="121">
        <v>0.27100000000000002</v>
      </c>
      <c r="S458" s="113" t="e">
        <f t="shared" si="14"/>
        <v>#VALUE!</v>
      </c>
      <c r="T458" s="113">
        <f t="shared" si="15"/>
        <v>0</v>
      </c>
    </row>
    <row r="459" spans="1:20" s="109" customFormat="1" x14ac:dyDescent="0.2">
      <c r="A459" s="116"/>
      <c r="B459" s="111"/>
      <c r="C459" s="110" t="s">
        <v>1983</v>
      </c>
      <c r="D459" s="110" t="s">
        <v>1984</v>
      </c>
      <c r="E459" s="112" t="s">
        <v>1985</v>
      </c>
      <c r="F459" s="111" t="s">
        <v>126</v>
      </c>
      <c r="G459" s="133">
        <v>620</v>
      </c>
      <c r="H459" s="124"/>
      <c r="I459" s="133" t="str">
        <f>IF(H459&gt;0,(#REF!*H459),"-")</f>
        <v>-</v>
      </c>
      <c r="J459" s="113">
        <v>4624</v>
      </c>
      <c r="K459" s="110" t="s">
        <v>127</v>
      </c>
      <c r="L459" s="110" t="s">
        <v>163</v>
      </c>
      <c r="M459" s="110" t="s">
        <v>129</v>
      </c>
      <c r="N459" s="110" t="s">
        <v>130</v>
      </c>
      <c r="O459" s="110" t="s">
        <v>1986</v>
      </c>
      <c r="P459" s="110" t="s">
        <v>137</v>
      </c>
      <c r="Q459" s="110" t="s">
        <v>96</v>
      </c>
      <c r="R459" s="121">
        <v>0.56100000000000005</v>
      </c>
      <c r="S459" s="113" t="e">
        <f t="shared" si="14"/>
        <v>#VALUE!</v>
      </c>
      <c r="T459" s="113">
        <f t="shared" si="15"/>
        <v>0</v>
      </c>
    </row>
    <row r="460" spans="1:20" s="109" customFormat="1" x14ac:dyDescent="0.2">
      <c r="A460" s="116"/>
      <c r="B460" s="111" t="s">
        <v>289</v>
      </c>
      <c r="C460" s="110" t="s">
        <v>1987</v>
      </c>
      <c r="D460" s="110" t="s">
        <v>1988</v>
      </c>
      <c r="E460" s="112" t="s">
        <v>1989</v>
      </c>
      <c r="F460" s="111" t="s">
        <v>130</v>
      </c>
      <c r="G460" s="133">
        <v>589</v>
      </c>
      <c r="H460" s="124"/>
      <c r="I460" s="133" t="str">
        <f>IF(H460&gt;0,(#REF!*H460),"-")</f>
        <v>-</v>
      </c>
      <c r="J460" s="113">
        <v>6217</v>
      </c>
      <c r="K460" s="110" t="s">
        <v>127</v>
      </c>
      <c r="L460" s="110" t="s">
        <v>163</v>
      </c>
      <c r="M460" s="110" t="s">
        <v>129</v>
      </c>
      <c r="N460" s="110" t="s">
        <v>130</v>
      </c>
      <c r="O460" s="110" t="s">
        <v>1990</v>
      </c>
      <c r="P460" s="110" t="s">
        <v>137</v>
      </c>
      <c r="Q460" s="110" t="s">
        <v>96</v>
      </c>
      <c r="R460" s="121">
        <v>0.85640000000000005</v>
      </c>
      <c r="S460" s="113" t="e">
        <f t="shared" si="14"/>
        <v>#VALUE!</v>
      </c>
      <c r="T460" s="113">
        <f t="shared" si="15"/>
        <v>0</v>
      </c>
    </row>
    <row r="461" spans="1:20" s="109" customFormat="1" x14ac:dyDescent="0.2">
      <c r="A461" s="116"/>
      <c r="B461" s="111" t="s">
        <v>207</v>
      </c>
      <c r="C461" s="110" t="s">
        <v>1991</v>
      </c>
      <c r="D461" s="110" t="s">
        <v>1992</v>
      </c>
      <c r="E461" s="112" t="s">
        <v>1993</v>
      </c>
      <c r="F461" s="111" t="s">
        <v>130</v>
      </c>
      <c r="G461" s="133">
        <v>620</v>
      </c>
      <c r="H461" s="124"/>
      <c r="I461" s="133" t="str">
        <f>IF(H461&gt;0,(#REF!*H461),"-")</f>
        <v>-</v>
      </c>
      <c r="J461" s="113">
        <v>4624</v>
      </c>
      <c r="K461" s="110" t="s">
        <v>127</v>
      </c>
      <c r="L461" s="110" t="s">
        <v>163</v>
      </c>
      <c r="M461" s="110" t="s">
        <v>129</v>
      </c>
      <c r="N461" s="110" t="s">
        <v>130</v>
      </c>
      <c r="O461" s="110" t="s">
        <v>1994</v>
      </c>
      <c r="P461" s="110" t="s">
        <v>137</v>
      </c>
      <c r="Q461" s="110" t="s">
        <v>96</v>
      </c>
      <c r="R461" s="121">
        <v>0.55700000000000005</v>
      </c>
      <c r="S461" s="113" t="e">
        <f t="shared" si="14"/>
        <v>#VALUE!</v>
      </c>
      <c r="T461" s="113">
        <f t="shared" si="15"/>
        <v>0</v>
      </c>
    </row>
    <row r="462" spans="1:20" s="109" customFormat="1" x14ac:dyDescent="0.2">
      <c r="A462" s="116"/>
      <c r="B462" s="111"/>
      <c r="C462" s="110" t="s">
        <v>1995</v>
      </c>
      <c r="D462" s="110" t="s">
        <v>1996</v>
      </c>
      <c r="E462" s="112" t="s">
        <v>1997</v>
      </c>
      <c r="F462" s="111" t="s">
        <v>126</v>
      </c>
      <c r="G462" s="133">
        <v>280</v>
      </c>
      <c r="H462" s="124"/>
      <c r="I462" s="133" t="str">
        <f>IF(H462&gt;0,(#REF!*H462),"-")</f>
        <v>-</v>
      </c>
      <c r="J462" s="113">
        <v>1860</v>
      </c>
      <c r="K462" s="110" t="s">
        <v>127</v>
      </c>
      <c r="L462" s="110" t="s">
        <v>163</v>
      </c>
      <c r="M462" s="110" t="s">
        <v>129</v>
      </c>
      <c r="N462" s="110" t="s">
        <v>130</v>
      </c>
      <c r="O462" s="110" t="s">
        <v>1998</v>
      </c>
      <c r="P462" s="110" t="s">
        <v>137</v>
      </c>
      <c r="Q462" s="110" t="s">
        <v>96</v>
      </c>
      <c r="R462" s="121">
        <v>0.26600000000000001</v>
      </c>
      <c r="S462" s="113" t="e">
        <f t="shared" si="14"/>
        <v>#VALUE!</v>
      </c>
      <c r="T462" s="113">
        <f t="shared" si="15"/>
        <v>0</v>
      </c>
    </row>
    <row r="463" spans="1:20" s="109" customFormat="1" x14ac:dyDescent="0.2">
      <c r="A463" s="116"/>
      <c r="B463" s="111" t="s">
        <v>207</v>
      </c>
      <c r="C463" s="110" t="s">
        <v>1999</v>
      </c>
      <c r="D463" s="110" t="s">
        <v>2000</v>
      </c>
      <c r="E463" s="112" t="s">
        <v>2001</v>
      </c>
      <c r="F463" s="111" t="s">
        <v>130</v>
      </c>
      <c r="G463" s="133">
        <v>155</v>
      </c>
      <c r="H463" s="124"/>
      <c r="I463" s="133" t="str">
        <f>IF(H463&gt;0,(#REF!*H463),"-")</f>
        <v>-</v>
      </c>
      <c r="J463" s="113">
        <v>713</v>
      </c>
      <c r="K463" s="110" t="s">
        <v>127</v>
      </c>
      <c r="L463" s="110" t="s">
        <v>2002</v>
      </c>
      <c r="M463" s="110" t="s">
        <v>129</v>
      </c>
      <c r="N463" s="110" t="s">
        <v>130</v>
      </c>
      <c r="O463" s="110" t="s">
        <v>2003</v>
      </c>
      <c r="P463" s="110" t="s">
        <v>132</v>
      </c>
      <c r="Q463" s="110" t="s">
        <v>97</v>
      </c>
      <c r="R463" s="121">
        <v>0.60899999999999999</v>
      </c>
      <c r="S463" s="113" t="e">
        <f t="shared" si="14"/>
        <v>#VALUE!</v>
      </c>
      <c r="T463" s="113">
        <f t="shared" si="15"/>
        <v>0</v>
      </c>
    </row>
    <row r="464" spans="1:20" s="109" customFormat="1" x14ac:dyDescent="0.2">
      <c r="A464" s="116"/>
      <c r="B464" s="111"/>
      <c r="C464" s="110" t="s">
        <v>2004</v>
      </c>
      <c r="D464" s="110" t="s">
        <v>2005</v>
      </c>
      <c r="E464" s="112" t="s">
        <v>2006</v>
      </c>
      <c r="F464" s="111" t="s">
        <v>126</v>
      </c>
      <c r="G464" s="133">
        <v>60</v>
      </c>
      <c r="H464" s="124"/>
      <c r="I464" s="133" t="str">
        <f>IF(H464&gt;0,(#REF!*H464),"-")</f>
        <v>-</v>
      </c>
      <c r="J464" s="113">
        <v>221</v>
      </c>
      <c r="K464" s="110" t="s">
        <v>127</v>
      </c>
      <c r="L464" s="110" t="s">
        <v>2002</v>
      </c>
      <c r="M464" s="110" t="s">
        <v>129</v>
      </c>
      <c r="N464" s="110" t="s">
        <v>130</v>
      </c>
      <c r="O464" s="110" t="s">
        <v>2007</v>
      </c>
      <c r="P464" s="110" t="s">
        <v>400</v>
      </c>
      <c r="Q464" s="110" t="s">
        <v>97</v>
      </c>
      <c r="R464" s="121">
        <v>0.16800000000000001</v>
      </c>
      <c r="S464" s="113" t="e">
        <f t="shared" si="14"/>
        <v>#VALUE!</v>
      </c>
      <c r="T464" s="113">
        <f t="shared" si="15"/>
        <v>0</v>
      </c>
    </row>
    <row r="465" spans="1:20" s="109" customFormat="1" x14ac:dyDescent="0.2">
      <c r="A465" s="116"/>
      <c r="B465" s="111" t="s">
        <v>207</v>
      </c>
      <c r="C465" s="110" t="s">
        <v>2008</v>
      </c>
      <c r="D465" s="110" t="s">
        <v>2009</v>
      </c>
      <c r="E465" s="112" t="s">
        <v>2010</v>
      </c>
      <c r="F465" s="111" t="s">
        <v>130</v>
      </c>
      <c r="G465" s="133">
        <v>140</v>
      </c>
      <c r="H465" s="124"/>
      <c r="I465" s="133" t="str">
        <f>IF(H465&gt;0,(#REF!*H465),"-")</f>
        <v>-</v>
      </c>
      <c r="J465" s="113">
        <v>1046</v>
      </c>
      <c r="K465" s="110" t="s">
        <v>127</v>
      </c>
      <c r="L465" s="110" t="s">
        <v>2002</v>
      </c>
      <c r="M465" s="110" t="s">
        <v>129</v>
      </c>
      <c r="N465" s="110" t="s">
        <v>130</v>
      </c>
      <c r="O465" s="110" t="s">
        <v>2011</v>
      </c>
      <c r="P465" s="110" t="s">
        <v>137</v>
      </c>
      <c r="Q465" s="110" t="s">
        <v>96</v>
      </c>
      <c r="R465" s="121">
        <v>0.15</v>
      </c>
      <c r="S465" s="113" t="e">
        <f t="shared" si="14"/>
        <v>#VALUE!</v>
      </c>
      <c r="T465" s="113">
        <f t="shared" si="15"/>
        <v>0</v>
      </c>
    </row>
    <row r="466" spans="1:20" s="109" customFormat="1" x14ac:dyDescent="0.2">
      <c r="A466" s="116"/>
      <c r="B466" s="111" t="s">
        <v>202</v>
      </c>
      <c r="C466" s="110" t="s">
        <v>2012</v>
      </c>
      <c r="D466" s="110" t="s">
        <v>2013</v>
      </c>
      <c r="E466" s="112" t="s">
        <v>2014</v>
      </c>
      <c r="F466" s="111" t="s">
        <v>130</v>
      </c>
      <c r="G466" s="133">
        <v>280</v>
      </c>
      <c r="H466" s="124"/>
      <c r="I466" s="133" t="str">
        <f>IF(H466&gt;0,(#REF!*H466),"-")</f>
        <v>-</v>
      </c>
      <c r="J466" s="113">
        <v>4050</v>
      </c>
      <c r="K466" s="110" t="s">
        <v>127</v>
      </c>
      <c r="L466" s="110" t="s">
        <v>2002</v>
      </c>
      <c r="M466" s="110" t="s">
        <v>129</v>
      </c>
      <c r="N466" s="110" t="s">
        <v>130</v>
      </c>
      <c r="O466" s="110" t="s">
        <v>2015</v>
      </c>
      <c r="P466" s="110" t="s">
        <v>137</v>
      </c>
      <c r="Q466" s="110" t="s">
        <v>96</v>
      </c>
      <c r="R466" s="121">
        <v>0.43099999999999999</v>
      </c>
      <c r="S466" s="113" t="e">
        <f t="shared" si="14"/>
        <v>#VALUE!</v>
      </c>
      <c r="T466" s="113">
        <f t="shared" si="15"/>
        <v>0</v>
      </c>
    </row>
    <row r="467" spans="1:20" s="109" customFormat="1" x14ac:dyDescent="0.2">
      <c r="A467" s="116"/>
      <c r="B467" s="111"/>
      <c r="C467" s="110" t="s">
        <v>2016</v>
      </c>
      <c r="D467" s="110" t="s">
        <v>2017</v>
      </c>
      <c r="E467" s="112" t="s">
        <v>2018</v>
      </c>
      <c r="F467" s="111" t="s">
        <v>126</v>
      </c>
      <c r="G467" s="133">
        <v>110</v>
      </c>
      <c r="H467" s="124"/>
      <c r="I467" s="133" t="str">
        <f>IF(H467&gt;0,(#REF!*H467),"-")</f>
        <v>-</v>
      </c>
      <c r="J467" s="113">
        <v>398</v>
      </c>
      <c r="K467" s="110" t="s">
        <v>127</v>
      </c>
      <c r="L467" s="110" t="s">
        <v>2002</v>
      </c>
      <c r="M467" s="110" t="s">
        <v>129</v>
      </c>
      <c r="N467" s="110" t="s">
        <v>130</v>
      </c>
      <c r="O467" s="110" t="s">
        <v>2019</v>
      </c>
      <c r="P467" s="110" t="s">
        <v>137</v>
      </c>
      <c r="Q467" s="110" t="s">
        <v>96</v>
      </c>
      <c r="R467" s="121">
        <v>2.4400000000000002E-2</v>
      </c>
      <c r="S467" s="113" t="e">
        <f t="shared" si="14"/>
        <v>#VALUE!</v>
      </c>
      <c r="T467" s="113">
        <f t="shared" si="15"/>
        <v>0</v>
      </c>
    </row>
    <row r="468" spans="1:20" s="109" customFormat="1" x14ac:dyDescent="0.2">
      <c r="A468" s="116"/>
      <c r="B468" s="111" t="s">
        <v>207</v>
      </c>
      <c r="C468" s="110" t="s">
        <v>2020</v>
      </c>
      <c r="D468" s="110" t="s">
        <v>2021</v>
      </c>
      <c r="E468" s="112" t="s">
        <v>2022</v>
      </c>
      <c r="F468" s="111" t="s">
        <v>130</v>
      </c>
      <c r="G468" s="133">
        <v>50</v>
      </c>
      <c r="H468" s="124"/>
      <c r="I468" s="133" t="str">
        <f>IF(H468&gt;0,(#REF!*H468),"-")</f>
        <v>-</v>
      </c>
      <c r="J468" s="113">
        <v>398</v>
      </c>
      <c r="K468" s="110" t="s">
        <v>127</v>
      </c>
      <c r="L468" s="110" t="s">
        <v>2002</v>
      </c>
      <c r="M468" s="110" t="s">
        <v>129</v>
      </c>
      <c r="N468" s="110" t="s">
        <v>130</v>
      </c>
      <c r="O468" s="110" t="s">
        <v>2023</v>
      </c>
      <c r="P468" s="110" t="s">
        <v>137</v>
      </c>
      <c r="Q468" s="110" t="s">
        <v>96</v>
      </c>
      <c r="R468" s="121">
        <v>0.02</v>
      </c>
      <c r="S468" s="113" t="e">
        <f t="shared" si="14"/>
        <v>#VALUE!</v>
      </c>
      <c r="T468" s="113">
        <f t="shared" si="15"/>
        <v>0</v>
      </c>
    </row>
    <row r="469" spans="1:20" s="109" customFormat="1" x14ac:dyDescent="0.2">
      <c r="A469" s="116"/>
      <c r="B469" s="111" t="s">
        <v>202</v>
      </c>
      <c r="C469" s="110" t="s">
        <v>2024</v>
      </c>
      <c r="D469" s="110" t="s">
        <v>2025</v>
      </c>
      <c r="E469" s="112" t="s">
        <v>2026</v>
      </c>
      <c r="F469" s="111" t="s">
        <v>130</v>
      </c>
      <c r="G469" s="133">
        <v>370</v>
      </c>
      <c r="H469" s="124"/>
      <c r="I469" s="133" t="str">
        <f>IF(H469&gt;0,(#REF!*H469),"-")</f>
        <v>-</v>
      </c>
      <c r="J469" s="113">
        <v>3375</v>
      </c>
      <c r="K469" s="110" t="s">
        <v>127</v>
      </c>
      <c r="L469" s="110" t="s">
        <v>2002</v>
      </c>
      <c r="M469" s="110" t="s">
        <v>129</v>
      </c>
      <c r="N469" s="110" t="s">
        <v>130</v>
      </c>
      <c r="O469" s="110" t="s">
        <v>2027</v>
      </c>
      <c r="P469" s="110" t="s">
        <v>137</v>
      </c>
      <c r="Q469" s="110" t="s">
        <v>96</v>
      </c>
      <c r="R469" s="121">
        <v>0.505</v>
      </c>
      <c r="S469" s="113" t="e">
        <f t="shared" si="14"/>
        <v>#VALUE!</v>
      </c>
      <c r="T469" s="113">
        <f t="shared" si="15"/>
        <v>0</v>
      </c>
    </row>
    <row r="470" spans="1:20" s="109" customFormat="1" x14ac:dyDescent="0.2">
      <c r="A470" s="116"/>
      <c r="B470" s="111" t="s">
        <v>207</v>
      </c>
      <c r="C470" s="110" t="s">
        <v>2028</v>
      </c>
      <c r="D470" s="110" t="s">
        <v>2029</v>
      </c>
      <c r="E470" s="112" t="s">
        <v>2030</v>
      </c>
      <c r="F470" s="111" t="s">
        <v>130</v>
      </c>
      <c r="G470" s="133">
        <v>155</v>
      </c>
      <c r="H470" s="124"/>
      <c r="I470" s="133" t="str">
        <f>IF(H470&gt;0,(#REF!*H470),"-")</f>
        <v>-</v>
      </c>
      <c r="J470" s="113">
        <v>824</v>
      </c>
      <c r="K470" s="110" t="s">
        <v>127</v>
      </c>
      <c r="L470" s="110" t="s">
        <v>2031</v>
      </c>
      <c r="M470" s="110" t="s">
        <v>129</v>
      </c>
      <c r="N470" s="110" t="s">
        <v>130</v>
      </c>
      <c r="O470" s="110" t="s">
        <v>2032</v>
      </c>
      <c r="P470" s="110" t="s">
        <v>132</v>
      </c>
      <c r="Q470" s="110" t="s">
        <v>97</v>
      </c>
      <c r="R470" s="121">
        <v>0.64700000000000002</v>
      </c>
      <c r="S470" s="113" t="e">
        <f t="shared" si="14"/>
        <v>#VALUE!</v>
      </c>
      <c r="T470" s="113">
        <f t="shared" si="15"/>
        <v>0</v>
      </c>
    </row>
    <row r="471" spans="1:20" s="109" customFormat="1" x14ac:dyDescent="0.2">
      <c r="A471" s="116"/>
      <c r="B471" s="111"/>
      <c r="C471" s="110" t="s">
        <v>2033</v>
      </c>
      <c r="D471" s="110" t="s">
        <v>2034</v>
      </c>
      <c r="E471" s="112" t="s">
        <v>2035</v>
      </c>
      <c r="F471" s="111" t="s">
        <v>126</v>
      </c>
      <c r="G471" s="133">
        <v>60</v>
      </c>
      <c r="H471" s="124"/>
      <c r="I471" s="133" t="str">
        <f>IF(H471&gt;0,(#REF!*H471),"-")</f>
        <v>-</v>
      </c>
      <c r="J471" s="113">
        <v>286</v>
      </c>
      <c r="K471" s="110" t="s">
        <v>127</v>
      </c>
      <c r="L471" s="110" t="s">
        <v>2031</v>
      </c>
      <c r="M471" s="110" t="s">
        <v>129</v>
      </c>
      <c r="N471" s="110" t="s">
        <v>130</v>
      </c>
      <c r="O471" s="110" t="s">
        <v>2036</v>
      </c>
      <c r="P471" s="110" t="s">
        <v>400</v>
      </c>
      <c r="Q471" s="110" t="s">
        <v>97</v>
      </c>
      <c r="R471" s="121">
        <v>0.17</v>
      </c>
      <c r="S471" s="113" t="e">
        <f t="shared" si="14"/>
        <v>#VALUE!</v>
      </c>
      <c r="T471" s="113">
        <f t="shared" si="15"/>
        <v>0</v>
      </c>
    </row>
    <row r="472" spans="1:20" s="109" customFormat="1" x14ac:dyDescent="0.2">
      <c r="A472" s="116"/>
      <c r="B472" s="111" t="s">
        <v>207</v>
      </c>
      <c r="C472" s="110" t="s">
        <v>2037</v>
      </c>
      <c r="D472" s="110" t="s">
        <v>2038</v>
      </c>
      <c r="E472" s="112" t="s">
        <v>2039</v>
      </c>
      <c r="F472" s="111" t="s">
        <v>130</v>
      </c>
      <c r="G472" s="133">
        <v>140</v>
      </c>
      <c r="H472" s="124"/>
      <c r="I472" s="133" t="str">
        <f>IF(H472&gt;0,(#REF!*H472),"-")</f>
        <v>-</v>
      </c>
      <c r="J472" s="113">
        <v>1522</v>
      </c>
      <c r="K472" s="110" t="s">
        <v>127</v>
      </c>
      <c r="L472" s="110" t="s">
        <v>2031</v>
      </c>
      <c r="M472" s="110" t="s">
        <v>129</v>
      </c>
      <c r="N472" s="110" t="s">
        <v>130</v>
      </c>
      <c r="O472" s="110" t="s">
        <v>2040</v>
      </c>
      <c r="P472" s="110" t="s">
        <v>137</v>
      </c>
      <c r="Q472" s="110" t="s">
        <v>96</v>
      </c>
      <c r="R472" s="121">
        <v>0.192</v>
      </c>
      <c r="S472" s="113" t="e">
        <f t="shared" si="14"/>
        <v>#VALUE!</v>
      </c>
      <c r="T472" s="113">
        <f t="shared" si="15"/>
        <v>0</v>
      </c>
    </row>
    <row r="473" spans="1:20" s="109" customFormat="1" x14ac:dyDescent="0.2">
      <c r="A473" s="116"/>
      <c r="B473" s="111" t="s">
        <v>202</v>
      </c>
      <c r="C473" s="110" t="s">
        <v>2041</v>
      </c>
      <c r="D473" s="110" t="s">
        <v>2042</v>
      </c>
      <c r="E473" s="112" t="s">
        <v>2043</v>
      </c>
      <c r="F473" s="111" t="s">
        <v>130</v>
      </c>
      <c r="G473" s="133">
        <v>155</v>
      </c>
      <c r="H473" s="124"/>
      <c r="I473" s="133" t="str">
        <f>IF(H473&gt;0,(#REF!*H473),"-")</f>
        <v>-</v>
      </c>
      <c r="J473" s="113">
        <v>1522</v>
      </c>
      <c r="K473" s="110" t="s">
        <v>127</v>
      </c>
      <c r="L473" s="110" t="s">
        <v>2031</v>
      </c>
      <c r="M473" s="110" t="s">
        <v>129</v>
      </c>
      <c r="N473" s="110" t="s">
        <v>130</v>
      </c>
      <c r="O473" s="110" t="s">
        <v>2044</v>
      </c>
      <c r="P473" s="110" t="s">
        <v>137</v>
      </c>
      <c r="Q473" s="110" t="s">
        <v>96</v>
      </c>
      <c r="R473" s="121">
        <v>0.1764</v>
      </c>
      <c r="S473" s="113" t="e">
        <f t="shared" si="14"/>
        <v>#VALUE!</v>
      </c>
      <c r="T473" s="113">
        <f t="shared" si="15"/>
        <v>0</v>
      </c>
    </row>
    <row r="474" spans="1:20" s="109" customFormat="1" x14ac:dyDescent="0.2">
      <c r="A474" s="116"/>
      <c r="B474" s="111" t="s">
        <v>289</v>
      </c>
      <c r="C474" s="110" t="s">
        <v>2045</v>
      </c>
      <c r="D474" s="110" t="s">
        <v>2046</v>
      </c>
      <c r="E474" s="112" t="s">
        <v>2047</v>
      </c>
      <c r="F474" s="111" t="s">
        <v>130</v>
      </c>
      <c r="G474" s="133">
        <v>140</v>
      </c>
      <c r="H474" s="124"/>
      <c r="I474" s="133" t="str">
        <f>IF(H474&gt;0,(#REF!*H474),"-")</f>
        <v>-</v>
      </c>
      <c r="J474" s="113">
        <v>1046</v>
      </c>
      <c r="K474" s="110" t="s">
        <v>127</v>
      </c>
      <c r="L474" s="110" t="s">
        <v>2031</v>
      </c>
      <c r="M474" s="110" t="s">
        <v>129</v>
      </c>
      <c r="N474" s="110" t="s">
        <v>130</v>
      </c>
      <c r="O474" s="110" t="s">
        <v>2048</v>
      </c>
      <c r="P474" s="110" t="s">
        <v>137</v>
      </c>
      <c r="Q474" s="110" t="s">
        <v>96</v>
      </c>
      <c r="R474" s="121">
        <v>0.14099999999999999</v>
      </c>
      <c r="S474" s="113" t="e">
        <f t="shared" si="14"/>
        <v>#VALUE!</v>
      </c>
      <c r="T474" s="113">
        <f t="shared" si="15"/>
        <v>0</v>
      </c>
    </row>
    <row r="475" spans="1:20" s="109" customFormat="1" x14ac:dyDescent="0.2">
      <c r="A475" s="116"/>
      <c r="B475" s="111" t="s">
        <v>202</v>
      </c>
      <c r="C475" s="110" t="s">
        <v>2049</v>
      </c>
      <c r="D475" s="110" t="s">
        <v>2050</v>
      </c>
      <c r="E475" s="112" t="s">
        <v>2051</v>
      </c>
      <c r="F475" s="111" t="s">
        <v>130</v>
      </c>
      <c r="G475" s="133">
        <v>155</v>
      </c>
      <c r="H475" s="124"/>
      <c r="I475" s="133" t="str">
        <f>IF(H475&gt;0,(#REF!*H475),"-")</f>
        <v>-</v>
      </c>
      <c r="J475" s="113">
        <v>2257</v>
      </c>
      <c r="K475" s="110" t="s">
        <v>127</v>
      </c>
      <c r="L475" s="110" t="s">
        <v>2031</v>
      </c>
      <c r="M475" s="110" t="s">
        <v>129</v>
      </c>
      <c r="N475" s="110" t="s">
        <v>130</v>
      </c>
      <c r="O475" s="110" t="s">
        <v>2052</v>
      </c>
      <c r="P475" s="110" t="s">
        <v>137</v>
      </c>
      <c r="Q475" s="110" t="s">
        <v>96</v>
      </c>
      <c r="R475" s="121">
        <v>0.19350000000000001</v>
      </c>
      <c r="S475" s="113" t="e">
        <f t="shared" si="14"/>
        <v>#VALUE!</v>
      </c>
      <c r="T475" s="113">
        <f t="shared" si="15"/>
        <v>0</v>
      </c>
    </row>
    <row r="476" spans="1:20" s="109" customFormat="1" x14ac:dyDescent="0.2">
      <c r="A476" s="116"/>
      <c r="B476" s="111" t="s">
        <v>202</v>
      </c>
      <c r="C476" s="110" t="s">
        <v>2053</v>
      </c>
      <c r="D476" s="110" t="s">
        <v>2054</v>
      </c>
      <c r="E476" s="112" t="s">
        <v>2055</v>
      </c>
      <c r="F476" s="111" t="s">
        <v>130</v>
      </c>
      <c r="G476" s="133">
        <v>155</v>
      </c>
      <c r="H476" s="124"/>
      <c r="I476" s="133" t="str">
        <f>IF(H476&gt;0,(#REF!*H476),"-")</f>
        <v>-</v>
      </c>
      <c r="J476" s="113">
        <v>1522</v>
      </c>
      <c r="K476" s="110" t="s">
        <v>127</v>
      </c>
      <c r="L476" s="110" t="s">
        <v>2031</v>
      </c>
      <c r="M476" s="110" t="s">
        <v>129</v>
      </c>
      <c r="N476" s="110" t="s">
        <v>130</v>
      </c>
      <c r="O476" s="110" t="s">
        <v>2056</v>
      </c>
      <c r="P476" s="110" t="s">
        <v>137</v>
      </c>
      <c r="Q476" s="110" t="s">
        <v>96</v>
      </c>
      <c r="R476" s="121">
        <v>0.18099999999999999</v>
      </c>
      <c r="S476" s="113" t="e">
        <f t="shared" si="14"/>
        <v>#VALUE!</v>
      </c>
      <c r="T476" s="113">
        <f t="shared" si="15"/>
        <v>0</v>
      </c>
    </row>
    <row r="477" spans="1:20" s="109" customFormat="1" x14ac:dyDescent="0.2">
      <c r="A477" s="116"/>
      <c r="B477" s="111"/>
      <c r="C477" s="110" t="s">
        <v>2057</v>
      </c>
      <c r="D477" s="110" t="s">
        <v>2058</v>
      </c>
      <c r="E477" s="112" t="s">
        <v>2059</v>
      </c>
      <c r="F477" s="111" t="s">
        <v>126</v>
      </c>
      <c r="G477" s="133">
        <v>200</v>
      </c>
      <c r="H477" s="124"/>
      <c r="I477" s="133" t="str">
        <f>IF(H477&gt;0,(#REF!*H477),"-")</f>
        <v>-</v>
      </c>
      <c r="J477" s="113">
        <v>2189</v>
      </c>
      <c r="K477" s="110" t="s">
        <v>127</v>
      </c>
      <c r="L477" s="110" t="s">
        <v>2031</v>
      </c>
      <c r="M477" s="110" t="s">
        <v>129</v>
      </c>
      <c r="N477" s="110" t="s">
        <v>130</v>
      </c>
      <c r="O477" s="110" t="s">
        <v>2060</v>
      </c>
      <c r="P477" s="110" t="s">
        <v>137</v>
      </c>
      <c r="Q477" s="110" t="s">
        <v>96</v>
      </c>
      <c r="R477" s="121">
        <v>0.19639999999999999</v>
      </c>
      <c r="S477" s="113" t="e">
        <f t="shared" si="14"/>
        <v>#VALUE!</v>
      </c>
      <c r="T477" s="113">
        <f t="shared" si="15"/>
        <v>0</v>
      </c>
    </row>
    <row r="478" spans="1:20" s="109" customFormat="1" x14ac:dyDescent="0.2">
      <c r="A478" s="116"/>
      <c r="B478" s="111"/>
      <c r="C478" s="110" t="s">
        <v>2061</v>
      </c>
      <c r="D478" s="110" t="s">
        <v>2062</v>
      </c>
      <c r="E478" s="112" t="s">
        <v>2063</v>
      </c>
      <c r="F478" s="111" t="s">
        <v>126</v>
      </c>
      <c r="G478" s="133">
        <v>200</v>
      </c>
      <c r="H478" s="124"/>
      <c r="I478" s="133" t="str">
        <f>IF(H478&gt;0,(#REF!*H478),"-")</f>
        <v>-</v>
      </c>
      <c r="J478" s="113">
        <v>4050</v>
      </c>
      <c r="K478" s="110" t="s">
        <v>127</v>
      </c>
      <c r="L478" s="110" t="s">
        <v>2031</v>
      </c>
      <c r="M478" s="110" t="s">
        <v>129</v>
      </c>
      <c r="N478" s="110" t="s">
        <v>130</v>
      </c>
      <c r="O478" s="110" t="s">
        <v>2064</v>
      </c>
      <c r="P478" s="110" t="s">
        <v>137</v>
      </c>
      <c r="Q478" s="110" t="s">
        <v>96</v>
      </c>
      <c r="R478" s="121">
        <v>0.40500000000000003</v>
      </c>
      <c r="S478" s="113" t="e">
        <f t="shared" si="14"/>
        <v>#VALUE!</v>
      </c>
      <c r="T478" s="113">
        <f t="shared" si="15"/>
        <v>0</v>
      </c>
    </row>
    <row r="479" spans="1:20" s="109" customFormat="1" x14ac:dyDescent="0.2">
      <c r="A479" s="116"/>
      <c r="B479" s="111" t="s">
        <v>207</v>
      </c>
      <c r="C479" s="110" t="s">
        <v>2065</v>
      </c>
      <c r="D479" s="110" t="s">
        <v>2066</v>
      </c>
      <c r="E479" s="112" t="s">
        <v>2067</v>
      </c>
      <c r="F479" s="111" t="s">
        <v>130</v>
      </c>
      <c r="G479" s="133">
        <v>140</v>
      </c>
      <c r="H479" s="124"/>
      <c r="I479" s="133" t="str">
        <f>IF(H479&gt;0,(#REF!*H479),"-")</f>
        <v>-</v>
      </c>
      <c r="J479" s="113">
        <v>756</v>
      </c>
      <c r="K479" s="110" t="s">
        <v>127</v>
      </c>
      <c r="L479" s="110" t="s">
        <v>2031</v>
      </c>
      <c r="M479" s="110" t="s">
        <v>129</v>
      </c>
      <c r="N479" s="110" t="s">
        <v>130</v>
      </c>
      <c r="O479" s="110" t="s">
        <v>2068</v>
      </c>
      <c r="P479" s="110" t="s">
        <v>137</v>
      </c>
      <c r="Q479" s="110" t="s">
        <v>96</v>
      </c>
      <c r="R479" s="121">
        <v>8.5199999999999998E-2</v>
      </c>
      <c r="S479" s="113" t="e">
        <f t="shared" si="14"/>
        <v>#VALUE!</v>
      </c>
      <c r="T479" s="113">
        <f t="shared" si="15"/>
        <v>0</v>
      </c>
    </row>
    <row r="480" spans="1:20" s="109" customFormat="1" x14ac:dyDescent="0.2">
      <c r="A480" s="116"/>
      <c r="B480" s="111" t="s">
        <v>202</v>
      </c>
      <c r="C480" s="110" t="s">
        <v>2069</v>
      </c>
      <c r="D480" s="110" t="s">
        <v>2070</v>
      </c>
      <c r="E480" s="112" t="s">
        <v>2071</v>
      </c>
      <c r="F480" s="111" t="s">
        <v>130</v>
      </c>
      <c r="G480" s="133">
        <v>105</v>
      </c>
      <c r="H480" s="124"/>
      <c r="I480" s="133" t="str">
        <f>IF(H480&gt;0,(#REF!*H480),"-")</f>
        <v>-</v>
      </c>
      <c r="J480" s="113">
        <v>398</v>
      </c>
      <c r="K480" s="110" t="s">
        <v>127</v>
      </c>
      <c r="L480" s="110" t="s">
        <v>2031</v>
      </c>
      <c r="M480" s="110" t="s">
        <v>129</v>
      </c>
      <c r="N480" s="110" t="s">
        <v>130</v>
      </c>
      <c r="O480" s="110" t="s">
        <v>2072</v>
      </c>
      <c r="P480" s="110" t="s">
        <v>137</v>
      </c>
      <c r="Q480" s="110" t="s">
        <v>96</v>
      </c>
      <c r="R480" s="121">
        <v>2.5999999999999999E-2</v>
      </c>
      <c r="S480" s="113" t="e">
        <f t="shared" si="14"/>
        <v>#VALUE!</v>
      </c>
      <c r="T480" s="113">
        <f t="shared" si="15"/>
        <v>0</v>
      </c>
    </row>
    <row r="481" spans="1:20" s="109" customFormat="1" x14ac:dyDescent="0.2">
      <c r="A481" s="116"/>
      <c r="B481" s="111"/>
      <c r="C481" s="110" t="s">
        <v>2073</v>
      </c>
      <c r="D481" s="110" t="s">
        <v>2074</v>
      </c>
      <c r="E481" s="112" t="s">
        <v>2075</v>
      </c>
      <c r="F481" s="111" t="s">
        <v>126</v>
      </c>
      <c r="G481" s="133">
        <v>125</v>
      </c>
      <c r="H481" s="124"/>
      <c r="I481" s="133" t="str">
        <f>IF(H481&gt;0,(#REF!*H481),"-")</f>
        <v>-</v>
      </c>
      <c r="J481" s="113">
        <v>540</v>
      </c>
      <c r="K481" s="110" t="s">
        <v>127</v>
      </c>
      <c r="L481" s="110" t="s">
        <v>2031</v>
      </c>
      <c r="M481" s="110" t="s">
        <v>129</v>
      </c>
      <c r="N481" s="110" t="s">
        <v>130</v>
      </c>
      <c r="O481" s="110" t="s">
        <v>2076</v>
      </c>
      <c r="P481" s="110" t="s">
        <v>137</v>
      </c>
      <c r="Q481" s="110" t="s">
        <v>96</v>
      </c>
      <c r="R481" s="121">
        <v>3.3000000000000002E-2</v>
      </c>
      <c r="S481" s="113" t="e">
        <f t="shared" si="14"/>
        <v>#VALUE!</v>
      </c>
      <c r="T481" s="113">
        <f t="shared" si="15"/>
        <v>0</v>
      </c>
    </row>
    <row r="482" spans="1:20" s="109" customFormat="1" x14ac:dyDescent="0.2">
      <c r="A482" s="116"/>
      <c r="B482" s="111" t="s">
        <v>202</v>
      </c>
      <c r="C482" s="110" t="s">
        <v>2077</v>
      </c>
      <c r="D482" s="110" t="s">
        <v>2078</v>
      </c>
      <c r="E482" s="112" t="s">
        <v>2079</v>
      </c>
      <c r="F482" s="111" t="s">
        <v>130</v>
      </c>
      <c r="G482" s="133">
        <v>340</v>
      </c>
      <c r="H482" s="124"/>
      <c r="I482" s="133" t="str">
        <f>IF(H482&gt;0,(#REF!*H482),"-")</f>
        <v>-</v>
      </c>
      <c r="J482" s="113">
        <v>4050</v>
      </c>
      <c r="K482" s="110" t="s">
        <v>127</v>
      </c>
      <c r="L482" s="110" t="s">
        <v>2031</v>
      </c>
      <c r="M482" s="110" t="s">
        <v>129</v>
      </c>
      <c r="N482" s="110" t="s">
        <v>130</v>
      </c>
      <c r="O482" s="110" t="s">
        <v>2080</v>
      </c>
      <c r="P482" s="110" t="s">
        <v>137</v>
      </c>
      <c r="Q482" s="110" t="s">
        <v>96</v>
      </c>
      <c r="R482" s="121">
        <v>0.63419999999999999</v>
      </c>
      <c r="S482" s="113" t="e">
        <f t="shared" si="14"/>
        <v>#VALUE!</v>
      </c>
      <c r="T482" s="113">
        <f t="shared" si="15"/>
        <v>0</v>
      </c>
    </row>
    <row r="483" spans="1:20" s="109" customFormat="1" x14ac:dyDescent="0.2">
      <c r="A483" s="116"/>
      <c r="B483" s="111" t="s">
        <v>207</v>
      </c>
      <c r="C483" s="110" t="s">
        <v>2081</v>
      </c>
      <c r="D483" s="110" t="s">
        <v>2082</v>
      </c>
      <c r="E483" s="112" t="s">
        <v>2083</v>
      </c>
      <c r="F483" s="111" t="s">
        <v>130</v>
      </c>
      <c r="G483" s="133">
        <v>125</v>
      </c>
      <c r="H483" s="124"/>
      <c r="I483" s="133" t="str">
        <f>IF(H483&gt;0,(#REF!*H483),"-")</f>
        <v>-</v>
      </c>
      <c r="J483" s="113">
        <v>762</v>
      </c>
      <c r="K483" s="110" t="s">
        <v>127</v>
      </c>
      <c r="L483" s="110" t="s">
        <v>2084</v>
      </c>
      <c r="M483" s="110" t="s">
        <v>129</v>
      </c>
      <c r="N483" s="110" t="s">
        <v>130</v>
      </c>
      <c r="O483" s="110" t="s">
        <v>2085</v>
      </c>
      <c r="P483" s="110" t="s">
        <v>132</v>
      </c>
      <c r="Q483" s="110" t="s">
        <v>97</v>
      </c>
      <c r="R483" s="121">
        <v>0.50700000000000001</v>
      </c>
      <c r="S483" s="113" t="e">
        <f t="shared" si="14"/>
        <v>#VALUE!</v>
      </c>
      <c r="T483" s="113">
        <f t="shared" si="15"/>
        <v>0</v>
      </c>
    </row>
    <row r="484" spans="1:20" s="109" customFormat="1" x14ac:dyDescent="0.2">
      <c r="A484" s="116"/>
      <c r="B484" s="111"/>
      <c r="C484" s="110" t="s">
        <v>2086</v>
      </c>
      <c r="D484" s="110" t="s">
        <v>2087</v>
      </c>
      <c r="E484" s="112" t="s">
        <v>2088</v>
      </c>
      <c r="F484" s="111" t="s">
        <v>126</v>
      </c>
      <c r="G484" s="133">
        <v>60</v>
      </c>
      <c r="H484" s="124"/>
      <c r="I484" s="133" t="str">
        <f>IF(H484&gt;0,(#REF!*H484),"-")</f>
        <v>-</v>
      </c>
      <c r="J484" s="113">
        <v>286</v>
      </c>
      <c r="K484" s="110" t="s">
        <v>127</v>
      </c>
      <c r="L484" s="110" t="s">
        <v>2084</v>
      </c>
      <c r="M484" s="110" t="s">
        <v>129</v>
      </c>
      <c r="N484" s="110" t="s">
        <v>130</v>
      </c>
      <c r="O484" s="110" t="s">
        <v>2089</v>
      </c>
      <c r="P484" s="110" t="s">
        <v>400</v>
      </c>
      <c r="Q484" s="110" t="s">
        <v>97</v>
      </c>
      <c r="R484" s="121">
        <v>0.16300000000000001</v>
      </c>
      <c r="S484" s="113" t="e">
        <f t="shared" si="14"/>
        <v>#VALUE!</v>
      </c>
      <c r="T484" s="113">
        <f t="shared" si="15"/>
        <v>0</v>
      </c>
    </row>
    <row r="485" spans="1:20" s="109" customFormat="1" x14ac:dyDescent="0.2">
      <c r="A485" s="116"/>
      <c r="B485" s="111" t="s">
        <v>207</v>
      </c>
      <c r="C485" s="110" t="s">
        <v>2090</v>
      </c>
      <c r="D485" s="110" t="s">
        <v>2091</v>
      </c>
      <c r="E485" s="112" t="s">
        <v>2092</v>
      </c>
      <c r="F485" s="111" t="s">
        <v>130</v>
      </c>
      <c r="G485" s="133">
        <v>155</v>
      </c>
      <c r="H485" s="124"/>
      <c r="I485" s="133" t="str">
        <f>IF(H485&gt;0,(#REF!*H485),"-")</f>
        <v>-</v>
      </c>
      <c r="J485" s="113">
        <v>1046</v>
      </c>
      <c r="K485" s="110" t="s">
        <v>127</v>
      </c>
      <c r="L485" s="110" t="s">
        <v>2084</v>
      </c>
      <c r="M485" s="110" t="s">
        <v>129</v>
      </c>
      <c r="N485" s="110" t="s">
        <v>130</v>
      </c>
      <c r="O485" s="110" t="s">
        <v>2093</v>
      </c>
      <c r="P485" s="110" t="s">
        <v>137</v>
      </c>
      <c r="Q485" s="110" t="s">
        <v>96</v>
      </c>
      <c r="R485" s="121">
        <v>0.126</v>
      </c>
      <c r="S485" s="113" t="e">
        <f t="shared" si="14"/>
        <v>#VALUE!</v>
      </c>
      <c r="T485" s="113">
        <f t="shared" si="15"/>
        <v>0</v>
      </c>
    </row>
    <row r="486" spans="1:20" s="109" customFormat="1" x14ac:dyDescent="0.2">
      <c r="A486" s="116"/>
      <c r="B486" s="111" t="s">
        <v>202</v>
      </c>
      <c r="C486" s="110" t="s">
        <v>2094</v>
      </c>
      <c r="D486" s="110" t="s">
        <v>2095</v>
      </c>
      <c r="E486" s="112" t="s">
        <v>2096</v>
      </c>
      <c r="F486" s="111" t="s">
        <v>130</v>
      </c>
      <c r="G486" s="133">
        <v>155</v>
      </c>
      <c r="H486" s="124"/>
      <c r="I486" s="133" t="str">
        <f>IF(H486&gt;0,(#REF!*H486),"-")</f>
        <v>-</v>
      </c>
      <c r="J486" s="113">
        <v>1046</v>
      </c>
      <c r="K486" s="110" t="s">
        <v>127</v>
      </c>
      <c r="L486" s="110" t="s">
        <v>2084</v>
      </c>
      <c r="M486" s="110" t="s">
        <v>129</v>
      </c>
      <c r="N486" s="110" t="s">
        <v>130</v>
      </c>
      <c r="O486" s="110" t="s">
        <v>2097</v>
      </c>
      <c r="P486" s="110" t="s">
        <v>137</v>
      </c>
      <c r="Q486" s="110" t="s">
        <v>96</v>
      </c>
      <c r="R486" s="121">
        <v>0.13</v>
      </c>
      <c r="S486" s="113" t="e">
        <f t="shared" si="14"/>
        <v>#VALUE!</v>
      </c>
      <c r="T486" s="113">
        <f t="shared" si="15"/>
        <v>0</v>
      </c>
    </row>
    <row r="487" spans="1:20" s="109" customFormat="1" x14ac:dyDescent="0.2">
      <c r="A487" s="116"/>
      <c r="B487" s="111" t="s">
        <v>207</v>
      </c>
      <c r="C487" s="110" t="s">
        <v>2098</v>
      </c>
      <c r="D487" s="110" t="s">
        <v>2099</v>
      </c>
      <c r="E487" s="112" t="s">
        <v>2100</v>
      </c>
      <c r="F487" s="111" t="s">
        <v>130</v>
      </c>
      <c r="G487" s="133">
        <v>155</v>
      </c>
      <c r="H487" s="124"/>
      <c r="I487" s="133" t="str">
        <f>IF(H487&gt;0,(#REF!*H487),"-")</f>
        <v>-</v>
      </c>
      <c r="J487" s="113">
        <v>1860</v>
      </c>
      <c r="K487" s="110" t="s">
        <v>127</v>
      </c>
      <c r="L487" s="110" t="s">
        <v>2084</v>
      </c>
      <c r="M487" s="110" t="s">
        <v>129</v>
      </c>
      <c r="N487" s="110" t="s">
        <v>130</v>
      </c>
      <c r="O487" s="110" t="s">
        <v>2101</v>
      </c>
      <c r="P487" s="110" t="s">
        <v>2102</v>
      </c>
      <c r="Q487" s="110" t="s">
        <v>96</v>
      </c>
      <c r="R487" s="121">
        <v>0.15640000000000001</v>
      </c>
      <c r="S487" s="113" t="e">
        <f t="shared" si="14"/>
        <v>#VALUE!</v>
      </c>
      <c r="T487" s="113">
        <f t="shared" si="15"/>
        <v>0</v>
      </c>
    </row>
    <row r="488" spans="1:20" s="109" customFormat="1" x14ac:dyDescent="0.2">
      <c r="A488" s="116"/>
      <c r="B488" s="111" t="s">
        <v>202</v>
      </c>
      <c r="C488" s="110" t="s">
        <v>2103</v>
      </c>
      <c r="D488" s="110" t="s">
        <v>2104</v>
      </c>
      <c r="E488" s="112" t="s">
        <v>2105</v>
      </c>
      <c r="F488" s="111" t="s">
        <v>130</v>
      </c>
      <c r="G488" s="133">
        <v>99</v>
      </c>
      <c r="H488" s="124"/>
      <c r="I488" s="133" t="str">
        <f>IF(H488&gt;0,(#REF!*H488),"-")</f>
        <v>-</v>
      </c>
      <c r="J488" s="113">
        <v>398</v>
      </c>
      <c r="K488" s="110" t="s">
        <v>127</v>
      </c>
      <c r="L488" s="110" t="s">
        <v>2084</v>
      </c>
      <c r="M488" s="110" t="s">
        <v>129</v>
      </c>
      <c r="N488" s="110" t="s">
        <v>130</v>
      </c>
      <c r="O488" s="110" t="s">
        <v>2106</v>
      </c>
      <c r="P488" s="110" t="s">
        <v>137</v>
      </c>
      <c r="Q488" s="110" t="s">
        <v>96</v>
      </c>
      <c r="R488" s="121">
        <v>2.0799999999999999E-2</v>
      </c>
      <c r="S488" s="113" t="e">
        <f t="shared" si="14"/>
        <v>#VALUE!</v>
      </c>
      <c r="T488" s="113">
        <f t="shared" si="15"/>
        <v>0</v>
      </c>
    </row>
    <row r="489" spans="1:20" s="109" customFormat="1" x14ac:dyDescent="0.2">
      <c r="A489" s="116"/>
      <c r="B489" s="111" t="s">
        <v>202</v>
      </c>
      <c r="C489" s="110" t="s">
        <v>2107</v>
      </c>
      <c r="D489" s="110" t="s">
        <v>2108</v>
      </c>
      <c r="E489" s="112" t="s">
        <v>2109</v>
      </c>
      <c r="F489" s="111" t="s">
        <v>130</v>
      </c>
      <c r="G489" s="133">
        <v>99</v>
      </c>
      <c r="H489" s="124"/>
      <c r="I489" s="133" t="str">
        <f>IF(H489&gt;0,(#REF!*H489),"-")</f>
        <v>-</v>
      </c>
      <c r="J489" s="113">
        <v>398</v>
      </c>
      <c r="K489" s="110" t="s">
        <v>127</v>
      </c>
      <c r="L489" s="110" t="s">
        <v>2084</v>
      </c>
      <c r="M489" s="110" t="s">
        <v>129</v>
      </c>
      <c r="N489" s="110" t="s">
        <v>130</v>
      </c>
      <c r="O489" s="110" t="s">
        <v>2110</v>
      </c>
      <c r="P489" s="110" t="s">
        <v>137</v>
      </c>
      <c r="Q489" s="110" t="s">
        <v>96</v>
      </c>
      <c r="R489" s="121">
        <v>2.2599999999999999E-2</v>
      </c>
      <c r="S489" s="113" t="e">
        <f t="shared" si="14"/>
        <v>#VALUE!</v>
      </c>
      <c r="T489" s="113">
        <f t="shared" si="15"/>
        <v>0</v>
      </c>
    </row>
    <row r="490" spans="1:20" s="109" customFormat="1" x14ac:dyDescent="0.2">
      <c r="A490" s="116"/>
      <c r="B490" s="111" t="s">
        <v>207</v>
      </c>
      <c r="C490" s="110" t="s">
        <v>2111</v>
      </c>
      <c r="D490" s="110" t="s">
        <v>2112</v>
      </c>
      <c r="E490" s="112" t="s">
        <v>2113</v>
      </c>
      <c r="F490" s="111" t="s">
        <v>130</v>
      </c>
      <c r="G490" s="133">
        <v>155</v>
      </c>
      <c r="H490" s="124"/>
      <c r="I490" s="133" t="str">
        <f>IF(H490&gt;0,(#REF!*H490),"-")</f>
        <v>-</v>
      </c>
      <c r="J490" s="113">
        <v>824</v>
      </c>
      <c r="K490" s="110" t="s">
        <v>127</v>
      </c>
      <c r="L490" s="110" t="s">
        <v>436</v>
      </c>
      <c r="M490" s="110" t="s">
        <v>129</v>
      </c>
      <c r="N490" s="110" t="s">
        <v>130</v>
      </c>
      <c r="O490" s="110" t="s">
        <v>2114</v>
      </c>
      <c r="P490" s="110" t="s">
        <v>132</v>
      </c>
      <c r="Q490" s="110" t="s">
        <v>97</v>
      </c>
      <c r="R490" s="121">
        <v>0.68</v>
      </c>
      <c r="S490" s="113" t="e">
        <f t="shared" si="14"/>
        <v>#VALUE!</v>
      </c>
      <c r="T490" s="113">
        <f t="shared" si="15"/>
        <v>0</v>
      </c>
    </row>
    <row r="491" spans="1:20" s="109" customFormat="1" x14ac:dyDescent="0.2">
      <c r="A491" s="116"/>
      <c r="B491" s="111"/>
      <c r="C491" s="110" t="s">
        <v>2115</v>
      </c>
      <c r="D491" s="110" t="s">
        <v>2116</v>
      </c>
      <c r="E491" s="112" t="s">
        <v>2117</v>
      </c>
      <c r="F491" s="111" t="s">
        <v>126</v>
      </c>
      <c r="G491" s="133">
        <v>60</v>
      </c>
      <c r="H491" s="124"/>
      <c r="I491" s="133" t="str">
        <f>IF(H491&gt;0,(#REF!*H491),"-")</f>
        <v>-</v>
      </c>
      <c r="J491" s="113">
        <v>286</v>
      </c>
      <c r="K491" s="110" t="s">
        <v>127</v>
      </c>
      <c r="L491" s="110" t="s">
        <v>436</v>
      </c>
      <c r="M491" s="110" t="s">
        <v>129</v>
      </c>
      <c r="N491" s="110" t="s">
        <v>130</v>
      </c>
      <c r="O491" s="110" t="s">
        <v>2118</v>
      </c>
      <c r="P491" s="110" t="s">
        <v>400</v>
      </c>
      <c r="Q491" s="110" t="s">
        <v>97</v>
      </c>
      <c r="R491" s="121">
        <v>0.17</v>
      </c>
      <c r="S491" s="113" t="e">
        <f t="shared" si="14"/>
        <v>#VALUE!</v>
      </c>
      <c r="T491" s="113">
        <f t="shared" si="15"/>
        <v>0</v>
      </c>
    </row>
    <row r="492" spans="1:20" s="109" customFormat="1" x14ac:dyDescent="0.2">
      <c r="A492" s="116"/>
      <c r="B492" s="111" t="s">
        <v>289</v>
      </c>
      <c r="C492" s="110" t="s">
        <v>2119</v>
      </c>
      <c r="D492" s="110" t="s">
        <v>2120</v>
      </c>
      <c r="E492" s="112" t="s">
        <v>2121</v>
      </c>
      <c r="F492" s="111" t="s">
        <v>130</v>
      </c>
      <c r="G492" s="133">
        <v>125</v>
      </c>
      <c r="H492" s="124"/>
      <c r="I492" s="133" t="str">
        <f>IF(H492&gt;0,(#REF!*H492),"-")</f>
        <v>-</v>
      </c>
      <c r="J492" s="113">
        <v>1046</v>
      </c>
      <c r="K492" s="110" t="s">
        <v>127</v>
      </c>
      <c r="L492" s="110" t="s">
        <v>436</v>
      </c>
      <c r="M492" s="110" t="s">
        <v>129</v>
      </c>
      <c r="N492" s="110" t="s">
        <v>130</v>
      </c>
      <c r="O492" s="110" t="s">
        <v>2122</v>
      </c>
      <c r="P492" s="110" t="s">
        <v>137</v>
      </c>
      <c r="Q492" s="110" t="s">
        <v>96</v>
      </c>
      <c r="R492" s="121">
        <v>0.11899999999999999</v>
      </c>
      <c r="S492" s="113" t="e">
        <f t="shared" si="14"/>
        <v>#VALUE!</v>
      </c>
      <c r="T492" s="113">
        <f t="shared" si="15"/>
        <v>0</v>
      </c>
    </row>
    <row r="493" spans="1:20" s="109" customFormat="1" x14ac:dyDescent="0.2">
      <c r="A493" s="116"/>
      <c r="B493" s="111" t="s">
        <v>202</v>
      </c>
      <c r="C493" s="110" t="s">
        <v>2123</v>
      </c>
      <c r="D493" s="110" t="s">
        <v>2124</v>
      </c>
      <c r="E493" s="112" t="s">
        <v>2125</v>
      </c>
      <c r="F493" s="111" t="s">
        <v>130</v>
      </c>
      <c r="G493" s="133">
        <v>125</v>
      </c>
      <c r="H493" s="124"/>
      <c r="I493" s="133" t="str">
        <f>IF(H493&gt;0,(#REF!*H493),"-")</f>
        <v>-</v>
      </c>
      <c r="J493" s="113">
        <v>1046</v>
      </c>
      <c r="K493" s="110" t="s">
        <v>127</v>
      </c>
      <c r="L493" s="110" t="s">
        <v>436</v>
      </c>
      <c r="M493" s="110" t="s">
        <v>129</v>
      </c>
      <c r="N493" s="110" t="s">
        <v>130</v>
      </c>
      <c r="O493" s="110" t="s">
        <v>2126</v>
      </c>
      <c r="P493" s="110" t="s">
        <v>137</v>
      </c>
      <c r="Q493" s="110" t="s">
        <v>96</v>
      </c>
      <c r="R493" s="121">
        <v>0.113</v>
      </c>
      <c r="S493" s="113" t="e">
        <f t="shared" si="14"/>
        <v>#VALUE!</v>
      </c>
      <c r="T493" s="113">
        <f t="shared" si="15"/>
        <v>0</v>
      </c>
    </row>
    <row r="494" spans="1:20" s="109" customFormat="1" x14ac:dyDescent="0.2">
      <c r="A494" s="116"/>
      <c r="B494" s="111" t="s">
        <v>207</v>
      </c>
      <c r="C494" s="110" t="s">
        <v>2127</v>
      </c>
      <c r="D494" s="110" t="s">
        <v>2128</v>
      </c>
      <c r="E494" s="112" t="s">
        <v>2129</v>
      </c>
      <c r="F494" s="111" t="s">
        <v>130</v>
      </c>
      <c r="G494" s="133">
        <v>155</v>
      </c>
      <c r="H494" s="124"/>
      <c r="I494" s="133" t="str">
        <f>IF(H494&gt;0,(#REF!*H494),"-")</f>
        <v>-</v>
      </c>
      <c r="J494" s="113">
        <v>4050</v>
      </c>
      <c r="K494" s="110" t="s">
        <v>127</v>
      </c>
      <c r="L494" s="110" t="s">
        <v>436</v>
      </c>
      <c r="M494" s="110" t="s">
        <v>129</v>
      </c>
      <c r="N494" s="110" t="s">
        <v>130</v>
      </c>
      <c r="O494" s="110" t="s">
        <v>2130</v>
      </c>
      <c r="P494" s="110" t="s">
        <v>137</v>
      </c>
      <c r="Q494" s="110" t="s">
        <v>96</v>
      </c>
      <c r="R494" s="121">
        <v>0.33639999999999998</v>
      </c>
      <c r="S494" s="113" t="e">
        <f t="shared" si="14"/>
        <v>#VALUE!</v>
      </c>
      <c r="T494" s="113">
        <f t="shared" si="15"/>
        <v>0</v>
      </c>
    </row>
    <row r="495" spans="1:20" s="109" customFormat="1" x14ac:dyDescent="0.2">
      <c r="A495" s="116"/>
      <c r="B495" s="111" t="s">
        <v>207</v>
      </c>
      <c r="C495" s="110" t="s">
        <v>2131</v>
      </c>
      <c r="D495" s="110" t="s">
        <v>2132</v>
      </c>
      <c r="E495" s="112" t="s">
        <v>2133</v>
      </c>
      <c r="F495" s="111" t="s">
        <v>130</v>
      </c>
      <c r="G495" s="133">
        <v>200</v>
      </c>
      <c r="H495" s="124"/>
      <c r="I495" s="133" t="str">
        <f>IF(H495&gt;0,(#REF!*H495),"-")</f>
        <v>-</v>
      </c>
      <c r="J495" s="113">
        <v>1522</v>
      </c>
      <c r="K495" s="110" t="s">
        <v>127</v>
      </c>
      <c r="L495" s="110" t="s">
        <v>436</v>
      </c>
      <c r="M495" s="110" t="s">
        <v>129</v>
      </c>
      <c r="N495" s="110" t="s">
        <v>130</v>
      </c>
      <c r="O495" s="110" t="s">
        <v>2134</v>
      </c>
      <c r="P495" s="110" t="s">
        <v>137</v>
      </c>
      <c r="Q495" s="110" t="s">
        <v>96</v>
      </c>
      <c r="R495" s="121">
        <v>0.16</v>
      </c>
      <c r="S495" s="113" t="e">
        <f t="shared" si="14"/>
        <v>#VALUE!</v>
      </c>
      <c r="T495" s="113">
        <f t="shared" si="15"/>
        <v>0</v>
      </c>
    </row>
    <row r="496" spans="1:20" s="109" customFormat="1" x14ac:dyDescent="0.2">
      <c r="A496" s="116"/>
      <c r="B496" s="111" t="s">
        <v>207</v>
      </c>
      <c r="C496" s="110" t="s">
        <v>2135</v>
      </c>
      <c r="D496" s="110" t="s">
        <v>2136</v>
      </c>
      <c r="E496" s="112" t="s">
        <v>2137</v>
      </c>
      <c r="F496" s="111" t="s">
        <v>130</v>
      </c>
      <c r="G496" s="133">
        <v>110</v>
      </c>
      <c r="H496" s="124"/>
      <c r="I496" s="133" t="str">
        <f>IF(H496&gt;0,(#REF!*H496),"-")</f>
        <v>-</v>
      </c>
      <c r="J496" s="113">
        <v>1522</v>
      </c>
      <c r="K496" s="110" t="s">
        <v>127</v>
      </c>
      <c r="L496" s="110" t="s">
        <v>436</v>
      </c>
      <c r="M496" s="110" t="s">
        <v>129</v>
      </c>
      <c r="N496" s="110" t="s">
        <v>130</v>
      </c>
      <c r="O496" s="110" t="s">
        <v>2138</v>
      </c>
      <c r="P496" s="110" t="s">
        <v>137</v>
      </c>
      <c r="Q496" s="110" t="s">
        <v>96</v>
      </c>
      <c r="R496" s="121">
        <v>0.12</v>
      </c>
      <c r="S496" s="113" t="e">
        <f t="shared" si="14"/>
        <v>#VALUE!</v>
      </c>
      <c r="T496" s="113">
        <f t="shared" si="15"/>
        <v>0</v>
      </c>
    </row>
    <row r="497" spans="1:20" s="109" customFormat="1" x14ac:dyDescent="0.2">
      <c r="A497" s="116"/>
      <c r="B497" s="111" t="s">
        <v>207</v>
      </c>
      <c r="C497" s="110" t="s">
        <v>2139</v>
      </c>
      <c r="D497" s="110" t="s">
        <v>2140</v>
      </c>
      <c r="E497" s="112" t="s">
        <v>2141</v>
      </c>
      <c r="F497" s="111" t="s">
        <v>130</v>
      </c>
      <c r="G497" s="133">
        <v>125</v>
      </c>
      <c r="H497" s="124"/>
      <c r="I497" s="133" t="str">
        <f>IF(H497&gt;0,(#REF!*H497),"-")</f>
        <v>-</v>
      </c>
      <c r="J497" s="113">
        <v>2189</v>
      </c>
      <c r="K497" s="110" t="s">
        <v>127</v>
      </c>
      <c r="L497" s="110" t="s">
        <v>436</v>
      </c>
      <c r="M497" s="110" t="s">
        <v>129</v>
      </c>
      <c r="N497" s="110" t="s">
        <v>130</v>
      </c>
      <c r="O497" s="110" t="s">
        <v>2142</v>
      </c>
      <c r="P497" s="110" t="s">
        <v>137</v>
      </c>
      <c r="Q497" s="110" t="s">
        <v>96</v>
      </c>
      <c r="R497" s="121">
        <v>0.14399999999999999</v>
      </c>
      <c r="S497" s="113" t="e">
        <f t="shared" si="14"/>
        <v>#VALUE!</v>
      </c>
      <c r="T497" s="113">
        <f t="shared" si="15"/>
        <v>0</v>
      </c>
    </row>
    <row r="498" spans="1:20" s="109" customFormat="1" x14ac:dyDescent="0.2">
      <c r="A498" s="116"/>
      <c r="B498" s="111"/>
      <c r="C498" s="110" t="s">
        <v>2143</v>
      </c>
      <c r="D498" s="110" t="s">
        <v>2144</v>
      </c>
      <c r="E498" s="112" t="s">
        <v>2145</v>
      </c>
      <c r="F498" s="111" t="s">
        <v>126</v>
      </c>
      <c r="G498" s="133">
        <v>90</v>
      </c>
      <c r="H498" s="124"/>
      <c r="I498" s="133" t="str">
        <f>IF(H498&gt;0,(#REF!*H498),"-")</f>
        <v>-</v>
      </c>
      <c r="J498" s="113">
        <v>398</v>
      </c>
      <c r="K498" s="110" t="s">
        <v>127</v>
      </c>
      <c r="L498" s="110" t="s">
        <v>436</v>
      </c>
      <c r="M498" s="110" t="s">
        <v>129</v>
      </c>
      <c r="N498" s="110" t="s">
        <v>130</v>
      </c>
      <c r="O498" s="110" t="s">
        <v>2146</v>
      </c>
      <c r="P498" s="110" t="s">
        <v>137</v>
      </c>
      <c r="Q498" s="110" t="s">
        <v>96</v>
      </c>
      <c r="R498" s="121">
        <v>0.214</v>
      </c>
      <c r="S498" s="113" t="e">
        <f t="shared" si="14"/>
        <v>#VALUE!</v>
      </c>
      <c r="T498" s="113">
        <f t="shared" si="15"/>
        <v>0</v>
      </c>
    </row>
    <row r="499" spans="1:20" s="109" customFormat="1" x14ac:dyDescent="0.2">
      <c r="A499" s="116"/>
      <c r="B499" s="111" t="s">
        <v>202</v>
      </c>
      <c r="C499" s="110" t="s">
        <v>2147</v>
      </c>
      <c r="D499" s="110" t="s">
        <v>2148</v>
      </c>
      <c r="E499" s="112" t="s">
        <v>2149</v>
      </c>
      <c r="F499" s="111" t="s">
        <v>130</v>
      </c>
      <c r="G499" s="133">
        <v>340</v>
      </c>
      <c r="H499" s="124"/>
      <c r="I499" s="133" t="str">
        <f>IF(H499&gt;0,(#REF!*H499),"-")</f>
        <v>-</v>
      </c>
      <c r="J499" s="113">
        <v>3375</v>
      </c>
      <c r="K499" s="110" t="s">
        <v>127</v>
      </c>
      <c r="L499" s="110" t="s">
        <v>436</v>
      </c>
      <c r="M499" s="110" t="s">
        <v>129</v>
      </c>
      <c r="N499" s="110" t="s">
        <v>130</v>
      </c>
      <c r="O499" s="110" t="s">
        <v>2150</v>
      </c>
      <c r="P499" s="110" t="s">
        <v>137</v>
      </c>
      <c r="Q499" s="110" t="s">
        <v>96</v>
      </c>
      <c r="R499" s="121">
        <v>0.48</v>
      </c>
      <c r="S499" s="113" t="e">
        <f t="shared" si="14"/>
        <v>#VALUE!</v>
      </c>
      <c r="T499" s="113">
        <f t="shared" si="15"/>
        <v>0</v>
      </c>
    </row>
    <row r="500" spans="1:20" s="109" customFormat="1" x14ac:dyDescent="0.2">
      <c r="A500" s="116"/>
      <c r="B500" s="111" t="s">
        <v>207</v>
      </c>
      <c r="C500" s="110" t="s">
        <v>2151</v>
      </c>
      <c r="D500" s="110" t="s">
        <v>2152</v>
      </c>
      <c r="E500" s="112" t="s">
        <v>2153</v>
      </c>
      <c r="F500" s="111" t="s">
        <v>130</v>
      </c>
      <c r="G500" s="133">
        <v>155</v>
      </c>
      <c r="H500" s="124"/>
      <c r="I500" s="133" t="str">
        <f>IF(H500&gt;0,(#REF!*H500),"-")</f>
        <v>-</v>
      </c>
      <c r="J500" s="113">
        <v>868</v>
      </c>
      <c r="K500" s="110" t="s">
        <v>127</v>
      </c>
      <c r="L500" s="110" t="s">
        <v>574</v>
      </c>
      <c r="M500" s="110" t="s">
        <v>129</v>
      </c>
      <c r="N500" s="110" t="s">
        <v>130</v>
      </c>
      <c r="O500" s="110" t="s">
        <v>2154</v>
      </c>
      <c r="P500" s="110" t="s">
        <v>132</v>
      </c>
      <c r="Q500" s="110" t="s">
        <v>97</v>
      </c>
      <c r="R500" s="121">
        <v>0.71899999999999997</v>
      </c>
      <c r="S500" s="113" t="e">
        <f t="shared" si="14"/>
        <v>#VALUE!</v>
      </c>
      <c r="T500" s="113">
        <f t="shared" si="15"/>
        <v>0</v>
      </c>
    </row>
    <row r="501" spans="1:20" s="109" customFormat="1" x14ac:dyDescent="0.2">
      <c r="A501" s="116"/>
      <c r="B501" s="111"/>
      <c r="C501" s="110" t="s">
        <v>2155</v>
      </c>
      <c r="D501" s="110" t="s">
        <v>2156</v>
      </c>
      <c r="E501" s="112" t="s">
        <v>2157</v>
      </c>
      <c r="F501" s="111" t="s">
        <v>126</v>
      </c>
      <c r="G501" s="133">
        <v>60</v>
      </c>
      <c r="H501" s="124"/>
      <c r="I501" s="133" t="str">
        <f>IF(H501&gt;0,(#REF!*H501),"-")</f>
        <v>-</v>
      </c>
      <c r="J501" s="113">
        <v>257</v>
      </c>
      <c r="K501" s="110" t="s">
        <v>127</v>
      </c>
      <c r="L501" s="110" t="s">
        <v>574</v>
      </c>
      <c r="M501" s="110" t="s">
        <v>129</v>
      </c>
      <c r="N501" s="110" t="s">
        <v>130</v>
      </c>
      <c r="O501" s="110" t="s">
        <v>2158</v>
      </c>
      <c r="P501" s="110" t="s">
        <v>400</v>
      </c>
      <c r="Q501" s="110" t="s">
        <v>97</v>
      </c>
      <c r="R501" s="121">
        <v>0.14199999999999999</v>
      </c>
      <c r="S501" s="113" t="e">
        <f t="shared" si="14"/>
        <v>#VALUE!</v>
      </c>
      <c r="T501" s="113">
        <f t="shared" si="15"/>
        <v>0</v>
      </c>
    </row>
    <row r="502" spans="1:20" s="109" customFormat="1" x14ac:dyDescent="0.2">
      <c r="A502" s="116"/>
      <c r="B502" s="111" t="s">
        <v>207</v>
      </c>
      <c r="C502" s="110" t="s">
        <v>2159</v>
      </c>
      <c r="D502" s="110" t="s">
        <v>2160</v>
      </c>
      <c r="E502" s="112" t="s">
        <v>2161</v>
      </c>
      <c r="F502" s="111" t="s">
        <v>130</v>
      </c>
      <c r="G502" s="133">
        <v>186</v>
      </c>
      <c r="H502" s="124"/>
      <c r="I502" s="133" t="str">
        <f>IF(H502&gt;0,(#REF!*H502),"-")</f>
        <v>-</v>
      </c>
      <c r="J502" s="113">
        <v>1522</v>
      </c>
      <c r="K502" s="110" t="s">
        <v>127</v>
      </c>
      <c r="L502" s="110" t="s">
        <v>574</v>
      </c>
      <c r="M502" s="110" t="s">
        <v>129</v>
      </c>
      <c r="N502" s="110" t="s">
        <v>130</v>
      </c>
      <c r="O502" s="110" t="s">
        <v>2162</v>
      </c>
      <c r="P502" s="110" t="s">
        <v>137</v>
      </c>
      <c r="Q502" s="110" t="s">
        <v>96</v>
      </c>
      <c r="R502" s="121">
        <v>0.22800000000000001</v>
      </c>
      <c r="S502" s="113" t="e">
        <f t="shared" si="14"/>
        <v>#VALUE!</v>
      </c>
      <c r="T502" s="113">
        <f t="shared" si="15"/>
        <v>0</v>
      </c>
    </row>
    <row r="503" spans="1:20" s="109" customFormat="1" x14ac:dyDescent="0.2">
      <c r="A503" s="116"/>
      <c r="B503" s="111"/>
      <c r="C503" s="110" t="s">
        <v>2163</v>
      </c>
      <c r="D503" s="110" t="s">
        <v>2164</v>
      </c>
      <c r="E503" s="112" t="s">
        <v>2165</v>
      </c>
      <c r="F503" s="111" t="s">
        <v>126</v>
      </c>
      <c r="G503" s="133">
        <v>279</v>
      </c>
      <c r="H503" s="124"/>
      <c r="I503" s="133" t="str">
        <f>IF(H503&gt;0,(#REF!*H503),"-")</f>
        <v>-</v>
      </c>
      <c r="J503" s="113">
        <v>1522</v>
      </c>
      <c r="K503" s="110" t="s">
        <v>127</v>
      </c>
      <c r="L503" s="110" t="s">
        <v>574</v>
      </c>
      <c r="M503" s="110" t="s">
        <v>129</v>
      </c>
      <c r="N503" s="110" t="s">
        <v>130</v>
      </c>
      <c r="O503" s="110" t="s">
        <v>2166</v>
      </c>
      <c r="P503" s="110" t="s">
        <v>137</v>
      </c>
      <c r="Q503" s="110" t="s">
        <v>96</v>
      </c>
      <c r="R503" s="121">
        <v>0.22739999999999999</v>
      </c>
      <c r="S503" s="113" t="e">
        <f t="shared" si="14"/>
        <v>#VALUE!</v>
      </c>
      <c r="T503" s="113">
        <f t="shared" si="15"/>
        <v>0</v>
      </c>
    </row>
    <row r="504" spans="1:20" s="109" customFormat="1" x14ac:dyDescent="0.2">
      <c r="A504" s="116"/>
      <c r="B504" s="111" t="s">
        <v>289</v>
      </c>
      <c r="C504" s="110" t="s">
        <v>2167</v>
      </c>
      <c r="D504" s="110" t="s">
        <v>2168</v>
      </c>
      <c r="E504" s="112" t="s">
        <v>2169</v>
      </c>
      <c r="F504" s="111" t="s">
        <v>130</v>
      </c>
      <c r="G504" s="133">
        <v>140</v>
      </c>
      <c r="H504" s="124"/>
      <c r="I504" s="133" t="str">
        <f>IF(H504&gt;0,(#REF!*H504),"-")</f>
        <v>-</v>
      </c>
      <c r="J504" s="113">
        <v>1046</v>
      </c>
      <c r="K504" s="110" t="s">
        <v>127</v>
      </c>
      <c r="L504" s="110" t="s">
        <v>574</v>
      </c>
      <c r="M504" s="110" t="s">
        <v>129</v>
      </c>
      <c r="N504" s="110" t="s">
        <v>130</v>
      </c>
      <c r="O504" s="110" t="s">
        <v>2170</v>
      </c>
      <c r="P504" s="110" t="s">
        <v>137</v>
      </c>
      <c r="Q504" s="110" t="s">
        <v>96</v>
      </c>
      <c r="R504" s="121">
        <v>0.156</v>
      </c>
      <c r="S504" s="113" t="e">
        <f t="shared" si="14"/>
        <v>#VALUE!</v>
      </c>
      <c r="T504" s="113">
        <f t="shared" si="15"/>
        <v>0</v>
      </c>
    </row>
    <row r="505" spans="1:20" s="109" customFormat="1" x14ac:dyDescent="0.2">
      <c r="A505" s="116"/>
      <c r="B505" s="111"/>
      <c r="C505" s="110" t="s">
        <v>2171</v>
      </c>
      <c r="D505" s="110" t="s">
        <v>2172</v>
      </c>
      <c r="E505" s="112" t="s">
        <v>2173</v>
      </c>
      <c r="F505" s="111" t="s">
        <v>126</v>
      </c>
      <c r="G505" s="133">
        <v>155</v>
      </c>
      <c r="H505" s="124"/>
      <c r="I505" s="133" t="str">
        <f>IF(H505&gt;0,(#REF!*H505),"-")</f>
        <v>-</v>
      </c>
      <c r="J505" s="113">
        <v>4050</v>
      </c>
      <c r="K505" s="110" t="s">
        <v>127</v>
      </c>
      <c r="L505" s="110" t="s">
        <v>574</v>
      </c>
      <c r="M505" s="110" t="s">
        <v>129</v>
      </c>
      <c r="N505" s="110" t="s">
        <v>130</v>
      </c>
      <c r="O505" s="110" t="s">
        <v>2174</v>
      </c>
      <c r="P505" s="110" t="s">
        <v>137</v>
      </c>
      <c r="Q505" s="110" t="s">
        <v>96</v>
      </c>
      <c r="R505" s="121">
        <v>0.38069999999999998</v>
      </c>
      <c r="S505" s="113" t="e">
        <f t="shared" si="14"/>
        <v>#VALUE!</v>
      </c>
      <c r="T505" s="113">
        <f t="shared" si="15"/>
        <v>0</v>
      </c>
    </row>
    <row r="506" spans="1:20" s="109" customFormat="1" x14ac:dyDescent="0.2">
      <c r="A506" s="116"/>
      <c r="B506" s="111" t="s">
        <v>207</v>
      </c>
      <c r="C506" s="110" t="s">
        <v>2175</v>
      </c>
      <c r="D506" s="110" t="s">
        <v>2176</v>
      </c>
      <c r="E506" s="112" t="s">
        <v>2177</v>
      </c>
      <c r="F506" s="111" t="s">
        <v>130</v>
      </c>
      <c r="G506" s="133">
        <v>235</v>
      </c>
      <c r="H506" s="124"/>
      <c r="I506" s="133" t="str">
        <f>IF(H506&gt;0,(#REF!*H506),"-")</f>
        <v>-</v>
      </c>
      <c r="J506" s="113">
        <v>4050</v>
      </c>
      <c r="K506" s="110" t="s">
        <v>127</v>
      </c>
      <c r="L506" s="110" t="s">
        <v>574</v>
      </c>
      <c r="M506" s="110" t="s">
        <v>129</v>
      </c>
      <c r="N506" s="110" t="s">
        <v>130</v>
      </c>
      <c r="O506" s="110" t="s">
        <v>2178</v>
      </c>
      <c r="P506" s="110" t="s">
        <v>137</v>
      </c>
      <c r="Q506" s="110" t="s">
        <v>96</v>
      </c>
      <c r="R506" s="121">
        <v>0.48699999999999999</v>
      </c>
      <c r="S506" s="113" t="e">
        <f t="shared" si="14"/>
        <v>#VALUE!</v>
      </c>
      <c r="T506" s="113">
        <f t="shared" si="15"/>
        <v>0</v>
      </c>
    </row>
    <row r="507" spans="1:20" s="109" customFormat="1" x14ac:dyDescent="0.2">
      <c r="A507" s="116"/>
      <c r="B507" s="111" t="s">
        <v>207</v>
      </c>
      <c r="C507" s="110" t="s">
        <v>2179</v>
      </c>
      <c r="D507" s="110" t="s">
        <v>2180</v>
      </c>
      <c r="E507" s="112" t="s">
        <v>2181</v>
      </c>
      <c r="F507" s="111" t="s">
        <v>130</v>
      </c>
      <c r="G507" s="133">
        <v>400</v>
      </c>
      <c r="H507" s="124"/>
      <c r="I507" s="133" t="str">
        <f>IF(H507&gt;0,(#REF!*H507),"-")</f>
        <v>-</v>
      </c>
      <c r="J507" s="113">
        <v>3375</v>
      </c>
      <c r="K507" s="110" t="s">
        <v>127</v>
      </c>
      <c r="L507" s="110" t="s">
        <v>574</v>
      </c>
      <c r="M507" s="110" t="s">
        <v>129</v>
      </c>
      <c r="N507" s="110" t="s">
        <v>130</v>
      </c>
      <c r="O507" s="110" t="s">
        <v>2182</v>
      </c>
      <c r="P507" s="110" t="s">
        <v>137</v>
      </c>
      <c r="Q507" s="110" t="s">
        <v>96</v>
      </c>
      <c r="R507" s="121">
        <v>0.42399999999999999</v>
      </c>
      <c r="S507" s="113" t="e">
        <f t="shared" si="14"/>
        <v>#VALUE!</v>
      </c>
      <c r="T507" s="113">
        <f t="shared" si="15"/>
        <v>0</v>
      </c>
    </row>
    <row r="508" spans="1:20" s="109" customFormat="1" x14ac:dyDescent="0.2">
      <c r="A508" s="116"/>
      <c r="B508" s="111" t="s">
        <v>289</v>
      </c>
      <c r="C508" s="110" t="s">
        <v>2183</v>
      </c>
      <c r="D508" s="110" t="s">
        <v>2184</v>
      </c>
      <c r="E508" s="112" t="s">
        <v>2185</v>
      </c>
      <c r="F508" s="111" t="s">
        <v>130</v>
      </c>
      <c r="G508" s="133">
        <v>110</v>
      </c>
      <c r="H508" s="124"/>
      <c r="I508" s="133" t="str">
        <f>IF(H508&gt;0,(#REF!*H508),"-")</f>
        <v>-</v>
      </c>
      <c r="J508" s="113">
        <v>504</v>
      </c>
      <c r="K508" s="110" t="s">
        <v>127</v>
      </c>
      <c r="L508" s="110" t="s">
        <v>574</v>
      </c>
      <c r="M508" s="110" t="s">
        <v>129</v>
      </c>
      <c r="N508" s="110" t="s">
        <v>130</v>
      </c>
      <c r="O508" s="110" t="s">
        <v>2186</v>
      </c>
      <c r="P508" s="110" t="s">
        <v>137</v>
      </c>
      <c r="Q508" s="110" t="s">
        <v>96</v>
      </c>
      <c r="R508" s="121">
        <v>9.6000000000000002E-2</v>
      </c>
      <c r="S508" s="113" t="e">
        <f t="shared" si="14"/>
        <v>#VALUE!</v>
      </c>
      <c r="T508" s="113">
        <f t="shared" si="15"/>
        <v>0</v>
      </c>
    </row>
    <row r="509" spans="1:20" s="109" customFormat="1" x14ac:dyDescent="0.2">
      <c r="A509" s="116"/>
      <c r="B509" s="111" t="s">
        <v>289</v>
      </c>
      <c r="C509" s="110" t="s">
        <v>2187</v>
      </c>
      <c r="D509" s="110" t="s">
        <v>2188</v>
      </c>
      <c r="E509" s="112" t="s">
        <v>2189</v>
      </c>
      <c r="F509" s="111" t="s">
        <v>130</v>
      </c>
      <c r="G509" s="133">
        <v>200</v>
      </c>
      <c r="H509" s="124"/>
      <c r="I509" s="133" t="str">
        <f>IF(H509&gt;0,(#REF!*H509),"-")</f>
        <v>-</v>
      </c>
      <c r="J509" s="113">
        <v>1046</v>
      </c>
      <c r="K509" s="110" t="s">
        <v>127</v>
      </c>
      <c r="L509" s="110" t="s">
        <v>574</v>
      </c>
      <c r="M509" s="110" t="s">
        <v>129</v>
      </c>
      <c r="N509" s="110" t="s">
        <v>130</v>
      </c>
      <c r="O509" s="110" t="s">
        <v>2190</v>
      </c>
      <c r="P509" s="110" t="s">
        <v>137</v>
      </c>
      <c r="Q509" s="110" t="s">
        <v>96</v>
      </c>
      <c r="R509" s="121">
        <v>0.17299999999999999</v>
      </c>
      <c r="S509" s="113" t="e">
        <f t="shared" si="14"/>
        <v>#VALUE!</v>
      </c>
      <c r="T509" s="113">
        <f t="shared" si="15"/>
        <v>0</v>
      </c>
    </row>
    <row r="510" spans="1:20" s="109" customFormat="1" x14ac:dyDescent="0.2">
      <c r="A510" s="116"/>
      <c r="B510" s="111" t="s">
        <v>202</v>
      </c>
      <c r="C510" s="110" t="s">
        <v>2191</v>
      </c>
      <c r="D510" s="110" t="s">
        <v>2192</v>
      </c>
      <c r="E510" s="112" t="s">
        <v>2193</v>
      </c>
      <c r="F510" s="111" t="s">
        <v>130</v>
      </c>
      <c r="G510" s="133">
        <v>90</v>
      </c>
      <c r="H510" s="124"/>
      <c r="I510" s="133" t="str">
        <f>IF(H510&gt;0,(#REF!*H510),"-")</f>
        <v>-</v>
      </c>
      <c r="J510" s="113">
        <v>398</v>
      </c>
      <c r="K510" s="110" t="s">
        <v>127</v>
      </c>
      <c r="L510" s="110" t="s">
        <v>574</v>
      </c>
      <c r="M510" s="110" t="s">
        <v>129</v>
      </c>
      <c r="N510" s="110" t="s">
        <v>130</v>
      </c>
      <c r="O510" s="110" t="s">
        <v>2194</v>
      </c>
      <c r="P510" s="110" t="s">
        <v>137</v>
      </c>
      <c r="Q510" s="110" t="s">
        <v>96</v>
      </c>
      <c r="R510" s="121">
        <v>2.3300000000000001E-2</v>
      </c>
      <c r="S510" s="113" t="e">
        <f t="shared" si="14"/>
        <v>#VALUE!</v>
      </c>
      <c r="T510" s="113">
        <f t="shared" si="15"/>
        <v>0</v>
      </c>
    </row>
    <row r="511" spans="1:20" s="109" customFormat="1" x14ac:dyDescent="0.2">
      <c r="A511" s="116"/>
      <c r="B511" s="111" t="s">
        <v>207</v>
      </c>
      <c r="C511" s="110" t="s">
        <v>2195</v>
      </c>
      <c r="D511" s="110" t="s">
        <v>2196</v>
      </c>
      <c r="E511" s="112" t="s">
        <v>2197</v>
      </c>
      <c r="F511" s="111" t="s">
        <v>130</v>
      </c>
      <c r="G511" s="133">
        <v>620</v>
      </c>
      <c r="H511" s="124"/>
      <c r="I511" s="133" t="str">
        <f>IF(H511&gt;0,(#REF!*H511),"-")</f>
        <v>-</v>
      </c>
      <c r="J511" s="113">
        <v>4050</v>
      </c>
      <c r="K511" s="110" t="s">
        <v>127</v>
      </c>
      <c r="L511" s="110" t="s">
        <v>574</v>
      </c>
      <c r="M511" s="110" t="s">
        <v>129</v>
      </c>
      <c r="N511" s="110" t="s">
        <v>130</v>
      </c>
      <c r="O511" s="110" t="s">
        <v>2198</v>
      </c>
      <c r="P511" s="110" t="s">
        <v>137</v>
      </c>
      <c r="Q511" s="110" t="s">
        <v>96</v>
      </c>
      <c r="R511" s="121">
        <v>0.48880000000000001</v>
      </c>
      <c r="S511" s="113" t="e">
        <f t="shared" si="14"/>
        <v>#VALUE!</v>
      </c>
      <c r="T511" s="113">
        <f t="shared" si="15"/>
        <v>0</v>
      </c>
    </row>
    <row r="512" spans="1:20" s="109" customFormat="1" x14ac:dyDescent="0.2">
      <c r="A512" s="116"/>
      <c r="B512" s="111" t="s">
        <v>202</v>
      </c>
      <c r="C512" s="110" t="s">
        <v>2199</v>
      </c>
      <c r="D512" s="110" t="s">
        <v>2200</v>
      </c>
      <c r="E512" s="112" t="s">
        <v>2201</v>
      </c>
      <c r="F512" s="111" t="s">
        <v>130</v>
      </c>
      <c r="G512" s="133">
        <v>125</v>
      </c>
      <c r="H512" s="124"/>
      <c r="I512" s="133" t="str">
        <f>IF(H512&gt;0,(#REF!*H512),"-")</f>
        <v>-</v>
      </c>
      <c r="J512" s="113">
        <v>1522</v>
      </c>
      <c r="K512" s="110" t="s">
        <v>127</v>
      </c>
      <c r="L512" s="110" t="s">
        <v>574</v>
      </c>
      <c r="M512" s="110" t="s">
        <v>129</v>
      </c>
      <c r="N512" s="110" t="s">
        <v>130</v>
      </c>
      <c r="O512" s="110" t="s">
        <v>2202</v>
      </c>
      <c r="P512" s="110" t="s">
        <v>137</v>
      </c>
      <c r="Q512" s="110" t="s">
        <v>96</v>
      </c>
      <c r="R512" s="121">
        <v>0.1527</v>
      </c>
      <c r="S512" s="113" t="e">
        <f t="shared" si="14"/>
        <v>#VALUE!</v>
      </c>
      <c r="T512" s="113">
        <f t="shared" si="15"/>
        <v>0</v>
      </c>
    </row>
    <row r="513" spans="1:20" s="109" customFormat="1" x14ac:dyDescent="0.2">
      <c r="A513" s="116"/>
      <c r="B513" s="111" t="s">
        <v>202</v>
      </c>
      <c r="C513" s="110" t="s">
        <v>2203</v>
      </c>
      <c r="D513" s="110" t="s">
        <v>2204</v>
      </c>
      <c r="E513" s="112" t="s">
        <v>2205</v>
      </c>
      <c r="F513" s="111" t="s">
        <v>130</v>
      </c>
      <c r="G513" s="133">
        <v>310</v>
      </c>
      <c r="H513" s="124"/>
      <c r="I513" s="133" t="str">
        <f>IF(H513&gt;0,(#REF!*H513),"-")</f>
        <v>-</v>
      </c>
      <c r="J513" s="113">
        <v>1522</v>
      </c>
      <c r="K513" s="110" t="s">
        <v>127</v>
      </c>
      <c r="L513" s="110" t="s">
        <v>574</v>
      </c>
      <c r="M513" s="110" t="s">
        <v>129</v>
      </c>
      <c r="N513" s="110" t="s">
        <v>130</v>
      </c>
      <c r="O513" s="110" t="s">
        <v>2206</v>
      </c>
      <c r="P513" s="110" t="s">
        <v>137</v>
      </c>
      <c r="Q513" s="110" t="s">
        <v>96</v>
      </c>
      <c r="R513" s="121">
        <v>0.215</v>
      </c>
      <c r="S513" s="113" t="e">
        <f t="shared" si="14"/>
        <v>#VALUE!</v>
      </c>
      <c r="T513" s="113">
        <f t="shared" si="15"/>
        <v>0</v>
      </c>
    </row>
    <row r="514" spans="1:20" s="109" customFormat="1" x14ac:dyDescent="0.2">
      <c r="A514" s="116"/>
      <c r="B514" s="111" t="s">
        <v>289</v>
      </c>
      <c r="C514" s="110" t="s">
        <v>2207</v>
      </c>
      <c r="D514" s="110" t="s">
        <v>2208</v>
      </c>
      <c r="E514" s="112" t="s">
        <v>2209</v>
      </c>
      <c r="F514" s="111" t="s">
        <v>130</v>
      </c>
      <c r="G514" s="133">
        <v>200</v>
      </c>
      <c r="H514" s="124"/>
      <c r="I514" s="133" t="str">
        <f>IF(H514&gt;0,(#REF!*H514),"-")</f>
        <v>-</v>
      </c>
      <c r="J514" s="113">
        <v>1046</v>
      </c>
      <c r="K514" s="110" t="s">
        <v>127</v>
      </c>
      <c r="L514" s="110" t="s">
        <v>574</v>
      </c>
      <c r="M514" s="110" t="s">
        <v>129</v>
      </c>
      <c r="N514" s="110" t="s">
        <v>130</v>
      </c>
      <c r="O514" s="110" t="s">
        <v>2210</v>
      </c>
      <c r="P514" s="110" t="s">
        <v>137</v>
      </c>
      <c r="Q514" s="110" t="s">
        <v>96</v>
      </c>
      <c r="R514" s="121">
        <v>0.14000000000000001</v>
      </c>
      <c r="S514" s="113" t="e">
        <f t="shared" ref="S514:S577" si="16">Q514*H514</f>
        <v>#VALUE!</v>
      </c>
      <c r="T514" s="113">
        <f t="shared" ref="T514:T577" si="17">R514*H514</f>
        <v>0</v>
      </c>
    </row>
    <row r="515" spans="1:20" s="109" customFormat="1" x14ac:dyDescent="0.2">
      <c r="A515" s="116"/>
      <c r="B515" s="111"/>
      <c r="C515" s="110" t="s">
        <v>2211</v>
      </c>
      <c r="D515" s="110" t="s">
        <v>2212</v>
      </c>
      <c r="E515" s="112" t="s">
        <v>2213</v>
      </c>
      <c r="F515" s="111" t="s">
        <v>126</v>
      </c>
      <c r="G515" s="133">
        <v>215</v>
      </c>
      <c r="H515" s="124"/>
      <c r="I515" s="133" t="str">
        <f>IF(H515&gt;0,(#REF!*H515),"-")</f>
        <v>-</v>
      </c>
      <c r="J515" s="113">
        <v>4050</v>
      </c>
      <c r="K515" s="110" t="s">
        <v>127</v>
      </c>
      <c r="L515" s="110" t="s">
        <v>574</v>
      </c>
      <c r="M515" s="110" t="s">
        <v>129</v>
      </c>
      <c r="N515" s="110" t="s">
        <v>130</v>
      </c>
      <c r="O515" s="110" t="s">
        <v>2214</v>
      </c>
      <c r="P515" s="110" t="s">
        <v>137</v>
      </c>
      <c r="Q515" s="110" t="s">
        <v>96</v>
      </c>
      <c r="R515" s="121">
        <v>0.4269</v>
      </c>
      <c r="S515" s="113" t="e">
        <f t="shared" si="16"/>
        <v>#VALUE!</v>
      </c>
      <c r="T515" s="113">
        <f t="shared" si="17"/>
        <v>0</v>
      </c>
    </row>
    <row r="516" spans="1:20" s="109" customFormat="1" x14ac:dyDescent="0.2">
      <c r="A516" s="116"/>
      <c r="B516" s="111" t="s">
        <v>289</v>
      </c>
      <c r="C516" s="110" t="s">
        <v>2215</v>
      </c>
      <c r="D516" s="110" t="s">
        <v>2216</v>
      </c>
      <c r="E516" s="112" t="s">
        <v>2217</v>
      </c>
      <c r="F516" s="111" t="s">
        <v>130</v>
      </c>
      <c r="G516" s="133">
        <v>370</v>
      </c>
      <c r="H516" s="124"/>
      <c r="I516" s="133" t="str">
        <f>IF(H516&gt;0,(#REF!*H516),"-")</f>
        <v>-</v>
      </c>
      <c r="J516" s="113">
        <v>4213</v>
      </c>
      <c r="K516" s="110" t="s">
        <v>127</v>
      </c>
      <c r="L516" s="110" t="s">
        <v>574</v>
      </c>
      <c r="M516" s="110" t="s">
        <v>129</v>
      </c>
      <c r="N516" s="110" t="s">
        <v>130</v>
      </c>
      <c r="O516" s="110" t="s">
        <v>2218</v>
      </c>
      <c r="P516" s="110" t="s">
        <v>137</v>
      </c>
      <c r="Q516" s="110" t="s">
        <v>96</v>
      </c>
      <c r="R516" s="121">
        <v>0.54610000000000003</v>
      </c>
      <c r="S516" s="113" t="e">
        <f t="shared" si="16"/>
        <v>#VALUE!</v>
      </c>
      <c r="T516" s="113">
        <f t="shared" si="17"/>
        <v>0</v>
      </c>
    </row>
    <row r="517" spans="1:20" s="109" customFormat="1" x14ac:dyDescent="0.2">
      <c r="A517" s="116"/>
      <c r="B517" s="111" t="s">
        <v>207</v>
      </c>
      <c r="C517" s="110" t="s">
        <v>2219</v>
      </c>
      <c r="D517" s="110" t="s">
        <v>2220</v>
      </c>
      <c r="E517" s="112" t="s">
        <v>2221</v>
      </c>
      <c r="F517" s="111" t="s">
        <v>130</v>
      </c>
      <c r="G517" s="133">
        <v>155</v>
      </c>
      <c r="H517" s="124"/>
      <c r="I517" s="133" t="str">
        <f>IF(H517&gt;0,(#REF!*H517),"-")</f>
        <v>-</v>
      </c>
      <c r="J517" s="113">
        <v>871</v>
      </c>
      <c r="K517" s="110" t="s">
        <v>127</v>
      </c>
      <c r="L517" s="110" t="s">
        <v>2222</v>
      </c>
      <c r="M517" s="110" t="s">
        <v>129</v>
      </c>
      <c r="N517" s="110" t="s">
        <v>130</v>
      </c>
      <c r="O517" s="110" t="s">
        <v>2223</v>
      </c>
      <c r="P517" s="110" t="s">
        <v>132</v>
      </c>
      <c r="Q517" s="110" t="s">
        <v>97</v>
      </c>
      <c r="R517" s="121">
        <v>0.71499999999999997</v>
      </c>
      <c r="S517" s="113" t="e">
        <f t="shared" si="16"/>
        <v>#VALUE!</v>
      </c>
      <c r="T517" s="113">
        <f t="shared" si="17"/>
        <v>0</v>
      </c>
    </row>
    <row r="518" spans="1:20" s="109" customFormat="1" x14ac:dyDescent="0.2">
      <c r="A518" s="116"/>
      <c r="B518" s="111"/>
      <c r="C518" s="110" t="s">
        <v>2224</v>
      </c>
      <c r="D518" s="110" t="s">
        <v>2225</v>
      </c>
      <c r="E518" s="112" t="s">
        <v>2226</v>
      </c>
      <c r="F518" s="111" t="s">
        <v>126</v>
      </c>
      <c r="G518" s="133">
        <v>60</v>
      </c>
      <c r="H518" s="124"/>
      <c r="I518" s="133" t="str">
        <f>IF(H518&gt;0,(#REF!*H518),"-")</f>
        <v>-</v>
      </c>
      <c r="J518" s="113">
        <v>233</v>
      </c>
      <c r="K518" s="110" t="s">
        <v>127</v>
      </c>
      <c r="L518" s="110" t="s">
        <v>2222</v>
      </c>
      <c r="M518" s="110" t="s">
        <v>129</v>
      </c>
      <c r="N518" s="110" t="s">
        <v>130</v>
      </c>
      <c r="O518" s="110" t="s">
        <v>2227</v>
      </c>
      <c r="P518" s="110" t="s">
        <v>400</v>
      </c>
      <c r="Q518" s="110" t="s">
        <v>97</v>
      </c>
      <c r="R518" s="121">
        <v>0.16900000000000001</v>
      </c>
      <c r="S518" s="113" t="e">
        <f t="shared" si="16"/>
        <v>#VALUE!</v>
      </c>
      <c r="T518" s="113">
        <f t="shared" si="17"/>
        <v>0</v>
      </c>
    </row>
    <row r="519" spans="1:20" s="109" customFormat="1" x14ac:dyDescent="0.2">
      <c r="A519" s="116"/>
      <c r="B519" s="111" t="s">
        <v>207</v>
      </c>
      <c r="C519" s="110" t="s">
        <v>2228</v>
      </c>
      <c r="D519" s="110" t="s">
        <v>2229</v>
      </c>
      <c r="E519" s="112" t="s">
        <v>2230</v>
      </c>
      <c r="F519" s="111" t="s">
        <v>130</v>
      </c>
      <c r="G519" s="133">
        <v>155</v>
      </c>
      <c r="H519" s="124"/>
      <c r="I519" s="133" t="str">
        <f>IF(H519&gt;0,(#REF!*H519),"-")</f>
        <v>-</v>
      </c>
      <c r="J519" s="113">
        <v>824</v>
      </c>
      <c r="K519" s="110" t="s">
        <v>127</v>
      </c>
      <c r="L519" s="110" t="s">
        <v>2231</v>
      </c>
      <c r="M519" s="110" t="s">
        <v>129</v>
      </c>
      <c r="N519" s="110" t="s">
        <v>130</v>
      </c>
      <c r="O519" s="110" t="s">
        <v>2232</v>
      </c>
      <c r="P519" s="110" t="s">
        <v>132</v>
      </c>
      <c r="Q519" s="110" t="s">
        <v>97</v>
      </c>
      <c r="R519" s="121">
        <v>0.6</v>
      </c>
      <c r="S519" s="113" t="e">
        <f t="shared" si="16"/>
        <v>#VALUE!</v>
      </c>
      <c r="T519" s="113">
        <f t="shared" si="17"/>
        <v>0</v>
      </c>
    </row>
    <row r="520" spans="1:20" s="109" customFormat="1" x14ac:dyDescent="0.2">
      <c r="A520" s="116"/>
      <c r="B520" s="111"/>
      <c r="C520" s="110" t="s">
        <v>2233</v>
      </c>
      <c r="D520" s="110" t="s">
        <v>2234</v>
      </c>
      <c r="E520" s="112" t="s">
        <v>2235</v>
      </c>
      <c r="F520" s="111" t="s">
        <v>126</v>
      </c>
      <c r="G520" s="133">
        <v>60</v>
      </c>
      <c r="H520" s="124"/>
      <c r="I520" s="133" t="str">
        <f>IF(H520&gt;0,(#REF!*H520),"-")</f>
        <v>-</v>
      </c>
      <c r="J520" s="113">
        <v>242</v>
      </c>
      <c r="K520" s="110" t="s">
        <v>127</v>
      </c>
      <c r="L520" s="110" t="s">
        <v>2231</v>
      </c>
      <c r="M520" s="110" t="s">
        <v>129</v>
      </c>
      <c r="N520" s="110" t="s">
        <v>130</v>
      </c>
      <c r="O520" s="110" t="s">
        <v>2236</v>
      </c>
      <c r="P520" s="110" t="s">
        <v>400</v>
      </c>
      <c r="Q520" s="110" t="s">
        <v>97</v>
      </c>
      <c r="R520" s="121">
        <v>0.14799999999999999</v>
      </c>
      <c r="S520" s="113" t="e">
        <f t="shared" si="16"/>
        <v>#VALUE!</v>
      </c>
      <c r="T520" s="113">
        <f t="shared" si="17"/>
        <v>0</v>
      </c>
    </row>
    <row r="521" spans="1:20" s="109" customFormat="1" x14ac:dyDescent="0.2">
      <c r="A521" s="116"/>
      <c r="B521" s="111" t="s">
        <v>289</v>
      </c>
      <c r="C521" s="110" t="s">
        <v>2237</v>
      </c>
      <c r="D521" s="110" t="s">
        <v>2238</v>
      </c>
      <c r="E521" s="112" t="s">
        <v>2239</v>
      </c>
      <c r="F521" s="111" t="s">
        <v>130</v>
      </c>
      <c r="G521" s="133">
        <v>155</v>
      </c>
      <c r="H521" s="124"/>
      <c r="I521" s="133" t="str">
        <f>IF(H521&gt;0,(#REF!*H521),"-")</f>
        <v>-</v>
      </c>
      <c r="J521" s="113">
        <v>1522</v>
      </c>
      <c r="K521" s="110" t="s">
        <v>127</v>
      </c>
      <c r="L521" s="110" t="s">
        <v>2231</v>
      </c>
      <c r="M521" s="110" t="s">
        <v>129</v>
      </c>
      <c r="N521" s="110" t="s">
        <v>130</v>
      </c>
      <c r="O521" s="110" t="s">
        <v>2240</v>
      </c>
      <c r="P521" s="110" t="s">
        <v>137</v>
      </c>
      <c r="Q521" s="110" t="s">
        <v>96</v>
      </c>
      <c r="R521" s="121">
        <v>0.193</v>
      </c>
      <c r="S521" s="113" t="e">
        <f t="shared" si="16"/>
        <v>#VALUE!</v>
      </c>
      <c r="T521" s="113">
        <f t="shared" si="17"/>
        <v>0</v>
      </c>
    </row>
    <row r="522" spans="1:20" s="109" customFormat="1" x14ac:dyDescent="0.2">
      <c r="A522" s="116"/>
      <c r="B522" s="111" t="s">
        <v>207</v>
      </c>
      <c r="C522" s="110" t="s">
        <v>2241</v>
      </c>
      <c r="D522" s="110" t="s">
        <v>2242</v>
      </c>
      <c r="E522" s="112" t="s">
        <v>2243</v>
      </c>
      <c r="F522" s="111" t="s">
        <v>130</v>
      </c>
      <c r="G522" s="133">
        <v>174</v>
      </c>
      <c r="H522" s="124"/>
      <c r="I522" s="133" t="str">
        <f>IF(H522&gt;0,(#REF!*H522),"-")</f>
        <v>-</v>
      </c>
      <c r="J522" s="113">
        <v>1046</v>
      </c>
      <c r="K522" s="110" t="s">
        <v>127</v>
      </c>
      <c r="L522" s="110" t="s">
        <v>2231</v>
      </c>
      <c r="M522" s="110" t="s">
        <v>129</v>
      </c>
      <c r="N522" s="110" t="s">
        <v>130</v>
      </c>
      <c r="O522" s="110" t="s">
        <v>2244</v>
      </c>
      <c r="P522" s="110" t="s">
        <v>137</v>
      </c>
      <c r="Q522" s="110" t="s">
        <v>96</v>
      </c>
      <c r="R522" s="121">
        <v>0.153</v>
      </c>
      <c r="S522" s="113" t="e">
        <f t="shared" si="16"/>
        <v>#VALUE!</v>
      </c>
      <c r="T522" s="113">
        <f t="shared" si="17"/>
        <v>0</v>
      </c>
    </row>
    <row r="523" spans="1:20" s="109" customFormat="1" x14ac:dyDescent="0.2">
      <c r="A523" s="116"/>
      <c r="B523" s="111" t="s">
        <v>289</v>
      </c>
      <c r="C523" s="110" t="s">
        <v>2245</v>
      </c>
      <c r="D523" s="110" t="s">
        <v>2246</v>
      </c>
      <c r="E523" s="112" t="s">
        <v>2247</v>
      </c>
      <c r="F523" s="111" t="s">
        <v>130</v>
      </c>
      <c r="G523" s="133">
        <v>200</v>
      </c>
      <c r="H523" s="124"/>
      <c r="I523" s="133" t="str">
        <f>IF(H523&gt;0,(#REF!*H523),"-")</f>
        <v>-</v>
      </c>
      <c r="J523" s="113">
        <v>1046</v>
      </c>
      <c r="K523" s="110" t="s">
        <v>127</v>
      </c>
      <c r="L523" s="110" t="s">
        <v>2231</v>
      </c>
      <c r="M523" s="110" t="s">
        <v>129</v>
      </c>
      <c r="N523" s="110" t="s">
        <v>130</v>
      </c>
      <c r="O523" s="110" t="s">
        <v>2248</v>
      </c>
      <c r="P523" s="110" t="s">
        <v>137</v>
      </c>
      <c r="Q523" s="110" t="s">
        <v>96</v>
      </c>
      <c r="R523" s="121">
        <v>0.14899999999999999</v>
      </c>
      <c r="S523" s="113" t="e">
        <f t="shared" si="16"/>
        <v>#VALUE!</v>
      </c>
      <c r="T523" s="113">
        <f t="shared" si="17"/>
        <v>0</v>
      </c>
    </row>
    <row r="524" spans="1:20" s="109" customFormat="1" x14ac:dyDescent="0.2">
      <c r="A524" s="116"/>
      <c r="B524" s="111" t="s">
        <v>207</v>
      </c>
      <c r="C524" s="110" t="s">
        <v>2249</v>
      </c>
      <c r="D524" s="110" t="s">
        <v>2250</v>
      </c>
      <c r="E524" s="112" t="s">
        <v>2251</v>
      </c>
      <c r="F524" s="111" t="s">
        <v>130</v>
      </c>
      <c r="G524" s="133">
        <v>280</v>
      </c>
      <c r="H524" s="124"/>
      <c r="I524" s="133" t="str">
        <f>IF(H524&gt;0,(#REF!*H524),"-")</f>
        <v>-</v>
      </c>
      <c r="J524" s="113">
        <v>1522</v>
      </c>
      <c r="K524" s="110" t="s">
        <v>127</v>
      </c>
      <c r="L524" s="110" t="s">
        <v>2231</v>
      </c>
      <c r="M524" s="110" t="s">
        <v>129</v>
      </c>
      <c r="N524" s="110" t="s">
        <v>130</v>
      </c>
      <c r="O524" s="110" t="s">
        <v>2252</v>
      </c>
      <c r="P524" s="110" t="s">
        <v>137</v>
      </c>
      <c r="Q524" s="110" t="s">
        <v>96</v>
      </c>
      <c r="R524" s="121">
        <v>0.2021</v>
      </c>
      <c r="S524" s="113" t="e">
        <f t="shared" si="16"/>
        <v>#VALUE!</v>
      </c>
      <c r="T524" s="113">
        <f t="shared" si="17"/>
        <v>0</v>
      </c>
    </row>
    <row r="525" spans="1:20" s="109" customFormat="1" x14ac:dyDescent="0.2">
      <c r="A525" s="116"/>
      <c r="B525" s="111" t="s">
        <v>207</v>
      </c>
      <c r="C525" s="110" t="s">
        <v>2253</v>
      </c>
      <c r="D525" s="110" t="s">
        <v>2254</v>
      </c>
      <c r="E525" s="112" t="s">
        <v>2255</v>
      </c>
      <c r="F525" s="111" t="s">
        <v>130</v>
      </c>
      <c r="G525" s="133">
        <v>217</v>
      </c>
      <c r="H525" s="124"/>
      <c r="I525" s="133" t="str">
        <f>IF(H525&gt;0,(#REF!*H525),"-")</f>
        <v>-</v>
      </c>
      <c r="J525" s="113">
        <v>1522</v>
      </c>
      <c r="K525" s="110" t="s">
        <v>127</v>
      </c>
      <c r="L525" s="110" t="s">
        <v>2231</v>
      </c>
      <c r="M525" s="110" t="s">
        <v>129</v>
      </c>
      <c r="N525" s="110" t="s">
        <v>130</v>
      </c>
      <c r="O525" s="110" t="s">
        <v>2256</v>
      </c>
      <c r="P525" s="110" t="s">
        <v>137</v>
      </c>
      <c r="Q525" s="110" t="s">
        <v>96</v>
      </c>
      <c r="R525" s="121">
        <v>0.223</v>
      </c>
      <c r="S525" s="113" t="e">
        <f t="shared" si="16"/>
        <v>#VALUE!</v>
      </c>
      <c r="T525" s="113">
        <f t="shared" si="17"/>
        <v>0</v>
      </c>
    </row>
    <row r="526" spans="1:20" s="109" customFormat="1" x14ac:dyDescent="0.2">
      <c r="A526" s="116"/>
      <c r="B526" s="111" t="s">
        <v>207</v>
      </c>
      <c r="C526" s="110" t="s">
        <v>2257</v>
      </c>
      <c r="D526" s="110" t="s">
        <v>2258</v>
      </c>
      <c r="E526" s="112" t="s">
        <v>2259</v>
      </c>
      <c r="F526" s="111" t="s">
        <v>130</v>
      </c>
      <c r="G526" s="133">
        <v>170</v>
      </c>
      <c r="H526" s="124"/>
      <c r="I526" s="133" t="str">
        <f>IF(H526&gt;0,(#REF!*H526),"-")</f>
        <v>-</v>
      </c>
      <c r="J526" s="113">
        <v>1046</v>
      </c>
      <c r="K526" s="110" t="s">
        <v>127</v>
      </c>
      <c r="L526" s="110" t="s">
        <v>2231</v>
      </c>
      <c r="M526" s="110" t="s">
        <v>129</v>
      </c>
      <c r="N526" s="110" t="s">
        <v>130</v>
      </c>
      <c r="O526" s="110" t="s">
        <v>2260</v>
      </c>
      <c r="P526" s="110" t="s">
        <v>137</v>
      </c>
      <c r="Q526" s="110" t="s">
        <v>96</v>
      </c>
      <c r="R526" s="121">
        <v>0.13239999999999999</v>
      </c>
      <c r="S526" s="113" t="e">
        <f t="shared" si="16"/>
        <v>#VALUE!</v>
      </c>
      <c r="T526" s="113">
        <f t="shared" si="17"/>
        <v>0</v>
      </c>
    </row>
    <row r="527" spans="1:20" s="109" customFormat="1" x14ac:dyDescent="0.2">
      <c r="A527" s="116"/>
      <c r="B527" s="111" t="s">
        <v>289</v>
      </c>
      <c r="C527" s="110" t="s">
        <v>2261</v>
      </c>
      <c r="D527" s="110" t="s">
        <v>2262</v>
      </c>
      <c r="E527" s="112" t="s">
        <v>2263</v>
      </c>
      <c r="F527" s="111" t="s">
        <v>130</v>
      </c>
      <c r="G527" s="133">
        <v>280</v>
      </c>
      <c r="H527" s="124"/>
      <c r="I527" s="133" t="str">
        <f>IF(H527&gt;0,(#REF!*H527),"-")</f>
        <v>-</v>
      </c>
      <c r="J527" s="113">
        <v>1522</v>
      </c>
      <c r="K527" s="110" t="s">
        <v>127</v>
      </c>
      <c r="L527" s="110" t="s">
        <v>2231</v>
      </c>
      <c r="M527" s="110" t="s">
        <v>129</v>
      </c>
      <c r="N527" s="110" t="s">
        <v>130</v>
      </c>
      <c r="O527" s="110" t="s">
        <v>2264</v>
      </c>
      <c r="P527" s="110" t="s">
        <v>137</v>
      </c>
      <c r="Q527" s="110" t="s">
        <v>96</v>
      </c>
      <c r="R527" s="121">
        <v>0.17599999999999999</v>
      </c>
      <c r="S527" s="113" t="e">
        <f t="shared" si="16"/>
        <v>#VALUE!</v>
      </c>
      <c r="T527" s="113">
        <f t="shared" si="17"/>
        <v>0</v>
      </c>
    </row>
    <row r="528" spans="1:20" s="109" customFormat="1" x14ac:dyDescent="0.2">
      <c r="A528" s="116"/>
      <c r="B528" s="111"/>
      <c r="C528" s="110" t="s">
        <v>2265</v>
      </c>
      <c r="D528" s="110" t="s">
        <v>2266</v>
      </c>
      <c r="E528" s="112" t="s">
        <v>2267</v>
      </c>
      <c r="F528" s="111" t="s">
        <v>126</v>
      </c>
      <c r="G528" s="133">
        <v>200</v>
      </c>
      <c r="H528" s="124"/>
      <c r="I528" s="133" t="str">
        <f>IF(H528&gt;0,(#REF!*H528),"-")</f>
        <v>-</v>
      </c>
      <c r="J528" s="113">
        <v>1046</v>
      </c>
      <c r="K528" s="110" t="s">
        <v>127</v>
      </c>
      <c r="L528" s="110" t="s">
        <v>2231</v>
      </c>
      <c r="M528" s="110" t="s">
        <v>129</v>
      </c>
      <c r="N528" s="110" t="s">
        <v>130</v>
      </c>
      <c r="O528" s="110" t="s">
        <v>2268</v>
      </c>
      <c r="P528" s="110" t="s">
        <v>137</v>
      </c>
      <c r="Q528" s="110" t="s">
        <v>96</v>
      </c>
      <c r="R528" s="121">
        <v>0.13200000000000001</v>
      </c>
      <c r="S528" s="113" t="e">
        <f t="shared" si="16"/>
        <v>#VALUE!</v>
      </c>
      <c r="T528" s="113">
        <f t="shared" si="17"/>
        <v>0</v>
      </c>
    </row>
    <row r="529" spans="1:20" s="109" customFormat="1" x14ac:dyDescent="0.2">
      <c r="A529" s="116"/>
      <c r="B529" s="111"/>
      <c r="C529" s="110" t="s">
        <v>2269</v>
      </c>
      <c r="D529" s="110" t="s">
        <v>2270</v>
      </c>
      <c r="E529" s="112" t="s">
        <v>2271</v>
      </c>
      <c r="F529" s="111" t="s">
        <v>126</v>
      </c>
      <c r="G529" s="133">
        <v>136</v>
      </c>
      <c r="H529" s="124"/>
      <c r="I529" s="133" t="str">
        <f>IF(H529&gt;0,(#REF!*H529),"-")</f>
        <v>-</v>
      </c>
      <c r="J529" s="113">
        <v>540</v>
      </c>
      <c r="K529" s="110" t="s">
        <v>127</v>
      </c>
      <c r="L529" s="110" t="s">
        <v>2231</v>
      </c>
      <c r="M529" s="110" t="s">
        <v>129</v>
      </c>
      <c r="N529" s="110" t="s">
        <v>130</v>
      </c>
      <c r="O529" s="110" t="s">
        <v>2272</v>
      </c>
      <c r="P529" s="110" t="s">
        <v>137</v>
      </c>
      <c r="Q529" s="110" t="s">
        <v>96</v>
      </c>
      <c r="R529" s="121">
        <v>3.5000000000000003E-2</v>
      </c>
      <c r="S529" s="113" t="e">
        <f t="shared" si="16"/>
        <v>#VALUE!</v>
      </c>
      <c r="T529" s="113">
        <f t="shared" si="17"/>
        <v>0</v>
      </c>
    </row>
    <row r="530" spans="1:20" s="109" customFormat="1" x14ac:dyDescent="0.2">
      <c r="A530" s="116"/>
      <c r="B530" s="111"/>
      <c r="C530" s="110" t="s">
        <v>2273</v>
      </c>
      <c r="D530" s="110" t="s">
        <v>2274</v>
      </c>
      <c r="E530" s="112" t="s">
        <v>2275</v>
      </c>
      <c r="F530" s="111" t="s">
        <v>126</v>
      </c>
      <c r="G530" s="133">
        <v>280</v>
      </c>
      <c r="H530" s="124"/>
      <c r="I530" s="133" t="str">
        <f>IF(H530&gt;0,(#REF!*H530),"-")</f>
        <v>-</v>
      </c>
      <c r="J530" s="113">
        <v>4309</v>
      </c>
      <c r="K530" s="110" t="s">
        <v>127</v>
      </c>
      <c r="L530" s="110" t="s">
        <v>2231</v>
      </c>
      <c r="M530" s="110" t="s">
        <v>129</v>
      </c>
      <c r="N530" s="110" t="s">
        <v>130</v>
      </c>
      <c r="O530" s="110" t="s">
        <v>2276</v>
      </c>
      <c r="P530" s="110" t="s">
        <v>137</v>
      </c>
      <c r="Q530" s="110" t="s">
        <v>96</v>
      </c>
      <c r="R530" s="121">
        <v>0.40600000000000003</v>
      </c>
      <c r="S530" s="113" t="e">
        <f t="shared" si="16"/>
        <v>#VALUE!</v>
      </c>
      <c r="T530" s="113">
        <f t="shared" si="17"/>
        <v>0</v>
      </c>
    </row>
    <row r="531" spans="1:20" s="109" customFormat="1" x14ac:dyDescent="0.2">
      <c r="A531" s="116"/>
      <c r="B531" s="111" t="s">
        <v>289</v>
      </c>
      <c r="C531" s="110" t="s">
        <v>2277</v>
      </c>
      <c r="D531" s="110" t="s">
        <v>2278</v>
      </c>
      <c r="E531" s="112" t="s">
        <v>2279</v>
      </c>
      <c r="F531" s="111" t="s">
        <v>130</v>
      </c>
      <c r="G531" s="133">
        <v>370</v>
      </c>
      <c r="H531" s="124"/>
      <c r="I531" s="133" t="str">
        <f>IF(H531&gt;0,(#REF!*H531),"-")</f>
        <v>-</v>
      </c>
      <c r="J531" s="113">
        <v>4253</v>
      </c>
      <c r="K531" s="110" t="s">
        <v>127</v>
      </c>
      <c r="L531" s="110" t="s">
        <v>2231</v>
      </c>
      <c r="M531" s="110" t="s">
        <v>129</v>
      </c>
      <c r="N531" s="110" t="s">
        <v>130</v>
      </c>
      <c r="O531" s="110" t="s">
        <v>2280</v>
      </c>
      <c r="P531" s="110" t="s">
        <v>137</v>
      </c>
      <c r="Q531" s="110" t="s">
        <v>96</v>
      </c>
      <c r="R531" s="121">
        <v>0.5</v>
      </c>
      <c r="S531" s="113" t="e">
        <f t="shared" si="16"/>
        <v>#VALUE!</v>
      </c>
      <c r="T531" s="113">
        <f t="shared" si="17"/>
        <v>0</v>
      </c>
    </row>
    <row r="532" spans="1:20" s="109" customFormat="1" x14ac:dyDescent="0.2">
      <c r="A532" s="116"/>
      <c r="B532" s="111" t="s">
        <v>207</v>
      </c>
      <c r="C532" s="110" t="s">
        <v>2281</v>
      </c>
      <c r="D532" s="110" t="s">
        <v>2282</v>
      </c>
      <c r="E532" s="112" t="s">
        <v>2283</v>
      </c>
      <c r="F532" s="111" t="s">
        <v>130</v>
      </c>
      <c r="G532" s="133">
        <v>155</v>
      </c>
      <c r="H532" s="124"/>
      <c r="I532" s="133" t="str">
        <f>IF(H532&gt;0,(#REF!*H532),"-")</f>
        <v>-</v>
      </c>
      <c r="J532" s="113">
        <v>942</v>
      </c>
      <c r="K532" s="110" t="s">
        <v>127</v>
      </c>
      <c r="L532" s="110" t="s">
        <v>579</v>
      </c>
      <c r="M532" s="110" t="s">
        <v>129</v>
      </c>
      <c r="N532" s="110" t="s">
        <v>130</v>
      </c>
      <c r="O532" s="110" t="s">
        <v>2284</v>
      </c>
      <c r="P532" s="110" t="s">
        <v>132</v>
      </c>
      <c r="Q532" s="110" t="s">
        <v>97</v>
      </c>
      <c r="R532" s="121">
        <v>0.72399999999999998</v>
      </c>
      <c r="S532" s="113" t="e">
        <f t="shared" si="16"/>
        <v>#VALUE!</v>
      </c>
      <c r="T532" s="113">
        <f t="shared" si="17"/>
        <v>0</v>
      </c>
    </row>
    <row r="533" spans="1:20" s="109" customFormat="1" x14ac:dyDescent="0.2">
      <c r="A533" s="116"/>
      <c r="B533" s="111"/>
      <c r="C533" s="110" t="s">
        <v>2285</v>
      </c>
      <c r="D533" s="110" t="s">
        <v>2286</v>
      </c>
      <c r="E533" s="112" t="s">
        <v>2287</v>
      </c>
      <c r="F533" s="111" t="s">
        <v>126</v>
      </c>
      <c r="G533" s="133">
        <v>60</v>
      </c>
      <c r="H533" s="124"/>
      <c r="I533" s="133" t="str">
        <f>IF(H533&gt;0,(#REF!*H533),"-")</f>
        <v>-</v>
      </c>
      <c r="J533" s="113">
        <v>265</v>
      </c>
      <c r="K533" s="110" t="s">
        <v>127</v>
      </c>
      <c r="L533" s="110" t="s">
        <v>579</v>
      </c>
      <c r="M533" s="110" t="s">
        <v>129</v>
      </c>
      <c r="N533" s="110" t="s">
        <v>130</v>
      </c>
      <c r="O533" s="110" t="s">
        <v>2288</v>
      </c>
      <c r="P533" s="110" t="s">
        <v>400</v>
      </c>
      <c r="Q533" s="110" t="s">
        <v>97</v>
      </c>
      <c r="R533" s="121">
        <v>0.157</v>
      </c>
      <c r="S533" s="113" t="e">
        <f t="shared" si="16"/>
        <v>#VALUE!</v>
      </c>
      <c r="T533" s="113">
        <f t="shared" si="17"/>
        <v>0</v>
      </c>
    </row>
    <row r="534" spans="1:20" s="109" customFormat="1" x14ac:dyDescent="0.2">
      <c r="A534" s="116"/>
      <c r="B534" s="111"/>
      <c r="C534" s="110" t="s">
        <v>2289</v>
      </c>
      <c r="D534" s="110" t="s">
        <v>2290</v>
      </c>
      <c r="E534" s="112" t="s">
        <v>2291</v>
      </c>
      <c r="F534" s="111" t="s">
        <v>126</v>
      </c>
      <c r="G534" s="133">
        <v>110</v>
      </c>
      <c r="H534" s="124"/>
      <c r="I534" s="133" t="str">
        <f>IF(H534&gt;0,(#REF!*H534),"-")</f>
        <v>-</v>
      </c>
      <c r="J534" s="113">
        <v>398</v>
      </c>
      <c r="K534" s="110" t="s">
        <v>127</v>
      </c>
      <c r="L534" s="110" t="s">
        <v>579</v>
      </c>
      <c r="M534" s="110" t="s">
        <v>129</v>
      </c>
      <c r="N534" s="110" t="s">
        <v>130</v>
      </c>
      <c r="O534" s="110" t="s">
        <v>2292</v>
      </c>
      <c r="P534" s="110" t="s">
        <v>137</v>
      </c>
      <c r="Q534" s="110" t="s">
        <v>96</v>
      </c>
      <c r="R534" s="121">
        <v>2.4199999999999999E-2</v>
      </c>
      <c r="S534" s="113" t="e">
        <f t="shared" si="16"/>
        <v>#VALUE!</v>
      </c>
      <c r="T534" s="113">
        <f t="shared" si="17"/>
        <v>0</v>
      </c>
    </row>
    <row r="535" spans="1:20" s="109" customFormat="1" x14ac:dyDescent="0.2">
      <c r="A535" s="116"/>
      <c r="B535" s="111"/>
      <c r="C535" s="110" t="s">
        <v>2293</v>
      </c>
      <c r="D535" s="110" t="s">
        <v>2294</v>
      </c>
      <c r="E535" s="112" t="s">
        <v>2295</v>
      </c>
      <c r="F535" s="111" t="s">
        <v>126</v>
      </c>
      <c r="G535" s="133">
        <v>110</v>
      </c>
      <c r="H535" s="124"/>
      <c r="I535" s="133" t="str">
        <f>IF(H535&gt;0,(#REF!*H535),"-")</f>
        <v>-</v>
      </c>
      <c r="J535" s="113">
        <v>398</v>
      </c>
      <c r="K535" s="110" t="s">
        <v>127</v>
      </c>
      <c r="L535" s="110" t="s">
        <v>579</v>
      </c>
      <c r="M535" s="110" t="s">
        <v>129</v>
      </c>
      <c r="N535" s="110" t="s">
        <v>130</v>
      </c>
      <c r="O535" s="110" t="s">
        <v>2296</v>
      </c>
      <c r="P535" s="110" t="s">
        <v>137</v>
      </c>
      <c r="Q535" s="110" t="s">
        <v>96</v>
      </c>
      <c r="R535" s="121">
        <v>2.3400000000000001E-2</v>
      </c>
      <c r="S535" s="113" t="e">
        <f t="shared" si="16"/>
        <v>#VALUE!</v>
      </c>
      <c r="T535" s="113">
        <f t="shared" si="17"/>
        <v>0</v>
      </c>
    </row>
    <row r="536" spans="1:20" s="109" customFormat="1" x14ac:dyDescent="0.2">
      <c r="A536" s="116"/>
      <c r="B536" s="111"/>
      <c r="C536" s="110" t="s">
        <v>2297</v>
      </c>
      <c r="D536" s="110" t="s">
        <v>2298</v>
      </c>
      <c r="E536" s="112" t="s">
        <v>2299</v>
      </c>
      <c r="F536" s="111" t="s">
        <v>126</v>
      </c>
      <c r="G536" s="133">
        <v>110</v>
      </c>
      <c r="H536" s="124"/>
      <c r="I536" s="133" t="str">
        <f>IF(H536&gt;0,(#REF!*H536),"-")</f>
        <v>-</v>
      </c>
      <c r="J536" s="113">
        <v>398</v>
      </c>
      <c r="K536" s="110" t="s">
        <v>127</v>
      </c>
      <c r="L536" s="110" t="s">
        <v>579</v>
      </c>
      <c r="M536" s="110" t="s">
        <v>129</v>
      </c>
      <c r="N536" s="110" t="s">
        <v>130</v>
      </c>
      <c r="O536" s="110" t="s">
        <v>2300</v>
      </c>
      <c r="P536" s="110" t="s">
        <v>137</v>
      </c>
      <c r="Q536" s="110" t="s">
        <v>96</v>
      </c>
      <c r="R536" s="121">
        <v>2.3E-2</v>
      </c>
      <c r="S536" s="113" t="e">
        <f t="shared" si="16"/>
        <v>#VALUE!</v>
      </c>
      <c r="T536" s="113">
        <f t="shared" si="17"/>
        <v>0</v>
      </c>
    </row>
    <row r="537" spans="1:20" s="109" customFormat="1" x14ac:dyDescent="0.2">
      <c r="A537" s="116"/>
      <c r="B537" s="111" t="s">
        <v>202</v>
      </c>
      <c r="C537" s="110" t="s">
        <v>2301</v>
      </c>
      <c r="D537" s="110" t="s">
        <v>2302</v>
      </c>
      <c r="E537" s="112" t="s">
        <v>2303</v>
      </c>
      <c r="F537" s="111" t="s">
        <v>130</v>
      </c>
      <c r="G537" s="133">
        <v>110</v>
      </c>
      <c r="H537" s="124"/>
      <c r="I537" s="133" t="str">
        <f>IF(H537&gt;0,(#REF!*H537),"-")</f>
        <v>-</v>
      </c>
      <c r="J537" s="113">
        <v>398</v>
      </c>
      <c r="K537" s="110" t="s">
        <v>127</v>
      </c>
      <c r="L537" s="110" t="s">
        <v>579</v>
      </c>
      <c r="M537" s="110" t="s">
        <v>129</v>
      </c>
      <c r="N537" s="110" t="s">
        <v>130</v>
      </c>
      <c r="O537" s="110" t="s">
        <v>2304</v>
      </c>
      <c r="P537" s="110" t="s">
        <v>137</v>
      </c>
      <c r="Q537" s="110" t="s">
        <v>96</v>
      </c>
      <c r="R537" s="121">
        <v>2.2599999999999999E-2</v>
      </c>
      <c r="S537" s="113" t="e">
        <f t="shared" si="16"/>
        <v>#VALUE!</v>
      </c>
      <c r="T537" s="113">
        <f t="shared" si="17"/>
        <v>0</v>
      </c>
    </row>
    <row r="538" spans="1:20" s="109" customFormat="1" x14ac:dyDescent="0.2">
      <c r="A538" s="116"/>
      <c r="B538" s="111"/>
      <c r="C538" s="110" t="s">
        <v>2305</v>
      </c>
      <c r="D538" s="110" t="s">
        <v>2306</v>
      </c>
      <c r="E538" s="112" t="s">
        <v>2307</v>
      </c>
      <c r="F538" s="111" t="s">
        <v>126</v>
      </c>
      <c r="G538" s="133">
        <v>110</v>
      </c>
      <c r="H538" s="124"/>
      <c r="I538" s="133" t="str">
        <f>IF(H538&gt;0,(#REF!*H538),"-")</f>
        <v>-</v>
      </c>
      <c r="J538" s="113">
        <v>398</v>
      </c>
      <c r="K538" s="110" t="s">
        <v>127</v>
      </c>
      <c r="L538" s="110" t="s">
        <v>579</v>
      </c>
      <c r="M538" s="110" t="s">
        <v>129</v>
      </c>
      <c r="N538" s="110" t="s">
        <v>130</v>
      </c>
      <c r="O538" s="110" t="s">
        <v>2308</v>
      </c>
      <c r="P538" s="110" t="s">
        <v>137</v>
      </c>
      <c r="Q538" s="110" t="s">
        <v>96</v>
      </c>
      <c r="R538" s="121">
        <v>2.4400000000000002E-2</v>
      </c>
      <c r="S538" s="113" t="e">
        <f t="shared" si="16"/>
        <v>#VALUE!</v>
      </c>
      <c r="T538" s="113">
        <f t="shared" si="17"/>
        <v>0</v>
      </c>
    </row>
    <row r="539" spans="1:20" s="109" customFormat="1" x14ac:dyDescent="0.2">
      <c r="A539" s="116"/>
      <c r="B539" s="111" t="s">
        <v>207</v>
      </c>
      <c r="C539" s="110" t="s">
        <v>2309</v>
      </c>
      <c r="D539" s="110" t="s">
        <v>2310</v>
      </c>
      <c r="E539" s="112" t="s">
        <v>2311</v>
      </c>
      <c r="F539" s="111" t="s">
        <v>130</v>
      </c>
      <c r="G539" s="133">
        <v>110</v>
      </c>
      <c r="H539" s="124"/>
      <c r="I539" s="133" t="str">
        <f>IF(H539&gt;0,(#REF!*H539),"-")</f>
        <v>-</v>
      </c>
      <c r="J539" s="113">
        <v>398</v>
      </c>
      <c r="K539" s="110" t="s">
        <v>127</v>
      </c>
      <c r="L539" s="110" t="s">
        <v>579</v>
      </c>
      <c r="M539" s="110" t="s">
        <v>129</v>
      </c>
      <c r="N539" s="110" t="s">
        <v>130</v>
      </c>
      <c r="O539" s="110" t="s">
        <v>2312</v>
      </c>
      <c r="P539" s="110" t="s">
        <v>137</v>
      </c>
      <c r="Q539" s="110" t="s">
        <v>96</v>
      </c>
      <c r="R539" s="121">
        <v>2.47E-2</v>
      </c>
      <c r="S539" s="113" t="e">
        <f t="shared" si="16"/>
        <v>#VALUE!</v>
      </c>
      <c r="T539" s="113">
        <f t="shared" si="17"/>
        <v>0</v>
      </c>
    </row>
    <row r="540" spans="1:20" s="109" customFormat="1" x14ac:dyDescent="0.2">
      <c r="A540" s="116"/>
      <c r="B540" s="111"/>
      <c r="C540" s="110" t="s">
        <v>2313</v>
      </c>
      <c r="D540" s="110" t="s">
        <v>2314</v>
      </c>
      <c r="E540" s="112" t="s">
        <v>2315</v>
      </c>
      <c r="F540" s="111" t="s">
        <v>126</v>
      </c>
      <c r="G540" s="133">
        <v>235</v>
      </c>
      <c r="H540" s="124"/>
      <c r="I540" s="133" t="str">
        <f>IF(H540&gt;0,(#REF!*H540),"-")</f>
        <v>-</v>
      </c>
      <c r="J540" s="113">
        <v>1046</v>
      </c>
      <c r="K540" s="110" t="s">
        <v>127</v>
      </c>
      <c r="L540" s="110" t="s">
        <v>579</v>
      </c>
      <c r="M540" s="110" t="s">
        <v>129</v>
      </c>
      <c r="N540" s="110" t="s">
        <v>130</v>
      </c>
      <c r="O540" s="110" t="s">
        <v>2316</v>
      </c>
      <c r="P540" s="110" t="s">
        <v>137</v>
      </c>
      <c r="Q540" s="110" t="s">
        <v>96</v>
      </c>
      <c r="R540" s="121">
        <v>9.8000000000000004E-2</v>
      </c>
      <c r="S540" s="113" t="e">
        <f t="shared" si="16"/>
        <v>#VALUE!</v>
      </c>
      <c r="T540" s="113">
        <f t="shared" si="17"/>
        <v>0</v>
      </c>
    </row>
    <row r="541" spans="1:20" s="109" customFormat="1" x14ac:dyDescent="0.2">
      <c r="A541" s="116"/>
      <c r="B541" s="111" t="s">
        <v>207</v>
      </c>
      <c r="C541" s="110" t="s">
        <v>2317</v>
      </c>
      <c r="D541" s="110" t="s">
        <v>2318</v>
      </c>
      <c r="E541" s="112" t="s">
        <v>2319</v>
      </c>
      <c r="F541" s="111" t="s">
        <v>130</v>
      </c>
      <c r="G541" s="133">
        <v>155</v>
      </c>
      <c r="H541" s="124"/>
      <c r="I541" s="133" t="str">
        <f>IF(H541&gt;0,(#REF!*H541),"-")</f>
        <v>-</v>
      </c>
      <c r="J541" s="113">
        <v>1046</v>
      </c>
      <c r="K541" s="110" t="s">
        <v>127</v>
      </c>
      <c r="L541" s="110" t="s">
        <v>579</v>
      </c>
      <c r="M541" s="110" t="s">
        <v>129</v>
      </c>
      <c r="N541" s="110" t="s">
        <v>130</v>
      </c>
      <c r="O541" s="110" t="s">
        <v>2320</v>
      </c>
      <c r="P541" s="110" t="s">
        <v>137</v>
      </c>
      <c r="Q541" s="110" t="s">
        <v>96</v>
      </c>
      <c r="R541" s="121">
        <v>0.1454</v>
      </c>
      <c r="S541" s="113" t="e">
        <f t="shared" si="16"/>
        <v>#VALUE!</v>
      </c>
      <c r="T541" s="113">
        <f t="shared" si="17"/>
        <v>0</v>
      </c>
    </row>
    <row r="542" spans="1:20" s="109" customFormat="1" x14ac:dyDescent="0.2">
      <c r="A542" s="116"/>
      <c r="B542" s="111" t="s">
        <v>207</v>
      </c>
      <c r="C542" s="110" t="s">
        <v>2321</v>
      </c>
      <c r="D542" s="110" t="s">
        <v>2322</v>
      </c>
      <c r="E542" s="112" t="s">
        <v>2323</v>
      </c>
      <c r="F542" s="111" t="s">
        <v>130</v>
      </c>
      <c r="G542" s="133">
        <v>155</v>
      </c>
      <c r="H542" s="124"/>
      <c r="I542" s="133" t="str">
        <f>IF(H542&gt;0,(#REF!*H542),"-")</f>
        <v>-</v>
      </c>
      <c r="J542" s="113">
        <v>1046</v>
      </c>
      <c r="K542" s="110" t="s">
        <v>127</v>
      </c>
      <c r="L542" s="110" t="s">
        <v>579</v>
      </c>
      <c r="M542" s="110" t="s">
        <v>129</v>
      </c>
      <c r="N542" s="110" t="s">
        <v>130</v>
      </c>
      <c r="O542" s="110" t="s">
        <v>2324</v>
      </c>
      <c r="P542" s="110" t="s">
        <v>137</v>
      </c>
      <c r="Q542" s="110" t="s">
        <v>96</v>
      </c>
      <c r="R542" s="121">
        <v>0.15720000000000001</v>
      </c>
      <c r="S542" s="113" t="e">
        <f t="shared" si="16"/>
        <v>#VALUE!</v>
      </c>
      <c r="T542" s="113">
        <f t="shared" si="17"/>
        <v>0</v>
      </c>
    </row>
    <row r="543" spans="1:20" s="109" customFormat="1" x14ac:dyDescent="0.2">
      <c r="A543" s="116"/>
      <c r="B543" s="111" t="s">
        <v>202</v>
      </c>
      <c r="C543" s="110" t="s">
        <v>2325</v>
      </c>
      <c r="D543" s="110" t="s">
        <v>2326</v>
      </c>
      <c r="E543" s="112" t="s">
        <v>2327</v>
      </c>
      <c r="F543" s="111" t="s">
        <v>130</v>
      </c>
      <c r="G543" s="133">
        <v>215</v>
      </c>
      <c r="H543" s="124"/>
      <c r="I543" s="133" t="str">
        <f>IF(H543&gt;0,(#REF!*H543),"-")</f>
        <v>-</v>
      </c>
      <c r="J543" s="113">
        <v>3375</v>
      </c>
      <c r="K543" s="110" t="s">
        <v>127</v>
      </c>
      <c r="L543" s="110" t="s">
        <v>579</v>
      </c>
      <c r="M543" s="110" t="s">
        <v>129</v>
      </c>
      <c r="N543" s="110" t="s">
        <v>130</v>
      </c>
      <c r="O543" s="110" t="s">
        <v>2328</v>
      </c>
      <c r="P543" s="110" t="s">
        <v>137</v>
      </c>
      <c r="Q543" s="110" t="s">
        <v>96</v>
      </c>
      <c r="R543" s="121">
        <v>0.38500000000000001</v>
      </c>
      <c r="S543" s="113" t="e">
        <f t="shared" si="16"/>
        <v>#VALUE!</v>
      </c>
      <c r="T543" s="113">
        <f t="shared" si="17"/>
        <v>0</v>
      </c>
    </row>
    <row r="544" spans="1:20" s="109" customFormat="1" x14ac:dyDescent="0.2">
      <c r="A544" s="116"/>
      <c r="B544" s="111"/>
      <c r="C544" s="110" t="s">
        <v>2329</v>
      </c>
      <c r="D544" s="110" t="s">
        <v>2330</v>
      </c>
      <c r="E544" s="112" t="s">
        <v>2331</v>
      </c>
      <c r="F544" s="111" t="s">
        <v>126</v>
      </c>
      <c r="G544" s="133">
        <v>165</v>
      </c>
      <c r="H544" s="124"/>
      <c r="I544" s="133" t="str">
        <f>IF(H544&gt;0,(#REF!*H544),"-")</f>
        <v>-</v>
      </c>
      <c r="J544" s="113">
        <v>1860</v>
      </c>
      <c r="K544" s="110" t="s">
        <v>127</v>
      </c>
      <c r="L544" s="110" t="s">
        <v>579</v>
      </c>
      <c r="M544" s="110" t="s">
        <v>129</v>
      </c>
      <c r="N544" s="110" t="s">
        <v>130</v>
      </c>
      <c r="O544" s="110" t="s">
        <v>2332</v>
      </c>
      <c r="P544" s="110" t="s">
        <v>137</v>
      </c>
      <c r="Q544" s="110" t="s">
        <v>96</v>
      </c>
      <c r="R544" s="121">
        <v>0.22500000000000001</v>
      </c>
      <c r="S544" s="113" t="e">
        <f t="shared" si="16"/>
        <v>#VALUE!</v>
      </c>
      <c r="T544" s="113">
        <f t="shared" si="17"/>
        <v>0</v>
      </c>
    </row>
    <row r="545" spans="1:20" s="109" customFormat="1" x14ac:dyDescent="0.2">
      <c r="A545" s="116"/>
      <c r="B545" s="111"/>
      <c r="C545" s="110" t="s">
        <v>2333</v>
      </c>
      <c r="D545" s="110" t="s">
        <v>2334</v>
      </c>
      <c r="E545" s="112" t="s">
        <v>2335</v>
      </c>
      <c r="F545" s="111" t="s">
        <v>126</v>
      </c>
      <c r="G545" s="133">
        <v>110</v>
      </c>
      <c r="H545" s="124"/>
      <c r="I545" s="133" t="str">
        <f>IF(H545&gt;0,(#REF!*H545),"-")</f>
        <v>-</v>
      </c>
      <c r="J545" s="113">
        <v>398</v>
      </c>
      <c r="K545" s="110" t="s">
        <v>127</v>
      </c>
      <c r="L545" s="110" t="s">
        <v>579</v>
      </c>
      <c r="M545" s="110" t="s">
        <v>129</v>
      </c>
      <c r="N545" s="110" t="s">
        <v>130</v>
      </c>
      <c r="O545" s="110" t="s">
        <v>2336</v>
      </c>
      <c r="P545" s="110" t="s">
        <v>137</v>
      </c>
      <c r="Q545" s="110" t="s">
        <v>96</v>
      </c>
      <c r="R545" s="121">
        <v>2.4500000000000001E-2</v>
      </c>
      <c r="S545" s="113" t="e">
        <f t="shared" si="16"/>
        <v>#VALUE!</v>
      </c>
      <c r="T545" s="113">
        <f t="shared" si="17"/>
        <v>0</v>
      </c>
    </row>
    <row r="546" spans="1:20" s="109" customFormat="1" x14ac:dyDescent="0.2">
      <c r="A546" s="116"/>
      <c r="B546" s="111"/>
      <c r="C546" s="110" t="s">
        <v>2337</v>
      </c>
      <c r="D546" s="110" t="s">
        <v>2338</v>
      </c>
      <c r="E546" s="112" t="s">
        <v>2339</v>
      </c>
      <c r="F546" s="111" t="s">
        <v>126</v>
      </c>
      <c r="G546" s="133">
        <v>155</v>
      </c>
      <c r="H546" s="124"/>
      <c r="I546" s="133" t="str">
        <f>IF(H546&gt;0,(#REF!*H546),"-")</f>
        <v>-</v>
      </c>
      <c r="J546" s="113">
        <v>1046</v>
      </c>
      <c r="K546" s="110" t="s">
        <v>127</v>
      </c>
      <c r="L546" s="110" t="s">
        <v>579</v>
      </c>
      <c r="M546" s="110" t="s">
        <v>129</v>
      </c>
      <c r="N546" s="110" t="s">
        <v>130</v>
      </c>
      <c r="O546" s="110" t="s">
        <v>2340</v>
      </c>
      <c r="P546" s="110" t="s">
        <v>137</v>
      </c>
      <c r="Q546" s="110" t="s">
        <v>96</v>
      </c>
      <c r="R546" s="121">
        <v>0.10979999999999999</v>
      </c>
      <c r="S546" s="113" t="e">
        <f t="shared" si="16"/>
        <v>#VALUE!</v>
      </c>
      <c r="T546" s="113">
        <f t="shared" si="17"/>
        <v>0</v>
      </c>
    </row>
    <row r="547" spans="1:20" s="109" customFormat="1" x14ac:dyDescent="0.2">
      <c r="A547" s="116"/>
      <c r="B547" s="111"/>
      <c r="C547" s="110" t="s">
        <v>2341</v>
      </c>
      <c r="D547" s="110" t="s">
        <v>2342</v>
      </c>
      <c r="E547" s="112" t="s">
        <v>2343</v>
      </c>
      <c r="F547" s="111" t="s">
        <v>126</v>
      </c>
      <c r="G547" s="133">
        <v>185</v>
      </c>
      <c r="H547" s="124"/>
      <c r="I547" s="133" t="str">
        <f>IF(H547&gt;0,(#REF!*H547),"-")</f>
        <v>-</v>
      </c>
      <c r="J547" s="113">
        <v>1046</v>
      </c>
      <c r="K547" s="110" t="s">
        <v>127</v>
      </c>
      <c r="L547" s="110" t="s">
        <v>579</v>
      </c>
      <c r="M547" s="110" t="s">
        <v>129</v>
      </c>
      <c r="N547" s="110" t="s">
        <v>130</v>
      </c>
      <c r="O547" s="110" t="s">
        <v>2344</v>
      </c>
      <c r="P547" s="110" t="s">
        <v>137</v>
      </c>
      <c r="Q547" s="110" t="s">
        <v>96</v>
      </c>
      <c r="R547" s="121">
        <v>0.16</v>
      </c>
      <c r="S547" s="113" t="e">
        <f t="shared" si="16"/>
        <v>#VALUE!</v>
      </c>
      <c r="T547" s="113">
        <f t="shared" si="17"/>
        <v>0</v>
      </c>
    </row>
    <row r="548" spans="1:20" s="109" customFormat="1" x14ac:dyDescent="0.2">
      <c r="A548" s="116"/>
      <c r="B548" s="111" t="s">
        <v>289</v>
      </c>
      <c r="C548" s="110" t="s">
        <v>2345</v>
      </c>
      <c r="D548" s="110" t="s">
        <v>2346</v>
      </c>
      <c r="E548" s="112" t="s">
        <v>2347</v>
      </c>
      <c r="F548" s="111" t="s">
        <v>130</v>
      </c>
      <c r="G548" s="133">
        <v>200</v>
      </c>
      <c r="H548" s="124"/>
      <c r="I548" s="133" t="str">
        <f>IF(H548&gt;0,(#REF!*H548),"-")</f>
        <v>-</v>
      </c>
      <c r="J548" s="113">
        <v>1046</v>
      </c>
      <c r="K548" s="110" t="s">
        <v>127</v>
      </c>
      <c r="L548" s="110" t="s">
        <v>579</v>
      </c>
      <c r="M548" s="110" t="s">
        <v>129</v>
      </c>
      <c r="N548" s="110" t="s">
        <v>130</v>
      </c>
      <c r="O548" s="110" t="s">
        <v>2348</v>
      </c>
      <c r="P548" s="110" t="s">
        <v>137</v>
      </c>
      <c r="Q548" s="110" t="s">
        <v>96</v>
      </c>
      <c r="R548" s="121">
        <v>0.183</v>
      </c>
      <c r="S548" s="113" t="e">
        <f t="shared" si="16"/>
        <v>#VALUE!</v>
      </c>
      <c r="T548" s="113">
        <f t="shared" si="17"/>
        <v>0</v>
      </c>
    </row>
    <row r="549" spans="1:20" s="109" customFormat="1" x14ac:dyDescent="0.2">
      <c r="A549" s="116"/>
      <c r="B549" s="111"/>
      <c r="C549" s="110" t="s">
        <v>2349</v>
      </c>
      <c r="D549" s="110" t="s">
        <v>2350</v>
      </c>
      <c r="E549" s="112" t="s">
        <v>2351</v>
      </c>
      <c r="F549" s="111" t="s">
        <v>126</v>
      </c>
      <c r="G549" s="133">
        <v>140</v>
      </c>
      <c r="H549" s="124"/>
      <c r="I549" s="133" t="str">
        <f>IF(H549&gt;0,(#REF!*H549),"-")</f>
        <v>-</v>
      </c>
      <c r="J549" s="113">
        <v>504</v>
      </c>
      <c r="K549" s="110" t="s">
        <v>127</v>
      </c>
      <c r="L549" s="110" t="s">
        <v>579</v>
      </c>
      <c r="M549" s="110" t="s">
        <v>129</v>
      </c>
      <c r="N549" s="110" t="s">
        <v>130</v>
      </c>
      <c r="O549" s="110" t="s">
        <v>2352</v>
      </c>
      <c r="P549" s="110" t="s">
        <v>137</v>
      </c>
      <c r="Q549" s="110" t="s">
        <v>96</v>
      </c>
      <c r="R549" s="121">
        <v>6.8699999999999997E-2</v>
      </c>
      <c r="S549" s="113" t="e">
        <f t="shared" si="16"/>
        <v>#VALUE!</v>
      </c>
      <c r="T549" s="113">
        <f t="shared" si="17"/>
        <v>0</v>
      </c>
    </row>
    <row r="550" spans="1:20" s="109" customFormat="1" x14ac:dyDescent="0.2">
      <c r="A550" s="116"/>
      <c r="B550" s="111"/>
      <c r="C550" s="110" t="s">
        <v>2353</v>
      </c>
      <c r="D550" s="110" t="s">
        <v>2354</v>
      </c>
      <c r="E550" s="112" t="s">
        <v>2355</v>
      </c>
      <c r="F550" s="111" t="s">
        <v>126</v>
      </c>
      <c r="G550" s="133">
        <v>800</v>
      </c>
      <c r="H550" s="124"/>
      <c r="I550" s="133" t="str">
        <f>IF(H550&gt;0,(#REF!*H550),"-")</f>
        <v>-</v>
      </c>
      <c r="J550" s="113">
        <v>32256</v>
      </c>
      <c r="K550" s="110" t="s">
        <v>127</v>
      </c>
      <c r="L550" s="110" t="s">
        <v>148</v>
      </c>
      <c r="M550" s="110" t="s">
        <v>129</v>
      </c>
      <c r="N550" s="110" t="s">
        <v>130</v>
      </c>
      <c r="O550" s="110" t="s">
        <v>2356</v>
      </c>
      <c r="P550" s="110" t="s">
        <v>132</v>
      </c>
      <c r="Q550" s="110" t="s">
        <v>97</v>
      </c>
      <c r="R550" s="121">
        <v>15</v>
      </c>
      <c r="S550" s="113" t="e">
        <f t="shared" si="16"/>
        <v>#VALUE!</v>
      </c>
      <c r="T550" s="113">
        <f t="shared" si="17"/>
        <v>0</v>
      </c>
    </row>
    <row r="551" spans="1:20" s="109" customFormat="1" x14ac:dyDescent="0.2">
      <c r="A551" s="116"/>
      <c r="B551" s="111"/>
      <c r="C551" s="110" t="s">
        <v>2357</v>
      </c>
      <c r="D551" s="110" t="s">
        <v>2358</v>
      </c>
      <c r="E551" s="112" t="s">
        <v>2359</v>
      </c>
      <c r="F551" s="111" t="s">
        <v>126</v>
      </c>
      <c r="G551" s="133">
        <v>595</v>
      </c>
      <c r="H551" s="124"/>
      <c r="I551" s="133" t="str">
        <f>IF(H551&gt;0,(#REF!*H551),"-")</f>
        <v>-</v>
      </c>
      <c r="J551" s="113">
        <v>13800</v>
      </c>
      <c r="K551" s="110" t="s">
        <v>127</v>
      </c>
      <c r="L551" s="110" t="s">
        <v>148</v>
      </c>
      <c r="M551" s="110" t="s">
        <v>129</v>
      </c>
      <c r="N551" s="110" t="s">
        <v>130</v>
      </c>
      <c r="O551" s="110" t="s">
        <v>2360</v>
      </c>
      <c r="P551" s="110" t="s">
        <v>132</v>
      </c>
      <c r="Q551" s="110" t="s">
        <v>96</v>
      </c>
      <c r="R551" s="121">
        <v>11</v>
      </c>
      <c r="S551" s="113" t="e">
        <f t="shared" si="16"/>
        <v>#VALUE!</v>
      </c>
      <c r="T551" s="113">
        <f t="shared" si="17"/>
        <v>0</v>
      </c>
    </row>
    <row r="552" spans="1:20" s="109" customFormat="1" x14ac:dyDescent="0.2">
      <c r="A552" s="116"/>
      <c r="B552" s="111"/>
      <c r="C552" s="110" t="s">
        <v>2361</v>
      </c>
      <c r="D552" s="110" t="s">
        <v>2362</v>
      </c>
      <c r="E552" s="112" t="s">
        <v>2363</v>
      </c>
      <c r="F552" s="111" t="s">
        <v>126</v>
      </c>
      <c r="G552" s="133">
        <v>50</v>
      </c>
      <c r="H552" s="124"/>
      <c r="I552" s="133" t="str">
        <f>IF(H552&gt;0,(#REF!*H552),"-")</f>
        <v>-</v>
      </c>
      <c r="J552" s="113">
        <v>515</v>
      </c>
      <c r="K552" s="110" t="s">
        <v>127</v>
      </c>
      <c r="L552" s="110" t="s">
        <v>148</v>
      </c>
      <c r="M552" s="110" t="s">
        <v>129</v>
      </c>
      <c r="N552" s="110" t="s">
        <v>130</v>
      </c>
      <c r="O552" s="110" t="s">
        <v>2364</v>
      </c>
      <c r="P552" s="110" t="s">
        <v>132</v>
      </c>
      <c r="Q552" s="110" t="s">
        <v>96</v>
      </c>
      <c r="R552" s="121">
        <v>0.21299999999999999</v>
      </c>
      <c r="S552" s="113" t="e">
        <f t="shared" si="16"/>
        <v>#VALUE!</v>
      </c>
      <c r="T552" s="113">
        <f t="shared" si="17"/>
        <v>0</v>
      </c>
    </row>
    <row r="553" spans="1:20" s="109" customFormat="1" x14ac:dyDescent="0.2">
      <c r="A553" s="116"/>
      <c r="B553" s="111"/>
      <c r="C553" s="110" t="s">
        <v>2365</v>
      </c>
      <c r="D553" s="110" t="s">
        <v>2366</v>
      </c>
      <c r="E553" s="112" t="s">
        <v>2367</v>
      </c>
      <c r="F553" s="111" t="s">
        <v>126</v>
      </c>
      <c r="G553" s="133">
        <v>50</v>
      </c>
      <c r="H553" s="124"/>
      <c r="I553" s="133" t="str">
        <f>IF(H553&gt;0,(#REF!*H553),"-")</f>
        <v>-</v>
      </c>
      <c r="J553" s="113">
        <v>479</v>
      </c>
      <c r="K553" s="110" t="s">
        <v>127</v>
      </c>
      <c r="L553" s="110" t="s">
        <v>148</v>
      </c>
      <c r="M553" s="110" t="s">
        <v>129</v>
      </c>
      <c r="N553" s="110" t="s">
        <v>130</v>
      </c>
      <c r="O553" s="110" t="s">
        <v>2368</v>
      </c>
      <c r="P553" s="110" t="s">
        <v>132</v>
      </c>
      <c r="Q553" s="110" t="s">
        <v>96</v>
      </c>
      <c r="R553" s="121">
        <v>0.21099999999999999</v>
      </c>
      <c r="S553" s="113" t="e">
        <f t="shared" si="16"/>
        <v>#VALUE!</v>
      </c>
      <c r="T553" s="113">
        <f t="shared" si="17"/>
        <v>0</v>
      </c>
    </row>
    <row r="554" spans="1:20" s="109" customFormat="1" x14ac:dyDescent="0.2">
      <c r="A554" s="116"/>
      <c r="B554" s="111"/>
      <c r="C554" s="110" t="s">
        <v>2369</v>
      </c>
      <c r="D554" s="110" t="s">
        <v>2370</v>
      </c>
      <c r="E554" s="112" t="s">
        <v>2371</v>
      </c>
      <c r="F554" s="111" t="s">
        <v>126</v>
      </c>
      <c r="G554" s="133">
        <v>50</v>
      </c>
      <c r="H554" s="124"/>
      <c r="I554" s="133" t="str">
        <f>IF(H554&gt;0,(#REF!*H554),"-")</f>
        <v>-</v>
      </c>
      <c r="J554" s="113">
        <v>552</v>
      </c>
      <c r="K554" s="110" t="s">
        <v>127</v>
      </c>
      <c r="L554" s="110" t="s">
        <v>148</v>
      </c>
      <c r="M554" s="110" t="s">
        <v>129</v>
      </c>
      <c r="N554" s="110" t="s">
        <v>130</v>
      </c>
      <c r="O554" s="110" t="s">
        <v>2372</v>
      </c>
      <c r="P554" s="110" t="s">
        <v>132</v>
      </c>
      <c r="Q554" s="110" t="s">
        <v>96</v>
      </c>
      <c r="R554" s="121">
        <v>0.223</v>
      </c>
      <c r="S554" s="113" t="e">
        <f t="shared" si="16"/>
        <v>#VALUE!</v>
      </c>
      <c r="T554" s="113">
        <f t="shared" si="17"/>
        <v>0</v>
      </c>
    </row>
    <row r="555" spans="1:20" s="109" customFormat="1" x14ac:dyDescent="0.2">
      <c r="A555" s="116"/>
      <c r="B555" s="111" t="s">
        <v>2373</v>
      </c>
      <c r="C555" s="110" t="s">
        <v>2374</v>
      </c>
      <c r="D555" s="110" t="s">
        <v>2375</v>
      </c>
      <c r="E555" s="112" t="s">
        <v>2376</v>
      </c>
      <c r="F555" s="111" t="s">
        <v>130</v>
      </c>
      <c r="G555" s="133">
        <v>95</v>
      </c>
      <c r="H555" s="124"/>
      <c r="I555" s="133" t="str">
        <f>IF(H555&gt;0,(#REF!*H555),"-")</f>
        <v>-</v>
      </c>
      <c r="J555" s="113">
        <v>1568</v>
      </c>
      <c r="K555" s="110" t="s">
        <v>127</v>
      </c>
      <c r="L555" s="110" t="s">
        <v>148</v>
      </c>
      <c r="M555" s="110" t="s">
        <v>129</v>
      </c>
      <c r="N555" s="110" t="s">
        <v>130</v>
      </c>
      <c r="O555" s="110" t="s">
        <v>2377</v>
      </c>
      <c r="P555" s="110" t="s">
        <v>132</v>
      </c>
      <c r="Q555" s="110" t="s">
        <v>96</v>
      </c>
      <c r="R555" s="121">
        <v>0.627</v>
      </c>
      <c r="S555" s="113" t="e">
        <f t="shared" si="16"/>
        <v>#VALUE!</v>
      </c>
      <c r="T555" s="113">
        <f t="shared" si="17"/>
        <v>0</v>
      </c>
    </row>
    <row r="556" spans="1:20" s="109" customFormat="1" x14ac:dyDescent="0.2">
      <c r="A556" s="116"/>
      <c r="B556" s="111"/>
      <c r="C556" s="110" t="s">
        <v>2378</v>
      </c>
      <c r="D556" s="110" t="s">
        <v>2379</v>
      </c>
      <c r="E556" s="112" t="s">
        <v>2380</v>
      </c>
      <c r="F556" s="111" t="s">
        <v>126</v>
      </c>
      <c r="G556" s="133">
        <v>50</v>
      </c>
      <c r="H556" s="124"/>
      <c r="I556" s="133" t="str">
        <f>IF(H556&gt;0,(#REF!*H556),"-")</f>
        <v>-</v>
      </c>
      <c r="J556" s="113">
        <v>479</v>
      </c>
      <c r="K556" s="110" t="s">
        <v>127</v>
      </c>
      <c r="L556" s="110" t="s">
        <v>148</v>
      </c>
      <c r="M556" s="110" t="s">
        <v>129</v>
      </c>
      <c r="N556" s="110" t="s">
        <v>130</v>
      </c>
      <c r="O556" s="110" t="s">
        <v>2381</v>
      </c>
      <c r="P556" s="110" t="s">
        <v>132</v>
      </c>
      <c r="Q556" s="110" t="s">
        <v>96</v>
      </c>
      <c r="R556" s="121">
        <v>0.20300000000000001</v>
      </c>
      <c r="S556" s="113" t="e">
        <f t="shared" si="16"/>
        <v>#VALUE!</v>
      </c>
      <c r="T556" s="113">
        <f t="shared" si="17"/>
        <v>0</v>
      </c>
    </row>
    <row r="557" spans="1:20" s="109" customFormat="1" x14ac:dyDescent="0.2">
      <c r="A557" s="116"/>
      <c r="B557" s="111"/>
      <c r="C557" s="110" t="s">
        <v>2382</v>
      </c>
      <c r="D557" s="110" t="s">
        <v>2383</v>
      </c>
      <c r="E557" s="112" t="s">
        <v>2384</v>
      </c>
      <c r="F557" s="111" t="s">
        <v>126</v>
      </c>
      <c r="G557" s="133">
        <v>50</v>
      </c>
      <c r="H557" s="124"/>
      <c r="I557" s="133" t="str">
        <f>IF(H557&gt;0,(#REF!*H557),"-")</f>
        <v>-</v>
      </c>
      <c r="J557" s="113">
        <v>571</v>
      </c>
      <c r="K557" s="110" t="s">
        <v>127</v>
      </c>
      <c r="L557" s="110" t="s">
        <v>148</v>
      </c>
      <c r="M557" s="110" t="s">
        <v>129</v>
      </c>
      <c r="N557" s="110" t="s">
        <v>130</v>
      </c>
      <c r="O557" s="110" t="s">
        <v>2385</v>
      </c>
      <c r="P557" s="110" t="s">
        <v>132</v>
      </c>
      <c r="Q557" s="110" t="s">
        <v>96</v>
      </c>
      <c r="R557" s="121">
        <v>0.23100000000000001</v>
      </c>
      <c r="S557" s="113" t="e">
        <f t="shared" si="16"/>
        <v>#VALUE!</v>
      </c>
      <c r="T557" s="113">
        <f t="shared" si="17"/>
        <v>0</v>
      </c>
    </row>
    <row r="558" spans="1:20" s="109" customFormat="1" x14ac:dyDescent="0.2">
      <c r="A558" s="116"/>
      <c r="B558" s="111" t="s">
        <v>2373</v>
      </c>
      <c r="C558" s="110" t="s">
        <v>2386</v>
      </c>
      <c r="D558" s="110" t="s">
        <v>2387</v>
      </c>
      <c r="E558" s="112" t="s">
        <v>2388</v>
      </c>
      <c r="F558" s="111" t="s">
        <v>130</v>
      </c>
      <c r="G558" s="133">
        <v>50</v>
      </c>
      <c r="H558" s="124"/>
      <c r="I558" s="133" t="str">
        <f>IF(H558&gt;0,(#REF!*H558),"-")</f>
        <v>-</v>
      </c>
      <c r="J558" s="113">
        <v>479</v>
      </c>
      <c r="K558" s="110" t="s">
        <v>127</v>
      </c>
      <c r="L558" s="110" t="s">
        <v>148</v>
      </c>
      <c r="M558" s="110" t="s">
        <v>129</v>
      </c>
      <c r="N558" s="110" t="s">
        <v>130</v>
      </c>
      <c r="O558" s="110" t="s">
        <v>2389</v>
      </c>
      <c r="P558" s="110" t="s">
        <v>132</v>
      </c>
      <c r="Q558" s="110" t="s">
        <v>96</v>
      </c>
      <c r="R558" s="121">
        <v>0.20200000000000001</v>
      </c>
      <c r="S558" s="113" t="e">
        <f t="shared" si="16"/>
        <v>#VALUE!</v>
      </c>
      <c r="T558" s="113">
        <f t="shared" si="17"/>
        <v>0</v>
      </c>
    </row>
    <row r="559" spans="1:20" s="109" customFormat="1" x14ac:dyDescent="0.2">
      <c r="A559" s="116"/>
      <c r="B559" s="111" t="s">
        <v>2373</v>
      </c>
      <c r="C559" s="110" t="s">
        <v>2390</v>
      </c>
      <c r="D559" s="110" t="s">
        <v>2391</v>
      </c>
      <c r="E559" s="112" t="s">
        <v>2392</v>
      </c>
      <c r="F559" s="111" t="s">
        <v>130</v>
      </c>
      <c r="G559" s="133">
        <v>50</v>
      </c>
      <c r="H559" s="124"/>
      <c r="I559" s="133" t="str">
        <f>IF(H559&gt;0,(#REF!*H559),"-")</f>
        <v>-</v>
      </c>
      <c r="J559" s="113">
        <v>479</v>
      </c>
      <c r="K559" s="110" t="s">
        <v>127</v>
      </c>
      <c r="L559" s="110" t="s">
        <v>148</v>
      </c>
      <c r="M559" s="110" t="s">
        <v>129</v>
      </c>
      <c r="N559" s="110" t="s">
        <v>130</v>
      </c>
      <c r="O559" s="110" t="s">
        <v>2393</v>
      </c>
      <c r="P559" s="110" t="s">
        <v>132</v>
      </c>
      <c r="Q559" s="110" t="s">
        <v>96</v>
      </c>
      <c r="R559" s="121">
        <v>0.20100000000000001</v>
      </c>
      <c r="S559" s="113" t="e">
        <f t="shared" si="16"/>
        <v>#VALUE!</v>
      </c>
      <c r="T559" s="113">
        <f t="shared" si="17"/>
        <v>0</v>
      </c>
    </row>
    <row r="560" spans="1:20" s="109" customFormat="1" x14ac:dyDescent="0.2">
      <c r="A560" s="116"/>
      <c r="B560" s="111"/>
      <c r="C560" s="110" t="s">
        <v>2394</v>
      </c>
      <c r="D560" s="110" t="s">
        <v>2395</v>
      </c>
      <c r="E560" s="112" t="s">
        <v>2396</v>
      </c>
      <c r="F560" s="111" t="s">
        <v>126</v>
      </c>
      <c r="G560" s="133">
        <v>50</v>
      </c>
      <c r="H560" s="124"/>
      <c r="I560" s="133" t="str">
        <f>IF(H560&gt;0,(#REF!*H560),"-")</f>
        <v>-</v>
      </c>
      <c r="J560" s="113">
        <v>534</v>
      </c>
      <c r="K560" s="110" t="s">
        <v>127</v>
      </c>
      <c r="L560" s="110" t="s">
        <v>148</v>
      </c>
      <c r="M560" s="110" t="s">
        <v>129</v>
      </c>
      <c r="N560" s="110" t="s">
        <v>130</v>
      </c>
      <c r="O560" s="110" t="s">
        <v>2397</v>
      </c>
      <c r="P560" s="110" t="s">
        <v>132</v>
      </c>
      <c r="Q560" s="110" t="s">
        <v>96</v>
      </c>
      <c r="R560" s="121">
        <v>0.217</v>
      </c>
      <c r="S560" s="113" t="e">
        <f t="shared" si="16"/>
        <v>#VALUE!</v>
      </c>
      <c r="T560" s="113">
        <f t="shared" si="17"/>
        <v>0</v>
      </c>
    </row>
    <row r="561" spans="1:20" s="109" customFormat="1" x14ac:dyDescent="0.2">
      <c r="A561" s="116"/>
      <c r="B561" s="111"/>
      <c r="C561" s="110" t="s">
        <v>2398</v>
      </c>
      <c r="D561" s="110" t="s">
        <v>2399</v>
      </c>
      <c r="E561" s="112" t="s">
        <v>2400</v>
      </c>
      <c r="F561" s="111" t="s">
        <v>126</v>
      </c>
      <c r="G561" s="133">
        <v>50</v>
      </c>
      <c r="H561" s="124"/>
      <c r="I561" s="133" t="str">
        <f>IF(H561&gt;0,(#REF!*H561),"-")</f>
        <v>-</v>
      </c>
      <c r="J561" s="113">
        <v>626</v>
      </c>
      <c r="K561" s="110" t="s">
        <v>127</v>
      </c>
      <c r="L561" s="110" t="s">
        <v>148</v>
      </c>
      <c r="M561" s="110" t="s">
        <v>129</v>
      </c>
      <c r="N561" s="110" t="s">
        <v>130</v>
      </c>
      <c r="O561" s="110" t="s">
        <v>2401</v>
      </c>
      <c r="P561" s="110" t="s">
        <v>132</v>
      </c>
      <c r="Q561" s="110" t="s">
        <v>96</v>
      </c>
      <c r="R561" s="121">
        <v>0.246</v>
      </c>
      <c r="S561" s="113" t="e">
        <f t="shared" si="16"/>
        <v>#VALUE!</v>
      </c>
      <c r="T561" s="113">
        <f t="shared" si="17"/>
        <v>0</v>
      </c>
    </row>
    <row r="562" spans="1:20" s="109" customFormat="1" x14ac:dyDescent="0.2">
      <c r="A562" s="116"/>
      <c r="B562" s="111"/>
      <c r="C562" s="110" t="s">
        <v>2402</v>
      </c>
      <c r="D562" s="110" t="s">
        <v>2403</v>
      </c>
      <c r="E562" s="112" t="s">
        <v>2404</v>
      </c>
      <c r="F562" s="111" t="s">
        <v>126</v>
      </c>
      <c r="G562" s="133">
        <v>50</v>
      </c>
      <c r="H562" s="124"/>
      <c r="I562" s="133" t="str">
        <f>IF(H562&gt;0,(#REF!*H562),"-")</f>
        <v>-</v>
      </c>
      <c r="J562" s="113">
        <v>607</v>
      </c>
      <c r="K562" s="110" t="s">
        <v>127</v>
      </c>
      <c r="L562" s="110" t="s">
        <v>148</v>
      </c>
      <c r="M562" s="110" t="s">
        <v>129</v>
      </c>
      <c r="N562" s="110" t="s">
        <v>130</v>
      </c>
      <c r="O562" s="110" t="s">
        <v>2405</v>
      </c>
      <c r="P562" s="110" t="s">
        <v>132</v>
      </c>
      <c r="Q562" s="110" t="s">
        <v>96</v>
      </c>
      <c r="R562" s="121">
        <v>0.24</v>
      </c>
      <c r="S562" s="113" t="e">
        <f t="shared" si="16"/>
        <v>#VALUE!</v>
      </c>
      <c r="T562" s="113">
        <f t="shared" si="17"/>
        <v>0</v>
      </c>
    </row>
    <row r="563" spans="1:20" s="109" customFormat="1" x14ac:dyDescent="0.2">
      <c r="A563" s="116"/>
      <c r="B563" s="111" t="s">
        <v>2373</v>
      </c>
      <c r="C563" s="110" t="s">
        <v>2406</v>
      </c>
      <c r="D563" s="110" t="s">
        <v>2407</v>
      </c>
      <c r="E563" s="112" t="s">
        <v>2408</v>
      </c>
      <c r="F563" s="111" t="s">
        <v>130</v>
      </c>
      <c r="G563" s="133">
        <v>50</v>
      </c>
      <c r="H563" s="124"/>
      <c r="I563" s="133" t="str">
        <f>IF(H563&gt;0,(#REF!*H563),"-")</f>
        <v>-</v>
      </c>
      <c r="J563" s="113">
        <v>479</v>
      </c>
      <c r="K563" s="110" t="s">
        <v>127</v>
      </c>
      <c r="L563" s="110" t="s">
        <v>148</v>
      </c>
      <c r="M563" s="110" t="s">
        <v>129</v>
      </c>
      <c r="N563" s="110" t="s">
        <v>130</v>
      </c>
      <c r="O563" s="110" t="s">
        <v>2409</v>
      </c>
      <c r="P563" s="110" t="s">
        <v>132</v>
      </c>
      <c r="Q563" s="110" t="s">
        <v>96</v>
      </c>
      <c r="R563" s="121">
        <v>0.2681</v>
      </c>
      <c r="S563" s="113" t="e">
        <f t="shared" si="16"/>
        <v>#VALUE!</v>
      </c>
      <c r="T563" s="113">
        <f t="shared" si="17"/>
        <v>0</v>
      </c>
    </row>
    <row r="564" spans="1:20" s="109" customFormat="1" x14ac:dyDescent="0.2">
      <c r="A564" s="116"/>
      <c r="B564" s="111"/>
      <c r="C564" s="110" t="s">
        <v>2410</v>
      </c>
      <c r="D564" s="110" t="s">
        <v>2411</v>
      </c>
      <c r="E564" s="112" t="s">
        <v>2412</v>
      </c>
      <c r="F564" s="111" t="s">
        <v>126</v>
      </c>
      <c r="G564" s="133">
        <v>50</v>
      </c>
      <c r="H564" s="124"/>
      <c r="I564" s="133" t="str">
        <f>IF(H564&gt;0,(#REF!*H564),"-")</f>
        <v>-</v>
      </c>
      <c r="J564" s="113">
        <v>479</v>
      </c>
      <c r="K564" s="110" t="s">
        <v>127</v>
      </c>
      <c r="L564" s="110" t="s">
        <v>148</v>
      </c>
      <c r="M564" s="110" t="s">
        <v>129</v>
      </c>
      <c r="N564" s="110" t="s">
        <v>130</v>
      </c>
      <c r="O564" s="110" t="s">
        <v>2413</v>
      </c>
      <c r="P564" s="110" t="s">
        <v>132</v>
      </c>
      <c r="Q564" s="110" t="s">
        <v>96</v>
      </c>
      <c r="R564" s="121">
        <v>0.20100000000000001</v>
      </c>
      <c r="S564" s="113" t="e">
        <f t="shared" si="16"/>
        <v>#VALUE!</v>
      </c>
      <c r="T564" s="113">
        <f t="shared" si="17"/>
        <v>0</v>
      </c>
    </row>
    <row r="565" spans="1:20" s="109" customFormat="1" x14ac:dyDescent="0.2">
      <c r="A565" s="116"/>
      <c r="B565" s="111"/>
      <c r="C565" s="110" t="s">
        <v>2414</v>
      </c>
      <c r="D565" s="110" t="s">
        <v>2415</v>
      </c>
      <c r="E565" s="112" t="s">
        <v>2416</v>
      </c>
      <c r="F565" s="111" t="s">
        <v>126</v>
      </c>
      <c r="G565" s="133">
        <v>50</v>
      </c>
      <c r="H565" s="124"/>
      <c r="I565" s="133" t="str">
        <f>IF(H565&gt;0,(#REF!*H565),"-")</f>
        <v>-</v>
      </c>
      <c r="J565" s="113">
        <v>497</v>
      </c>
      <c r="K565" s="110" t="s">
        <v>127</v>
      </c>
      <c r="L565" s="110" t="s">
        <v>148</v>
      </c>
      <c r="M565" s="110" t="s">
        <v>129</v>
      </c>
      <c r="N565" s="110" t="s">
        <v>130</v>
      </c>
      <c r="O565" s="110" t="s">
        <v>2417</v>
      </c>
      <c r="P565" s="110" t="s">
        <v>132</v>
      </c>
      <c r="Q565" s="110" t="s">
        <v>96</v>
      </c>
      <c r="R565" s="121">
        <v>0.2029</v>
      </c>
      <c r="S565" s="113" t="e">
        <f t="shared" si="16"/>
        <v>#VALUE!</v>
      </c>
      <c r="T565" s="113">
        <f t="shared" si="17"/>
        <v>0</v>
      </c>
    </row>
    <row r="566" spans="1:20" s="109" customFormat="1" x14ac:dyDescent="0.2">
      <c r="A566" s="116"/>
      <c r="B566" s="111"/>
      <c r="C566" s="110" t="s">
        <v>2418</v>
      </c>
      <c r="D566" s="110" t="s">
        <v>2419</v>
      </c>
      <c r="E566" s="112" t="s">
        <v>2420</v>
      </c>
      <c r="F566" s="111" t="s">
        <v>126</v>
      </c>
      <c r="G566" s="133">
        <v>50</v>
      </c>
      <c r="H566" s="124"/>
      <c r="I566" s="133" t="str">
        <f>IF(H566&gt;0,(#REF!*H566),"-")</f>
        <v>-</v>
      </c>
      <c r="J566" s="113">
        <v>479</v>
      </c>
      <c r="K566" s="110" t="s">
        <v>127</v>
      </c>
      <c r="L566" s="110" t="s">
        <v>148</v>
      </c>
      <c r="M566" s="110" t="s">
        <v>129</v>
      </c>
      <c r="N566" s="110" t="s">
        <v>130</v>
      </c>
      <c r="O566" s="110" t="s">
        <v>2421</v>
      </c>
      <c r="P566" s="110" t="s">
        <v>132</v>
      </c>
      <c r="Q566" s="110" t="s">
        <v>96</v>
      </c>
      <c r="R566" s="121">
        <v>0.20200000000000001</v>
      </c>
      <c r="S566" s="113" t="e">
        <f t="shared" si="16"/>
        <v>#VALUE!</v>
      </c>
      <c r="T566" s="113">
        <f t="shared" si="17"/>
        <v>0</v>
      </c>
    </row>
    <row r="567" spans="1:20" s="109" customFormat="1" x14ac:dyDescent="0.2">
      <c r="A567" s="116"/>
      <c r="B567" s="111" t="s">
        <v>2373</v>
      </c>
      <c r="C567" s="110" t="s">
        <v>2422</v>
      </c>
      <c r="D567" s="110" t="s">
        <v>2423</v>
      </c>
      <c r="E567" s="112" t="s">
        <v>2424</v>
      </c>
      <c r="F567" s="111" t="s">
        <v>130</v>
      </c>
      <c r="G567" s="133">
        <v>50</v>
      </c>
      <c r="H567" s="124"/>
      <c r="I567" s="133" t="str">
        <f>IF(H567&gt;0,(#REF!*H567),"-")</f>
        <v>-</v>
      </c>
      <c r="J567" s="113">
        <v>589</v>
      </c>
      <c r="K567" s="110" t="s">
        <v>127</v>
      </c>
      <c r="L567" s="110" t="s">
        <v>148</v>
      </c>
      <c r="M567" s="110" t="s">
        <v>129</v>
      </c>
      <c r="N567" s="110" t="s">
        <v>130</v>
      </c>
      <c r="O567" s="110" t="s">
        <v>2425</v>
      </c>
      <c r="P567" s="110" t="s">
        <v>132</v>
      </c>
      <c r="Q567" s="110" t="s">
        <v>96</v>
      </c>
      <c r="R567" s="121">
        <v>0.246</v>
      </c>
      <c r="S567" s="113" t="e">
        <f t="shared" si="16"/>
        <v>#VALUE!</v>
      </c>
      <c r="T567" s="113">
        <f t="shared" si="17"/>
        <v>0</v>
      </c>
    </row>
    <row r="568" spans="1:20" s="109" customFormat="1" x14ac:dyDescent="0.2">
      <c r="A568" s="116"/>
      <c r="B568" s="111" t="s">
        <v>2373</v>
      </c>
      <c r="C568" s="110" t="s">
        <v>2426</v>
      </c>
      <c r="D568" s="110" t="s">
        <v>2427</v>
      </c>
      <c r="E568" s="112" t="s">
        <v>2428</v>
      </c>
      <c r="F568" s="111" t="s">
        <v>130</v>
      </c>
      <c r="G568" s="133">
        <v>50</v>
      </c>
      <c r="H568" s="124"/>
      <c r="I568" s="133" t="str">
        <f>IF(H568&gt;0,(#REF!*H568),"-")</f>
        <v>-</v>
      </c>
      <c r="J568" s="113">
        <v>497</v>
      </c>
      <c r="K568" s="110" t="s">
        <v>127</v>
      </c>
      <c r="L568" s="110" t="s">
        <v>148</v>
      </c>
      <c r="M568" s="110" t="s">
        <v>129</v>
      </c>
      <c r="N568" s="110" t="s">
        <v>130</v>
      </c>
      <c r="O568" s="110" t="s">
        <v>2429</v>
      </c>
      <c r="P568" s="110" t="s">
        <v>132</v>
      </c>
      <c r="Q568" s="110" t="s">
        <v>96</v>
      </c>
      <c r="R568" s="121">
        <v>0.20200000000000001</v>
      </c>
      <c r="S568" s="113" t="e">
        <f t="shared" si="16"/>
        <v>#VALUE!</v>
      </c>
      <c r="T568" s="113">
        <f t="shared" si="17"/>
        <v>0</v>
      </c>
    </row>
    <row r="569" spans="1:20" s="109" customFormat="1" x14ac:dyDescent="0.2">
      <c r="A569" s="116"/>
      <c r="B569" s="111"/>
      <c r="C569" s="110" t="s">
        <v>2430</v>
      </c>
      <c r="D569" s="110" t="s">
        <v>2431</v>
      </c>
      <c r="E569" s="112" t="s">
        <v>2432</v>
      </c>
      <c r="F569" s="111" t="s">
        <v>126</v>
      </c>
      <c r="G569" s="133">
        <v>50</v>
      </c>
      <c r="H569" s="124"/>
      <c r="I569" s="133" t="str">
        <f>IF(H569&gt;0,(#REF!*H569),"-")</f>
        <v>-</v>
      </c>
      <c r="J569" s="113">
        <v>497</v>
      </c>
      <c r="K569" s="110" t="s">
        <v>127</v>
      </c>
      <c r="L569" s="110" t="s">
        <v>148</v>
      </c>
      <c r="M569" s="110" t="s">
        <v>129</v>
      </c>
      <c r="N569" s="110" t="s">
        <v>130</v>
      </c>
      <c r="O569" s="110" t="s">
        <v>2433</v>
      </c>
      <c r="P569" s="110" t="s">
        <v>132</v>
      </c>
      <c r="Q569" s="110" t="s">
        <v>96</v>
      </c>
      <c r="R569" s="121">
        <v>0.20219999999999999</v>
      </c>
      <c r="S569" s="113" t="e">
        <f t="shared" si="16"/>
        <v>#VALUE!</v>
      </c>
      <c r="T569" s="113">
        <f t="shared" si="17"/>
        <v>0</v>
      </c>
    </row>
    <row r="570" spans="1:20" s="109" customFormat="1" x14ac:dyDescent="0.2">
      <c r="A570" s="116"/>
      <c r="B570" s="111"/>
      <c r="C570" s="110" t="s">
        <v>2434</v>
      </c>
      <c r="D570" s="110" t="s">
        <v>2435</v>
      </c>
      <c r="E570" s="112" t="s">
        <v>2436</v>
      </c>
      <c r="F570" s="111" t="s">
        <v>126</v>
      </c>
      <c r="G570" s="133">
        <v>50</v>
      </c>
      <c r="H570" s="124"/>
      <c r="I570" s="133" t="str">
        <f>IF(H570&gt;0,(#REF!*H570),"-")</f>
        <v>-</v>
      </c>
      <c r="J570" s="113">
        <v>479</v>
      </c>
      <c r="K570" s="110" t="s">
        <v>127</v>
      </c>
      <c r="L570" s="110" t="s">
        <v>148</v>
      </c>
      <c r="M570" s="110" t="s">
        <v>129</v>
      </c>
      <c r="N570" s="110" t="s">
        <v>130</v>
      </c>
      <c r="O570" s="110" t="s">
        <v>2437</v>
      </c>
      <c r="P570" s="110" t="s">
        <v>132</v>
      </c>
      <c r="Q570" s="110" t="s">
        <v>96</v>
      </c>
      <c r="R570" s="121">
        <v>0.20300000000000001</v>
      </c>
      <c r="S570" s="113" t="e">
        <f t="shared" si="16"/>
        <v>#VALUE!</v>
      </c>
      <c r="T570" s="113">
        <f t="shared" si="17"/>
        <v>0</v>
      </c>
    </row>
    <row r="571" spans="1:20" s="109" customFormat="1" x14ac:dyDescent="0.2">
      <c r="A571" s="116"/>
      <c r="B571" s="111" t="s">
        <v>2373</v>
      </c>
      <c r="C571" s="110" t="s">
        <v>2438</v>
      </c>
      <c r="D571" s="110" t="s">
        <v>2439</v>
      </c>
      <c r="E571" s="112" t="s">
        <v>2440</v>
      </c>
      <c r="F571" s="111" t="s">
        <v>130</v>
      </c>
      <c r="G571" s="133">
        <v>50</v>
      </c>
      <c r="H571" s="124"/>
      <c r="I571" s="133" t="str">
        <f>IF(H571&gt;0,(#REF!*H571),"-")</f>
        <v>-</v>
      </c>
      <c r="J571" s="113">
        <v>497</v>
      </c>
      <c r="K571" s="110" t="s">
        <v>127</v>
      </c>
      <c r="L571" s="110" t="s">
        <v>148</v>
      </c>
      <c r="M571" s="110" t="s">
        <v>129</v>
      </c>
      <c r="N571" s="110" t="s">
        <v>130</v>
      </c>
      <c r="O571" s="110" t="s">
        <v>2441</v>
      </c>
      <c r="P571" s="110" t="s">
        <v>132</v>
      </c>
      <c r="Q571" s="110" t="s">
        <v>96</v>
      </c>
      <c r="R571" s="121">
        <v>0.20300000000000001</v>
      </c>
      <c r="S571" s="113" t="e">
        <f t="shared" si="16"/>
        <v>#VALUE!</v>
      </c>
      <c r="T571" s="113">
        <f t="shared" si="17"/>
        <v>0</v>
      </c>
    </row>
    <row r="572" spans="1:20" s="109" customFormat="1" x14ac:dyDescent="0.2">
      <c r="A572" s="116"/>
      <c r="B572" s="111" t="s">
        <v>2373</v>
      </c>
      <c r="C572" s="110" t="s">
        <v>2442</v>
      </c>
      <c r="D572" s="110" t="s">
        <v>2443</v>
      </c>
      <c r="E572" s="112" t="s">
        <v>2444</v>
      </c>
      <c r="F572" s="111" t="s">
        <v>130</v>
      </c>
      <c r="G572" s="133">
        <v>50</v>
      </c>
      <c r="H572" s="124"/>
      <c r="I572" s="133" t="str">
        <f>IF(H572&gt;0,(#REF!*H572),"-")</f>
        <v>-</v>
      </c>
      <c r="J572" s="113">
        <v>479</v>
      </c>
      <c r="K572" s="110" t="s">
        <v>127</v>
      </c>
      <c r="L572" s="110" t="s">
        <v>148</v>
      </c>
      <c r="M572" s="110" t="s">
        <v>129</v>
      </c>
      <c r="N572" s="110" t="s">
        <v>130</v>
      </c>
      <c r="O572" s="110" t="s">
        <v>2445</v>
      </c>
      <c r="P572" s="110" t="s">
        <v>132</v>
      </c>
      <c r="Q572" s="110" t="s">
        <v>96</v>
      </c>
      <c r="R572" s="121">
        <v>0.20499999999999999</v>
      </c>
      <c r="S572" s="113" t="e">
        <f t="shared" si="16"/>
        <v>#VALUE!</v>
      </c>
      <c r="T572" s="113">
        <f t="shared" si="17"/>
        <v>0</v>
      </c>
    </row>
    <row r="573" spans="1:20" s="109" customFormat="1" x14ac:dyDescent="0.2">
      <c r="A573" s="116"/>
      <c r="B573" s="111"/>
      <c r="C573" s="110" t="s">
        <v>2446</v>
      </c>
      <c r="D573" s="110" t="s">
        <v>2447</v>
      </c>
      <c r="E573" s="112" t="s">
        <v>2448</v>
      </c>
      <c r="F573" s="111" t="s">
        <v>126</v>
      </c>
      <c r="G573" s="133">
        <v>50</v>
      </c>
      <c r="H573" s="124"/>
      <c r="I573" s="133" t="str">
        <f>IF(H573&gt;0,(#REF!*H573),"-")</f>
        <v>-</v>
      </c>
      <c r="J573" s="113">
        <v>736</v>
      </c>
      <c r="K573" s="110" t="s">
        <v>127</v>
      </c>
      <c r="L573" s="110" t="s">
        <v>148</v>
      </c>
      <c r="M573" s="110" t="s">
        <v>129</v>
      </c>
      <c r="N573" s="110" t="s">
        <v>130</v>
      </c>
      <c r="O573" s="110" t="s">
        <v>2449</v>
      </c>
      <c r="P573" s="110" t="s">
        <v>132</v>
      </c>
      <c r="Q573" s="110" t="s">
        <v>96</v>
      </c>
      <c r="R573" s="121">
        <v>0.30099999999999999</v>
      </c>
      <c r="S573" s="113" t="e">
        <f t="shared" si="16"/>
        <v>#VALUE!</v>
      </c>
      <c r="T573" s="113">
        <f t="shared" si="17"/>
        <v>0</v>
      </c>
    </row>
    <row r="574" spans="1:20" s="109" customFormat="1" x14ac:dyDescent="0.2">
      <c r="A574" s="116"/>
      <c r="B574" s="111"/>
      <c r="C574" s="110" t="s">
        <v>2450</v>
      </c>
      <c r="D574" s="110" t="s">
        <v>2451</v>
      </c>
      <c r="E574" s="112" t="s">
        <v>2452</v>
      </c>
      <c r="F574" s="111" t="s">
        <v>126</v>
      </c>
      <c r="G574" s="133">
        <v>50</v>
      </c>
      <c r="H574" s="124"/>
      <c r="I574" s="133" t="str">
        <f>IF(H574&gt;0,(#REF!*H574),"-")</f>
        <v>-</v>
      </c>
      <c r="J574" s="113">
        <v>515</v>
      </c>
      <c r="K574" s="110" t="s">
        <v>127</v>
      </c>
      <c r="L574" s="110" t="s">
        <v>148</v>
      </c>
      <c r="M574" s="110" t="s">
        <v>129</v>
      </c>
      <c r="N574" s="110" t="s">
        <v>130</v>
      </c>
      <c r="O574" s="110" t="s">
        <v>2453</v>
      </c>
      <c r="P574" s="110" t="s">
        <v>132</v>
      </c>
      <c r="Q574" s="110" t="s">
        <v>96</v>
      </c>
      <c r="R574" s="121">
        <v>0.21199999999999999</v>
      </c>
      <c r="S574" s="113" t="e">
        <f t="shared" si="16"/>
        <v>#VALUE!</v>
      </c>
      <c r="T574" s="113">
        <f t="shared" si="17"/>
        <v>0</v>
      </c>
    </row>
    <row r="575" spans="1:20" s="109" customFormat="1" x14ac:dyDescent="0.2">
      <c r="A575" s="116"/>
      <c r="B575" s="111" t="s">
        <v>2373</v>
      </c>
      <c r="C575" s="110" t="s">
        <v>2454</v>
      </c>
      <c r="D575" s="110" t="s">
        <v>2455</v>
      </c>
      <c r="E575" s="112" t="s">
        <v>2456</v>
      </c>
      <c r="F575" s="111" t="s">
        <v>130</v>
      </c>
      <c r="G575" s="133">
        <v>56</v>
      </c>
      <c r="H575" s="124"/>
      <c r="I575" s="133" t="str">
        <f>IF(H575&gt;0,(#REF!*H575),"-")</f>
        <v>-</v>
      </c>
      <c r="J575" s="113">
        <v>637</v>
      </c>
      <c r="K575" s="110" t="s">
        <v>127</v>
      </c>
      <c r="L575" s="110" t="s">
        <v>148</v>
      </c>
      <c r="M575" s="110" t="s">
        <v>129</v>
      </c>
      <c r="N575" s="110" t="s">
        <v>130</v>
      </c>
      <c r="O575" s="110" t="s">
        <v>2457</v>
      </c>
      <c r="P575" s="110" t="s">
        <v>132</v>
      </c>
      <c r="Q575" s="110" t="s">
        <v>96</v>
      </c>
      <c r="R575" s="121">
        <v>0.28000000000000003</v>
      </c>
      <c r="S575" s="113" t="e">
        <f t="shared" si="16"/>
        <v>#VALUE!</v>
      </c>
      <c r="T575" s="113">
        <f t="shared" si="17"/>
        <v>0</v>
      </c>
    </row>
    <row r="576" spans="1:20" s="109" customFormat="1" x14ac:dyDescent="0.2">
      <c r="A576" s="116"/>
      <c r="B576" s="111"/>
      <c r="C576" s="110" t="s">
        <v>2458</v>
      </c>
      <c r="D576" s="110" t="s">
        <v>2459</v>
      </c>
      <c r="E576" s="112" t="s">
        <v>2460</v>
      </c>
      <c r="F576" s="111" t="s">
        <v>126</v>
      </c>
      <c r="G576" s="133">
        <v>50</v>
      </c>
      <c r="H576" s="124"/>
      <c r="I576" s="133" t="str">
        <f>IF(H576&gt;0,(#REF!*H576),"-")</f>
        <v>-</v>
      </c>
      <c r="J576" s="113">
        <v>515</v>
      </c>
      <c r="K576" s="110" t="s">
        <v>127</v>
      </c>
      <c r="L576" s="110" t="s">
        <v>148</v>
      </c>
      <c r="M576" s="110" t="s">
        <v>129</v>
      </c>
      <c r="N576" s="110" t="s">
        <v>130</v>
      </c>
      <c r="O576" s="110" t="s">
        <v>2461</v>
      </c>
      <c r="P576" s="110" t="s">
        <v>132</v>
      </c>
      <c r="Q576" s="110" t="s">
        <v>96</v>
      </c>
      <c r="R576" s="121">
        <v>0.21579999999999999</v>
      </c>
      <c r="S576" s="113" t="e">
        <f t="shared" si="16"/>
        <v>#VALUE!</v>
      </c>
      <c r="T576" s="113">
        <f t="shared" si="17"/>
        <v>0</v>
      </c>
    </row>
    <row r="577" spans="1:20" s="109" customFormat="1" x14ac:dyDescent="0.2">
      <c r="A577" s="116"/>
      <c r="B577" s="111"/>
      <c r="C577" s="110" t="s">
        <v>2462</v>
      </c>
      <c r="D577" s="110" t="s">
        <v>2463</v>
      </c>
      <c r="E577" s="112" t="s">
        <v>2464</v>
      </c>
      <c r="F577" s="111" t="s">
        <v>126</v>
      </c>
      <c r="G577" s="133">
        <v>56</v>
      </c>
      <c r="H577" s="124"/>
      <c r="I577" s="133" t="str">
        <f>IF(H577&gt;0,(#REF!*H577),"-")</f>
        <v>-</v>
      </c>
      <c r="J577" s="113">
        <v>746</v>
      </c>
      <c r="K577" s="110" t="s">
        <v>127</v>
      </c>
      <c r="L577" s="110" t="s">
        <v>148</v>
      </c>
      <c r="M577" s="110" t="s">
        <v>129</v>
      </c>
      <c r="N577" s="110" t="s">
        <v>130</v>
      </c>
      <c r="O577" s="110" t="s">
        <v>2465</v>
      </c>
      <c r="P577" s="110" t="s">
        <v>132</v>
      </c>
      <c r="Q577" s="110" t="s">
        <v>96</v>
      </c>
      <c r="R577" s="121">
        <v>0.29899999999999999</v>
      </c>
      <c r="S577" s="113" t="e">
        <f t="shared" si="16"/>
        <v>#VALUE!</v>
      </c>
      <c r="T577" s="113">
        <f t="shared" si="17"/>
        <v>0</v>
      </c>
    </row>
    <row r="578" spans="1:20" s="109" customFormat="1" x14ac:dyDescent="0.2">
      <c r="A578" s="116"/>
      <c r="B578" s="111"/>
      <c r="C578" s="110" t="s">
        <v>2466</v>
      </c>
      <c r="D578" s="110" t="s">
        <v>2467</v>
      </c>
      <c r="E578" s="112" t="s">
        <v>2468</v>
      </c>
      <c r="F578" s="111" t="s">
        <v>126</v>
      </c>
      <c r="G578" s="133">
        <v>50</v>
      </c>
      <c r="H578" s="124"/>
      <c r="I578" s="133" t="str">
        <f>IF(H578&gt;0,(#REF!*H578),"-")</f>
        <v>-</v>
      </c>
      <c r="J578" s="113">
        <v>607</v>
      </c>
      <c r="K578" s="110" t="s">
        <v>127</v>
      </c>
      <c r="L578" s="110" t="s">
        <v>148</v>
      </c>
      <c r="M578" s="110" t="s">
        <v>129</v>
      </c>
      <c r="N578" s="110" t="s">
        <v>130</v>
      </c>
      <c r="O578" s="110" t="s">
        <v>2469</v>
      </c>
      <c r="P578" s="110" t="s">
        <v>132</v>
      </c>
      <c r="Q578" s="110" t="s">
        <v>96</v>
      </c>
      <c r="R578" s="121">
        <v>0.24729999999999999</v>
      </c>
      <c r="S578" s="113" t="e">
        <f t="shared" ref="S578:S641" si="18">Q578*H578</f>
        <v>#VALUE!</v>
      </c>
      <c r="T578" s="113">
        <f t="shared" ref="T578:T641" si="19">R578*H578</f>
        <v>0</v>
      </c>
    </row>
    <row r="579" spans="1:20" s="109" customFormat="1" x14ac:dyDescent="0.2">
      <c r="A579" s="116"/>
      <c r="B579" s="111" t="s">
        <v>2373</v>
      </c>
      <c r="C579" s="110" t="s">
        <v>2470</v>
      </c>
      <c r="D579" s="110" t="s">
        <v>2471</v>
      </c>
      <c r="E579" s="112" t="s">
        <v>2472</v>
      </c>
      <c r="F579" s="111" t="s">
        <v>130</v>
      </c>
      <c r="G579" s="133">
        <v>56</v>
      </c>
      <c r="H579" s="124"/>
      <c r="I579" s="133" t="str">
        <f>IF(H579&gt;0,(#REF!*H579),"-")</f>
        <v>-</v>
      </c>
      <c r="J579" s="113">
        <v>669</v>
      </c>
      <c r="K579" s="110" t="s">
        <v>127</v>
      </c>
      <c r="L579" s="110" t="s">
        <v>148</v>
      </c>
      <c r="M579" s="110" t="s">
        <v>129</v>
      </c>
      <c r="N579" s="110" t="s">
        <v>130</v>
      </c>
      <c r="O579" s="110" t="s">
        <v>2473</v>
      </c>
      <c r="P579" s="110" t="s">
        <v>132</v>
      </c>
      <c r="Q579" s="110" t="s">
        <v>96</v>
      </c>
      <c r="R579" s="121">
        <v>0.29299999999999998</v>
      </c>
      <c r="S579" s="113" t="e">
        <f t="shared" si="18"/>
        <v>#VALUE!</v>
      </c>
      <c r="T579" s="113">
        <f t="shared" si="19"/>
        <v>0</v>
      </c>
    </row>
    <row r="580" spans="1:20" s="109" customFormat="1" x14ac:dyDescent="0.2">
      <c r="A580" s="116"/>
      <c r="B580" s="111"/>
      <c r="C580" s="110" t="s">
        <v>2474</v>
      </c>
      <c r="D580" s="110" t="s">
        <v>2475</v>
      </c>
      <c r="E580" s="112" t="s">
        <v>2476</v>
      </c>
      <c r="F580" s="111" t="s">
        <v>126</v>
      </c>
      <c r="G580" s="133">
        <v>56</v>
      </c>
      <c r="H580" s="124"/>
      <c r="I580" s="133" t="str">
        <f>IF(H580&gt;0,(#REF!*H580),"-")</f>
        <v>-</v>
      </c>
      <c r="J580" s="113">
        <v>721</v>
      </c>
      <c r="K580" s="110" t="s">
        <v>127</v>
      </c>
      <c r="L580" s="110" t="s">
        <v>148</v>
      </c>
      <c r="M580" s="110" t="s">
        <v>129</v>
      </c>
      <c r="N580" s="110" t="s">
        <v>130</v>
      </c>
      <c r="O580" s="110" t="s">
        <v>2477</v>
      </c>
      <c r="P580" s="110" t="s">
        <v>132</v>
      </c>
      <c r="Q580" s="110" t="s">
        <v>96</v>
      </c>
      <c r="R580" s="121">
        <v>0.28399999999999997</v>
      </c>
      <c r="S580" s="113" t="e">
        <f t="shared" si="18"/>
        <v>#VALUE!</v>
      </c>
      <c r="T580" s="113">
        <f t="shared" si="19"/>
        <v>0</v>
      </c>
    </row>
    <row r="581" spans="1:20" s="109" customFormat="1" x14ac:dyDescent="0.2">
      <c r="A581" s="116"/>
      <c r="B581" s="111"/>
      <c r="C581" s="110" t="s">
        <v>2478</v>
      </c>
      <c r="D581" s="110" t="s">
        <v>2479</v>
      </c>
      <c r="E581" s="112" t="s">
        <v>2480</v>
      </c>
      <c r="F581" s="111" t="s">
        <v>126</v>
      </c>
      <c r="G581" s="133">
        <v>50</v>
      </c>
      <c r="H581" s="124"/>
      <c r="I581" s="133" t="str">
        <f>IF(H581&gt;0,(#REF!*H581),"-")</f>
        <v>-</v>
      </c>
      <c r="J581" s="113">
        <v>663</v>
      </c>
      <c r="K581" s="110" t="s">
        <v>127</v>
      </c>
      <c r="L581" s="110" t="s">
        <v>148</v>
      </c>
      <c r="M581" s="110" t="s">
        <v>129</v>
      </c>
      <c r="N581" s="110" t="s">
        <v>130</v>
      </c>
      <c r="O581" s="110" t="s">
        <v>2481</v>
      </c>
      <c r="P581" s="110" t="s">
        <v>132</v>
      </c>
      <c r="Q581" s="110" t="s">
        <v>96</v>
      </c>
      <c r="R581" s="121">
        <v>0.28029999999999999</v>
      </c>
      <c r="S581" s="113" t="e">
        <f t="shared" si="18"/>
        <v>#VALUE!</v>
      </c>
      <c r="T581" s="113">
        <f t="shared" si="19"/>
        <v>0</v>
      </c>
    </row>
    <row r="582" spans="1:20" s="109" customFormat="1" x14ac:dyDescent="0.2">
      <c r="A582" s="116"/>
      <c r="B582" s="111"/>
      <c r="C582" s="110" t="s">
        <v>2482</v>
      </c>
      <c r="D582" s="110" t="s">
        <v>2483</v>
      </c>
      <c r="E582" s="112" t="s">
        <v>2484</v>
      </c>
      <c r="F582" s="111" t="s">
        <v>126</v>
      </c>
      <c r="G582" s="133">
        <v>50</v>
      </c>
      <c r="H582" s="124"/>
      <c r="I582" s="133" t="str">
        <f>IF(H582&gt;0,(#REF!*H582),"-")</f>
        <v>-</v>
      </c>
      <c r="J582" s="113">
        <v>711</v>
      </c>
      <c r="K582" s="110" t="s">
        <v>127</v>
      </c>
      <c r="L582" s="110" t="s">
        <v>148</v>
      </c>
      <c r="M582" s="110" t="s">
        <v>129</v>
      </c>
      <c r="N582" s="110" t="s">
        <v>130</v>
      </c>
      <c r="O582" s="110" t="s">
        <v>2485</v>
      </c>
      <c r="P582" s="110" t="s">
        <v>132</v>
      </c>
      <c r="Q582" s="110" t="s">
        <v>96</v>
      </c>
      <c r="R582" s="121">
        <v>0.30449999999999999</v>
      </c>
      <c r="S582" s="113" t="e">
        <f t="shared" si="18"/>
        <v>#VALUE!</v>
      </c>
      <c r="T582" s="113">
        <f t="shared" si="19"/>
        <v>0</v>
      </c>
    </row>
    <row r="583" spans="1:20" s="109" customFormat="1" x14ac:dyDescent="0.2">
      <c r="A583" s="116"/>
      <c r="B583" s="111" t="s">
        <v>2373</v>
      </c>
      <c r="C583" s="110" t="s">
        <v>2486</v>
      </c>
      <c r="D583" s="110" t="s">
        <v>2487</v>
      </c>
      <c r="E583" s="112" t="s">
        <v>2488</v>
      </c>
      <c r="F583" s="111" t="s">
        <v>130</v>
      </c>
      <c r="G583" s="133">
        <v>93</v>
      </c>
      <c r="H583" s="124"/>
      <c r="I583" s="133" t="str">
        <f>IF(H583&gt;0,(#REF!*H583),"-")</f>
        <v>-</v>
      </c>
      <c r="J583" s="113">
        <v>1493</v>
      </c>
      <c r="K583" s="110" t="s">
        <v>127</v>
      </c>
      <c r="L583" s="110" t="s">
        <v>148</v>
      </c>
      <c r="M583" s="110" t="s">
        <v>129</v>
      </c>
      <c r="N583" s="110" t="s">
        <v>130</v>
      </c>
      <c r="O583" s="110" t="s">
        <v>2489</v>
      </c>
      <c r="P583" s="110" t="s">
        <v>132</v>
      </c>
      <c r="Q583" s="110" t="s">
        <v>96</v>
      </c>
      <c r="R583" s="121">
        <v>0.63719999999999999</v>
      </c>
      <c r="S583" s="113" t="e">
        <f t="shared" si="18"/>
        <v>#VALUE!</v>
      </c>
      <c r="T583" s="113">
        <f t="shared" si="19"/>
        <v>0</v>
      </c>
    </row>
    <row r="584" spans="1:20" s="109" customFormat="1" x14ac:dyDescent="0.2">
      <c r="A584" s="116"/>
      <c r="B584" s="111"/>
      <c r="C584" s="110" t="s">
        <v>2490</v>
      </c>
      <c r="D584" s="110" t="s">
        <v>2491</v>
      </c>
      <c r="E584" s="112" t="s">
        <v>2492</v>
      </c>
      <c r="F584" s="111" t="s">
        <v>126</v>
      </c>
      <c r="G584" s="133">
        <v>81</v>
      </c>
      <c r="H584" s="124"/>
      <c r="I584" s="133" t="str">
        <f>IF(H584&gt;0,(#REF!*H584),"-")</f>
        <v>-</v>
      </c>
      <c r="J584" s="113">
        <v>609</v>
      </c>
      <c r="K584" s="110" t="s">
        <v>127</v>
      </c>
      <c r="L584" s="110" t="s">
        <v>148</v>
      </c>
      <c r="M584" s="110" t="s">
        <v>129</v>
      </c>
      <c r="N584" s="110" t="s">
        <v>130</v>
      </c>
      <c r="O584" s="110" t="s">
        <v>2493</v>
      </c>
      <c r="P584" s="110" t="s">
        <v>132</v>
      </c>
      <c r="Q584" s="110" t="s">
        <v>97</v>
      </c>
      <c r="R584" s="121">
        <v>0.44</v>
      </c>
      <c r="S584" s="113" t="e">
        <f t="shared" si="18"/>
        <v>#VALUE!</v>
      </c>
      <c r="T584" s="113">
        <f t="shared" si="19"/>
        <v>0</v>
      </c>
    </row>
    <row r="585" spans="1:20" s="109" customFormat="1" x14ac:dyDescent="0.2">
      <c r="A585" s="116"/>
      <c r="B585" s="111"/>
      <c r="C585" s="110" t="s">
        <v>2494</v>
      </c>
      <c r="D585" s="110" t="s">
        <v>2495</v>
      </c>
      <c r="E585" s="112" t="s">
        <v>2496</v>
      </c>
      <c r="F585" s="111" t="s">
        <v>126</v>
      </c>
      <c r="G585" s="133">
        <v>80</v>
      </c>
      <c r="H585" s="124"/>
      <c r="I585" s="133" t="str">
        <f>IF(H585&gt;0,(#REF!*H585),"-")</f>
        <v>-</v>
      </c>
      <c r="J585" s="113">
        <v>609</v>
      </c>
      <c r="K585" s="110" t="s">
        <v>127</v>
      </c>
      <c r="L585" s="110" t="s">
        <v>148</v>
      </c>
      <c r="M585" s="110" t="s">
        <v>129</v>
      </c>
      <c r="N585" s="110" t="s">
        <v>130</v>
      </c>
      <c r="O585" s="110" t="s">
        <v>2497</v>
      </c>
      <c r="P585" s="110" t="s">
        <v>132</v>
      </c>
      <c r="Q585" s="110" t="s">
        <v>97</v>
      </c>
      <c r="R585" s="121">
        <v>0.40229999999999999</v>
      </c>
      <c r="S585" s="113" t="e">
        <f t="shared" si="18"/>
        <v>#VALUE!</v>
      </c>
      <c r="T585" s="113">
        <f t="shared" si="19"/>
        <v>0</v>
      </c>
    </row>
    <row r="586" spans="1:20" s="109" customFormat="1" x14ac:dyDescent="0.2">
      <c r="A586" s="116"/>
      <c r="B586" s="111" t="s">
        <v>2373</v>
      </c>
      <c r="C586" s="110" t="s">
        <v>2498</v>
      </c>
      <c r="D586" s="110" t="s">
        <v>2499</v>
      </c>
      <c r="E586" s="112" t="s">
        <v>2500</v>
      </c>
      <c r="F586" s="111" t="s">
        <v>130</v>
      </c>
      <c r="G586" s="133">
        <v>95</v>
      </c>
      <c r="H586" s="124"/>
      <c r="I586" s="133" t="str">
        <f>IF(H586&gt;0,(#REF!*H586),"-")</f>
        <v>-</v>
      </c>
      <c r="J586" s="113">
        <v>1493</v>
      </c>
      <c r="K586" s="110" t="s">
        <v>127</v>
      </c>
      <c r="L586" s="110" t="s">
        <v>148</v>
      </c>
      <c r="M586" s="110" t="s">
        <v>129</v>
      </c>
      <c r="N586" s="110" t="s">
        <v>130</v>
      </c>
      <c r="O586" s="110" t="s">
        <v>2501</v>
      </c>
      <c r="P586" s="110" t="s">
        <v>132</v>
      </c>
      <c r="Q586" s="110" t="s">
        <v>96</v>
      </c>
      <c r="R586" s="121">
        <v>0.6421</v>
      </c>
      <c r="S586" s="113" t="e">
        <f t="shared" si="18"/>
        <v>#VALUE!</v>
      </c>
      <c r="T586" s="113">
        <f t="shared" si="19"/>
        <v>0</v>
      </c>
    </row>
    <row r="587" spans="1:20" s="109" customFormat="1" x14ac:dyDescent="0.2">
      <c r="A587" s="116"/>
      <c r="B587" s="111"/>
      <c r="C587" s="110" t="s">
        <v>2502</v>
      </c>
      <c r="D587" s="110" t="s">
        <v>2503</v>
      </c>
      <c r="E587" s="112" t="s">
        <v>2504</v>
      </c>
      <c r="F587" s="111" t="s">
        <v>126</v>
      </c>
      <c r="G587" s="133">
        <v>56</v>
      </c>
      <c r="H587" s="124"/>
      <c r="I587" s="133" t="str">
        <f>IF(H587&gt;0,(#REF!*H587),"-")</f>
        <v>-</v>
      </c>
      <c r="J587" s="113">
        <v>695</v>
      </c>
      <c r="K587" s="110" t="s">
        <v>127</v>
      </c>
      <c r="L587" s="110" t="s">
        <v>148</v>
      </c>
      <c r="M587" s="110" t="s">
        <v>129</v>
      </c>
      <c r="N587" s="110" t="s">
        <v>130</v>
      </c>
      <c r="O587" s="110" t="s">
        <v>2505</v>
      </c>
      <c r="P587" s="110" t="s">
        <v>132</v>
      </c>
      <c r="Q587" s="110" t="s">
        <v>96</v>
      </c>
      <c r="R587" s="121">
        <v>0.30299999999999999</v>
      </c>
      <c r="S587" s="113" t="e">
        <f t="shared" si="18"/>
        <v>#VALUE!</v>
      </c>
      <c r="T587" s="113">
        <f t="shared" si="19"/>
        <v>0</v>
      </c>
    </row>
    <row r="588" spans="1:20" s="109" customFormat="1" x14ac:dyDescent="0.2">
      <c r="A588" s="116"/>
      <c r="B588" s="111"/>
      <c r="C588" s="110" t="s">
        <v>2506</v>
      </c>
      <c r="D588" s="110" t="s">
        <v>2507</v>
      </c>
      <c r="E588" s="112" t="s">
        <v>2508</v>
      </c>
      <c r="F588" s="111" t="s">
        <v>126</v>
      </c>
      <c r="G588" s="133">
        <v>80</v>
      </c>
      <c r="H588" s="124"/>
      <c r="I588" s="133" t="str">
        <f>IF(H588&gt;0,(#REF!*H588),"-")</f>
        <v>-</v>
      </c>
      <c r="J588" s="113">
        <v>661</v>
      </c>
      <c r="K588" s="110" t="s">
        <v>127</v>
      </c>
      <c r="L588" s="110" t="s">
        <v>148</v>
      </c>
      <c r="M588" s="110" t="s">
        <v>129</v>
      </c>
      <c r="N588" s="110" t="s">
        <v>130</v>
      </c>
      <c r="O588" s="110" t="s">
        <v>2509</v>
      </c>
      <c r="P588" s="110" t="s">
        <v>132</v>
      </c>
      <c r="Q588" s="110" t="s">
        <v>97</v>
      </c>
      <c r="R588" s="121">
        <v>0.46300000000000002</v>
      </c>
      <c r="S588" s="113" t="e">
        <f t="shared" si="18"/>
        <v>#VALUE!</v>
      </c>
      <c r="T588" s="113">
        <f t="shared" si="19"/>
        <v>0</v>
      </c>
    </row>
    <row r="589" spans="1:20" s="109" customFormat="1" x14ac:dyDescent="0.2">
      <c r="A589" s="116"/>
      <c r="B589" s="111" t="s">
        <v>2373</v>
      </c>
      <c r="C589" s="110" t="s">
        <v>2510</v>
      </c>
      <c r="D589" s="110" t="s">
        <v>2511</v>
      </c>
      <c r="E589" s="112" t="s">
        <v>2512</v>
      </c>
      <c r="F589" s="111" t="s">
        <v>130</v>
      </c>
      <c r="G589" s="133">
        <v>95</v>
      </c>
      <c r="H589" s="124"/>
      <c r="I589" s="133" t="str">
        <f>IF(H589&gt;0,(#REF!*H589),"-")</f>
        <v>-</v>
      </c>
      <c r="J589" s="113">
        <v>1416</v>
      </c>
      <c r="K589" s="110" t="s">
        <v>127</v>
      </c>
      <c r="L589" s="110" t="s">
        <v>148</v>
      </c>
      <c r="M589" s="110" t="s">
        <v>129</v>
      </c>
      <c r="N589" s="110" t="s">
        <v>130</v>
      </c>
      <c r="O589" s="110" t="s">
        <v>2513</v>
      </c>
      <c r="P589" s="110" t="s">
        <v>132</v>
      </c>
      <c r="Q589" s="110" t="s">
        <v>96</v>
      </c>
      <c r="R589" s="121">
        <v>0.58799999999999997</v>
      </c>
      <c r="S589" s="113" t="e">
        <f t="shared" si="18"/>
        <v>#VALUE!</v>
      </c>
      <c r="T589" s="113">
        <f t="shared" si="19"/>
        <v>0</v>
      </c>
    </row>
    <row r="590" spans="1:20" s="109" customFormat="1" x14ac:dyDescent="0.2">
      <c r="A590" s="116"/>
      <c r="B590" s="111"/>
      <c r="C590" s="110" t="s">
        <v>2514</v>
      </c>
      <c r="D590" s="110" t="s">
        <v>2515</v>
      </c>
      <c r="E590" s="112" t="s">
        <v>2516</v>
      </c>
      <c r="F590" s="111" t="s">
        <v>126</v>
      </c>
      <c r="G590" s="133">
        <v>50</v>
      </c>
      <c r="H590" s="124"/>
      <c r="I590" s="133" t="str">
        <f>IF(H590&gt;0,(#REF!*H590),"-")</f>
        <v>-</v>
      </c>
      <c r="J590" s="113">
        <v>479</v>
      </c>
      <c r="K590" s="110" t="s">
        <v>127</v>
      </c>
      <c r="L590" s="110" t="s">
        <v>148</v>
      </c>
      <c r="M590" s="110" t="s">
        <v>129</v>
      </c>
      <c r="N590" s="110" t="s">
        <v>130</v>
      </c>
      <c r="O590" s="110" t="s">
        <v>2517</v>
      </c>
      <c r="P590" s="110" t="s">
        <v>132</v>
      </c>
      <c r="Q590" s="110" t="s">
        <v>96</v>
      </c>
      <c r="R590" s="121">
        <v>0.2</v>
      </c>
      <c r="S590" s="113" t="e">
        <f t="shared" si="18"/>
        <v>#VALUE!</v>
      </c>
      <c r="T590" s="113">
        <f t="shared" si="19"/>
        <v>0</v>
      </c>
    </row>
    <row r="591" spans="1:20" s="109" customFormat="1" x14ac:dyDescent="0.2">
      <c r="A591" s="116"/>
      <c r="B591" s="111"/>
      <c r="C591" s="110" t="s">
        <v>2518</v>
      </c>
      <c r="D591" s="110" t="s">
        <v>2519</v>
      </c>
      <c r="E591" s="112" t="s">
        <v>2520</v>
      </c>
      <c r="F591" s="111" t="s">
        <v>126</v>
      </c>
      <c r="G591" s="133">
        <v>50</v>
      </c>
      <c r="H591" s="124"/>
      <c r="I591" s="133" t="str">
        <f>IF(H591&gt;0,(#REF!*H591),"-")</f>
        <v>-</v>
      </c>
      <c r="J591" s="113">
        <v>552</v>
      </c>
      <c r="K591" s="110" t="s">
        <v>127</v>
      </c>
      <c r="L591" s="110" t="s">
        <v>148</v>
      </c>
      <c r="M591" s="110" t="s">
        <v>129</v>
      </c>
      <c r="N591" s="110" t="s">
        <v>130</v>
      </c>
      <c r="O591" s="110" t="s">
        <v>2521</v>
      </c>
      <c r="P591" s="110" t="s">
        <v>132</v>
      </c>
      <c r="Q591" s="110" t="s">
        <v>96</v>
      </c>
      <c r="R591" s="121">
        <v>0.23400000000000001</v>
      </c>
      <c r="S591" s="113" t="e">
        <f t="shared" si="18"/>
        <v>#VALUE!</v>
      </c>
      <c r="T591" s="113">
        <f t="shared" si="19"/>
        <v>0</v>
      </c>
    </row>
    <row r="592" spans="1:20" s="109" customFormat="1" x14ac:dyDescent="0.2">
      <c r="A592" s="116"/>
      <c r="B592" s="111"/>
      <c r="C592" s="110" t="s">
        <v>2522</v>
      </c>
      <c r="D592" s="110" t="s">
        <v>2523</v>
      </c>
      <c r="E592" s="112" t="s">
        <v>2524</v>
      </c>
      <c r="F592" s="111" t="s">
        <v>126</v>
      </c>
      <c r="G592" s="133">
        <v>80</v>
      </c>
      <c r="H592" s="124"/>
      <c r="I592" s="133" t="str">
        <f>IF(H592&gt;0,(#REF!*H592),"-")</f>
        <v>-</v>
      </c>
      <c r="J592" s="113">
        <v>723</v>
      </c>
      <c r="K592" s="110" t="s">
        <v>127</v>
      </c>
      <c r="L592" s="110" t="s">
        <v>148</v>
      </c>
      <c r="M592" s="110" t="s">
        <v>129</v>
      </c>
      <c r="N592" s="110" t="s">
        <v>130</v>
      </c>
      <c r="O592" s="110" t="s">
        <v>2525</v>
      </c>
      <c r="P592" s="110" t="s">
        <v>132</v>
      </c>
      <c r="Q592" s="110" t="s">
        <v>97</v>
      </c>
      <c r="R592" s="121">
        <v>0.48699999999999999</v>
      </c>
      <c r="S592" s="113" t="e">
        <f t="shared" si="18"/>
        <v>#VALUE!</v>
      </c>
      <c r="T592" s="113">
        <f t="shared" si="19"/>
        <v>0</v>
      </c>
    </row>
    <row r="593" spans="1:20" s="109" customFormat="1" x14ac:dyDescent="0.2">
      <c r="A593" s="116"/>
      <c r="B593" s="111"/>
      <c r="C593" s="110" t="s">
        <v>2526</v>
      </c>
      <c r="D593" s="110" t="s">
        <v>2527</v>
      </c>
      <c r="E593" s="112" t="s">
        <v>2528</v>
      </c>
      <c r="F593" s="111" t="s">
        <v>126</v>
      </c>
      <c r="G593" s="133">
        <v>56</v>
      </c>
      <c r="H593" s="124"/>
      <c r="I593" s="133" t="str">
        <f>IF(H593&gt;0,(#REF!*H593),"-")</f>
        <v>-</v>
      </c>
      <c r="J593" s="113">
        <v>644</v>
      </c>
      <c r="K593" s="110" t="s">
        <v>127</v>
      </c>
      <c r="L593" s="110" t="s">
        <v>148</v>
      </c>
      <c r="M593" s="110" t="s">
        <v>129</v>
      </c>
      <c r="N593" s="110" t="s">
        <v>130</v>
      </c>
      <c r="O593" s="110" t="s">
        <v>2529</v>
      </c>
      <c r="P593" s="110" t="s">
        <v>132</v>
      </c>
      <c r="Q593" s="110" t="s">
        <v>96</v>
      </c>
      <c r="R593" s="121">
        <v>0.26</v>
      </c>
      <c r="S593" s="113" t="e">
        <f t="shared" si="18"/>
        <v>#VALUE!</v>
      </c>
      <c r="T593" s="113">
        <f t="shared" si="19"/>
        <v>0</v>
      </c>
    </row>
    <row r="594" spans="1:20" s="109" customFormat="1" x14ac:dyDescent="0.2">
      <c r="A594" s="116"/>
      <c r="B594" s="111" t="s">
        <v>2373</v>
      </c>
      <c r="C594" s="110" t="s">
        <v>2530</v>
      </c>
      <c r="D594" s="110" t="s">
        <v>2531</v>
      </c>
      <c r="E594" s="112" t="s">
        <v>2532</v>
      </c>
      <c r="F594" s="111" t="s">
        <v>130</v>
      </c>
      <c r="G594" s="133">
        <v>50</v>
      </c>
      <c r="H594" s="124"/>
      <c r="I594" s="133" t="str">
        <f>IF(H594&gt;0,(#REF!*H594),"-")</f>
        <v>-</v>
      </c>
      <c r="J594" s="113">
        <v>552</v>
      </c>
      <c r="K594" s="110" t="s">
        <v>127</v>
      </c>
      <c r="L594" s="110" t="s">
        <v>148</v>
      </c>
      <c r="M594" s="110" t="s">
        <v>129</v>
      </c>
      <c r="N594" s="110" t="s">
        <v>130</v>
      </c>
      <c r="O594" s="110" t="s">
        <v>2533</v>
      </c>
      <c r="P594" s="110" t="s">
        <v>132</v>
      </c>
      <c r="Q594" s="110" t="s">
        <v>96</v>
      </c>
      <c r="R594" s="121">
        <v>0.23499999999999999</v>
      </c>
      <c r="S594" s="113" t="e">
        <f t="shared" si="18"/>
        <v>#VALUE!</v>
      </c>
      <c r="T594" s="113">
        <f t="shared" si="19"/>
        <v>0</v>
      </c>
    </row>
    <row r="595" spans="1:20" s="109" customFormat="1" x14ac:dyDescent="0.2">
      <c r="A595" s="116"/>
      <c r="B595" s="111" t="s">
        <v>2373</v>
      </c>
      <c r="C595" s="110" t="s">
        <v>2534</v>
      </c>
      <c r="D595" s="110" t="s">
        <v>2535</v>
      </c>
      <c r="E595" s="112" t="s">
        <v>2536</v>
      </c>
      <c r="F595" s="111" t="s">
        <v>130</v>
      </c>
      <c r="G595" s="133">
        <v>56</v>
      </c>
      <c r="H595" s="124"/>
      <c r="I595" s="133" t="str">
        <f>IF(H595&gt;0,(#REF!*H595),"-")</f>
        <v>-</v>
      </c>
      <c r="J595" s="113">
        <v>618</v>
      </c>
      <c r="K595" s="110" t="s">
        <v>127</v>
      </c>
      <c r="L595" s="110" t="s">
        <v>148</v>
      </c>
      <c r="M595" s="110" t="s">
        <v>129</v>
      </c>
      <c r="N595" s="110" t="s">
        <v>130</v>
      </c>
      <c r="O595" s="110" t="s">
        <v>2537</v>
      </c>
      <c r="P595" s="110" t="s">
        <v>132</v>
      </c>
      <c r="Q595" s="110" t="s">
        <v>96</v>
      </c>
      <c r="R595" s="121">
        <v>0.25</v>
      </c>
      <c r="S595" s="113" t="e">
        <f t="shared" si="18"/>
        <v>#VALUE!</v>
      </c>
      <c r="T595" s="113">
        <f t="shared" si="19"/>
        <v>0</v>
      </c>
    </row>
    <row r="596" spans="1:20" s="109" customFormat="1" x14ac:dyDescent="0.2">
      <c r="A596" s="116"/>
      <c r="B596" s="111"/>
      <c r="C596" s="110" t="s">
        <v>2538</v>
      </c>
      <c r="D596" s="110" t="s">
        <v>2539</v>
      </c>
      <c r="E596" s="112" t="s">
        <v>2540</v>
      </c>
      <c r="F596" s="111" t="s">
        <v>126</v>
      </c>
      <c r="G596" s="133">
        <v>56</v>
      </c>
      <c r="H596" s="124"/>
      <c r="I596" s="133" t="str">
        <f>IF(H596&gt;0,(#REF!*H596),"-")</f>
        <v>-</v>
      </c>
      <c r="J596" s="113">
        <v>592</v>
      </c>
      <c r="K596" s="110" t="s">
        <v>127</v>
      </c>
      <c r="L596" s="110" t="s">
        <v>148</v>
      </c>
      <c r="M596" s="110" t="s">
        <v>129</v>
      </c>
      <c r="N596" s="110" t="s">
        <v>130</v>
      </c>
      <c r="O596" s="110" t="s">
        <v>2541</v>
      </c>
      <c r="P596" s="110" t="s">
        <v>132</v>
      </c>
      <c r="Q596" s="110" t="s">
        <v>96</v>
      </c>
      <c r="R596" s="121">
        <v>0.253</v>
      </c>
      <c r="S596" s="113" t="e">
        <f t="shared" si="18"/>
        <v>#VALUE!</v>
      </c>
      <c r="T596" s="113">
        <f t="shared" si="19"/>
        <v>0</v>
      </c>
    </row>
    <row r="597" spans="1:20" s="109" customFormat="1" x14ac:dyDescent="0.2">
      <c r="A597" s="116"/>
      <c r="B597" s="111"/>
      <c r="C597" s="110" t="s">
        <v>2542</v>
      </c>
      <c r="D597" s="110" t="s">
        <v>2543</v>
      </c>
      <c r="E597" s="112" t="s">
        <v>2544</v>
      </c>
      <c r="F597" s="111" t="s">
        <v>126</v>
      </c>
      <c r="G597" s="133">
        <v>80</v>
      </c>
      <c r="H597" s="124"/>
      <c r="I597" s="133" t="str">
        <f>IF(H597&gt;0,(#REF!*H597),"-")</f>
        <v>-</v>
      </c>
      <c r="J597" s="113">
        <v>790</v>
      </c>
      <c r="K597" s="110" t="s">
        <v>127</v>
      </c>
      <c r="L597" s="110" t="s">
        <v>148</v>
      </c>
      <c r="M597" s="110" t="s">
        <v>129</v>
      </c>
      <c r="N597" s="110" t="s">
        <v>130</v>
      </c>
      <c r="O597" s="110" t="s">
        <v>2545</v>
      </c>
      <c r="P597" s="110" t="s">
        <v>132</v>
      </c>
      <c r="Q597" s="110" t="s">
        <v>97</v>
      </c>
      <c r="R597" s="121">
        <v>0.54700000000000004</v>
      </c>
      <c r="S597" s="113" t="e">
        <f t="shared" si="18"/>
        <v>#VALUE!</v>
      </c>
      <c r="T597" s="113">
        <f t="shared" si="19"/>
        <v>0</v>
      </c>
    </row>
    <row r="598" spans="1:20" s="109" customFormat="1" x14ac:dyDescent="0.2">
      <c r="A598" s="116"/>
      <c r="B598" s="111"/>
      <c r="C598" s="110" t="s">
        <v>2546</v>
      </c>
      <c r="D598" s="110" t="s">
        <v>2547</v>
      </c>
      <c r="E598" s="112" t="s">
        <v>2548</v>
      </c>
      <c r="F598" s="111" t="s">
        <v>126</v>
      </c>
      <c r="G598" s="133">
        <v>50</v>
      </c>
      <c r="H598" s="124"/>
      <c r="I598" s="133" t="str">
        <f>IF(H598&gt;0,(#REF!*H598),"-")</f>
        <v>-</v>
      </c>
      <c r="J598" s="113">
        <v>586</v>
      </c>
      <c r="K598" s="110" t="s">
        <v>127</v>
      </c>
      <c r="L598" s="110" t="s">
        <v>148</v>
      </c>
      <c r="M598" s="110" t="s">
        <v>129</v>
      </c>
      <c r="N598" s="110" t="s">
        <v>130</v>
      </c>
      <c r="O598" s="110" t="s">
        <v>2549</v>
      </c>
      <c r="P598" s="110" t="s">
        <v>132</v>
      </c>
      <c r="Q598" s="110" t="s">
        <v>96</v>
      </c>
      <c r="R598" s="121">
        <v>0.25</v>
      </c>
      <c r="S598" s="113" t="e">
        <f t="shared" si="18"/>
        <v>#VALUE!</v>
      </c>
      <c r="T598" s="113">
        <f t="shared" si="19"/>
        <v>0</v>
      </c>
    </row>
    <row r="599" spans="1:20" s="109" customFormat="1" x14ac:dyDescent="0.2">
      <c r="A599" s="116"/>
      <c r="B599" s="111"/>
      <c r="C599" s="110" t="s">
        <v>2550</v>
      </c>
      <c r="D599" s="110" t="s">
        <v>2551</v>
      </c>
      <c r="E599" s="112" t="s">
        <v>2552</v>
      </c>
      <c r="F599" s="111" t="s">
        <v>126</v>
      </c>
      <c r="G599" s="133">
        <v>56</v>
      </c>
      <c r="H599" s="124"/>
      <c r="I599" s="133" t="str">
        <f>IF(H599&gt;0,(#REF!*H599),"-")</f>
        <v>-</v>
      </c>
      <c r="J599" s="113">
        <v>647</v>
      </c>
      <c r="K599" s="110" t="s">
        <v>127</v>
      </c>
      <c r="L599" s="110" t="s">
        <v>148</v>
      </c>
      <c r="M599" s="110" t="s">
        <v>129</v>
      </c>
      <c r="N599" s="110" t="s">
        <v>130</v>
      </c>
      <c r="O599" s="110" t="s">
        <v>2553</v>
      </c>
      <c r="P599" s="110" t="s">
        <v>132</v>
      </c>
      <c r="Q599" s="110" t="s">
        <v>96</v>
      </c>
      <c r="R599" s="121">
        <v>0.27800000000000002</v>
      </c>
      <c r="S599" s="113" t="e">
        <f t="shared" si="18"/>
        <v>#VALUE!</v>
      </c>
      <c r="T599" s="113">
        <f t="shared" si="19"/>
        <v>0</v>
      </c>
    </row>
    <row r="600" spans="1:20" s="109" customFormat="1" x14ac:dyDescent="0.2">
      <c r="A600" s="116"/>
      <c r="B600" s="111"/>
      <c r="C600" s="110" t="s">
        <v>2554</v>
      </c>
      <c r="D600" s="110" t="s">
        <v>2555</v>
      </c>
      <c r="E600" s="112" t="s">
        <v>2556</v>
      </c>
      <c r="F600" s="111" t="s">
        <v>126</v>
      </c>
      <c r="G600" s="133">
        <v>56</v>
      </c>
      <c r="H600" s="124"/>
      <c r="I600" s="133" t="str">
        <f>IF(H600&gt;0,(#REF!*H600),"-")</f>
        <v>-</v>
      </c>
      <c r="J600" s="113">
        <v>724</v>
      </c>
      <c r="K600" s="110" t="s">
        <v>127</v>
      </c>
      <c r="L600" s="110" t="s">
        <v>148</v>
      </c>
      <c r="M600" s="110" t="s">
        <v>129</v>
      </c>
      <c r="N600" s="110" t="s">
        <v>130</v>
      </c>
      <c r="O600" s="110" t="s">
        <v>2557</v>
      </c>
      <c r="P600" s="110" t="s">
        <v>132</v>
      </c>
      <c r="Q600" s="110" t="s">
        <v>96</v>
      </c>
      <c r="R600" s="121">
        <v>0.32</v>
      </c>
      <c r="S600" s="113" t="e">
        <f t="shared" si="18"/>
        <v>#VALUE!</v>
      </c>
      <c r="T600" s="113">
        <f t="shared" si="19"/>
        <v>0</v>
      </c>
    </row>
    <row r="601" spans="1:20" s="109" customFormat="1" x14ac:dyDescent="0.2">
      <c r="A601" s="116"/>
      <c r="B601" s="111" t="s">
        <v>2373</v>
      </c>
      <c r="C601" s="110" t="s">
        <v>2558</v>
      </c>
      <c r="D601" s="110" t="s">
        <v>2559</v>
      </c>
      <c r="E601" s="112" t="s">
        <v>2560</v>
      </c>
      <c r="F601" s="111" t="s">
        <v>130</v>
      </c>
      <c r="G601" s="133">
        <v>95</v>
      </c>
      <c r="H601" s="124"/>
      <c r="I601" s="133" t="str">
        <f>IF(H601&gt;0,(#REF!*H601),"-")</f>
        <v>-</v>
      </c>
      <c r="J601" s="113">
        <v>1560</v>
      </c>
      <c r="K601" s="110" t="s">
        <v>127</v>
      </c>
      <c r="L601" s="110" t="s">
        <v>148</v>
      </c>
      <c r="M601" s="110" t="s">
        <v>129</v>
      </c>
      <c r="N601" s="110" t="s">
        <v>130</v>
      </c>
      <c r="O601" s="110" t="s">
        <v>2561</v>
      </c>
      <c r="P601" s="110" t="s">
        <v>132</v>
      </c>
      <c r="Q601" s="110" t="s">
        <v>96</v>
      </c>
      <c r="R601" s="121">
        <v>0.65200000000000002</v>
      </c>
      <c r="S601" s="113" t="e">
        <f t="shared" si="18"/>
        <v>#VALUE!</v>
      </c>
      <c r="T601" s="113">
        <f t="shared" si="19"/>
        <v>0</v>
      </c>
    </row>
    <row r="602" spans="1:20" s="109" customFormat="1" x14ac:dyDescent="0.2">
      <c r="A602" s="116"/>
      <c r="B602" s="111" t="s">
        <v>2373</v>
      </c>
      <c r="C602" s="110" t="s">
        <v>2562</v>
      </c>
      <c r="D602" s="110" t="s">
        <v>2563</v>
      </c>
      <c r="E602" s="112" t="s">
        <v>2564</v>
      </c>
      <c r="F602" s="111" t="s">
        <v>130</v>
      </c>
      <c r="G602" s="133">
        <v>56</v>
      </c>
      <c r="H602" s="124"/>
      <c r="I602" s="133" t="str">
        <f>IF(H602&gt;0,(#REF!*H602),"-")</f>
        <v>-</v>
      </c>
      <c r="J602" s="113">
        <v>875</v>
      </c>
      <c r="K602" s="110" t="s">
        <v>127</v>
      </c>
      <c r="L602" s="110" t="s">
        <v>148</v>
      </c>
      <c r="M602" s="110" t="s">
        <v>129</v>
      </c>
      <c r="N602" s="110" t="s">
        <v>130</v>
      </c>
      <c r="O602" s="110" t="s">
        <v>2565</v>
      </c>
      <c r="P602" s="110" t="s">
        <v>132</v>
      </c>
      <c r="Q602" s="110" t="s">
        <v>96</v>
      </c>
      <c r="R602" s="121">
        <v>0.35699999999999998</v>
      </c>
      <c r="S602" s="113" t="e">
        <f t="shared" si="18"/>
        <v>#VALUE!</v>
      </c>
      <c r="T602" s="113">
        <f t="shared" si="19"/>
        <v>0</v>
      </c>
    </row>
    <row r="603" spans="1:20" s="109" customFormat="1" x14ac:dyDescent="0.2">
      <c r="A603" s="116"/>
      <c r="B603" s="111"/>
      <c r="C603" s="110" t="s">
        <v>2566</v>
      </c>
      <c r="D603" s="110" t="s">
        <v>2567</v>
      </c>
      <c r="E603" s="112" t="s">
        <v>2568</v>
      </c>
      <c r="F603" s="111" t="s">
        <v>126</v>
      </c>
      <c r="G603" s="133">
        <v>30</v>
      </c>
      <c r="H603" s="124"/>
      <c r="I603" s="133" t="str">
        <f>IF(H603&gt;0,(#REF!*H603),"-")</f>
        <v>-</v>
      </c>
      <c r="J603" s="113">
        <v>798</v>
      </c>
      <c r="K603" s="110" t="s">
        <v>127</v>
      </c>
      <c r="L603" s="110" t="s">
        <v>148</v>
      </c>
      <c r="M603" s="110" t="s">
        <v>129</v>
      </c>
      <c r="N603" s="110" t="s">
        <v>130</v>
      </c>
      <c r="O603" s="110" t="s">
        <v>2569</v>
      </c>
      <c r="P603" s="110" t="s">
        <v>132</v>
      </c>
      <c r="Q603" s="110" t="s">
        <v>96</v>
      </c>
      <c r="R603" s="121">
        <v>0.32800000000000001</v>
      </c>
      <c r="S603" s="113" t="e">
        <f t="shared" si="18"/>
        <v>#VALUE!</v>
      </c>
      <c r="T603" s="113">
        <f t="shared" si="19"/>
        <v>0</v>
      </c>
    </row>
    <row r="604" spans="1:20" s="109" customFormat="1" x14ac:dyDescent="0.2">
      <c r="A604" s="116"/>
      <c r="B604" s="111"/>
      <c r="C604" s="110" t="s">
        <v>2570</v>
      </c>
      <c r="D604" s="110" t="s">
        <v>2571</v>
      </c>
      <c r="E604" s="112" t="s">
        <v>2572</v>
      </c>
      <c r="F604" s="111" t="s">
        <v>126</v>
      </c>
      <c r="G604" s="133">
        <v>50</v>
      </c>
      <c r="H604" s="124"/>
      <c r="I604" s="133" t="str">
        <f>IF(H604&gt;0,(#REF!*H604),"-")</f>
        <v>-</v>
      </c>
      <c r="J604" s="113">
        <v>483</v>
      </c>
      <c r="K604" s="110" t="s">
        <v>127</v>
      </c>
      <c r="L604" s="110" t="s">
        <v>148</v>
      </c>
      <c r="M604" s="110" t="s">
        <v>129</v>
      </c>
      <c r="N604" s="110" t="s">
        <v>130</v>
      </c>
      <c r="O604" s="110" t="s">
        <v>2573</v>
      </c>
      <c r="P604" s="110" t="s">
        <v>132</v>
      </c>
      <c r="Q604" s="110" t="s">
        <v>96</v>
      </c>
      <c r="R604" s="121">
        <v>0.221</v>
      </c>
      <c r="S604" s="113" t="e">
        <f t="shared" si="18"/>
        <v>#VALUE!</v>
      </c>
      <c r="T604" s="113">
        <f t="shared" si="19"/>
        <v>0</v>
      </c>
    </row>
    <row r="605" spans="1:20" s="109" customFormat="1" x14ac:dyDescent="0.2">
      <c r="A605" s="116"/>
      <c r="B605" s="111" t="s">
        <v>2373</v>
      </c>
      <c r="C605" s="110" t="s">
        <v>2574</v>
      </c>
      <c r="D605" s="110" t="s">
        <v>2575</v>
      </c>
      <c r="E605" s="112" t="s">
        <v>2576</v>
      </c>
      <c r="F605" s="111" t="s">
        <v>130</v>
      </c>
      <c r="G605" s="133">
        <v>56</v>
      </c>
      <c r="H605" s="124"/>
      <c r="I605" s="133" t="str">
        <f>IF(H605&gt;0,(#REF!*H605),"-")</f>
        <v>-</v>
      </c>
      <c r="J605" s="113">
        <v>604</v>
      </c>
      <c r="K605" s="110" t="s">
        <v>127</v>
      </c>
      <c r="L605" s="110" t="s">
        <v>148</v>
      </c>
      <c r="M605" s="110" t="s">
        <v>129</v>
      </c>
      <c r="N605" s="110" t="s">
        <v>130</v>
      </c>
      <c r="O605" s="110" t="s">
        <v>2577</v>
      </c>
      <c r="P605" s="110" t="s">
        <v>132</v>
      </c>
      <c r="Q605" s="110" t="s">
        <v>96</v>
      </c>
      <c r="R605" s="121">
        <v>0.248</v>
      </c>
      <c r="S605" s="113" t="e">
        <f t="shared" si="18"/>
        <v>#VALUE!</v>
      </c>
      <c r="T605" s="113">
        <f t="shared" si="19"/>
        <v>0</v>
      </c>
    </row>
    <row r="606" spans="1:20" s="109" customFormat="1" x14ac:dyDescent="0.2">
      <c r="A606" s="116"/>
      <c r="B606" s="111" t="s">
        <v>2373</v>
      </c>
      <c r="C606" s="110" t="s">
        <v>2578</v>
      </c>
      <c r="D606" s="110" t="s">
        <v>2579</v>
      </c>
      <c r="E606" s="112" t="s">
        <v>2580</v>
      </c>
      <c r="F606" s="111" t="s">
        <v>130</v>
      </c>
      <c r="G606" s="133">
        <v>95</v>
      </c>
      <c r="H606" s="124"/>
      <c r="I606" s="133" t="str">
        <f>IF(H606&gt;0,(#REF!*H606),"-")</f>
        <v>-</v>
      </c>
      <c r="J606" s="113">
        <v>1434</v>
      </c>
      <c r="K606" s="110" t="s">
        <v>127</v>
      </c>
      <c r="L606" s="110" t="s">
        <v>148</v>
      </c>
      <c r="M606" s="110" t="s">
        <v>129</v>
      </c>
      <c r="N606" s="110" t="s">
        <v>130</v>
      </c>
      <c r="O606" s="110" t="s">
        <v>2581</v>
      </c>
      <c r="P606" s="110" t="s">
        <v>132</v>
      </c>
      <c r="Q606" s="110" t="s">
        <v>96</v>
      </c>
      <c r="R606" s="121">
        <v>0.59299999999999997</v>
      </c>
      <c r="S606" s="113" t="e">
        <f t="shared" si="18"/>
        <v>#VALUE!</v>
      </c>
      <c r="T606" s="113">
        <f t="shared" si="19"/>
        <v>0</v>
      </c>
    </row>
    <row r="607" spans="1:20" s="109" customFormat="1" x14ac:dyDescent="0.2">
      <c r="A607" s="116"/>
      <c r="B607" s="111"/>
      <c r="C607" s="110" t="s">
        <v>2582</v>
      </c>
      <c r="D607" s="110" t="s">
        <v>2583</v>
      </c>
      <c r="E607" s="112" t="s">
        <v>2584</v>
      </c>
      <c r="F607" s="111" t="s">
        <v>126</v>
      </c>
      <c r="G607" s="133">
        <v>80</v>
      </c>
      <c r="H607" s="124"/>
      <c r="I607" s="133" t="str">
        <f>IF(H607&gt;0,(#REF!*H607),"-")</f>
        <v>-</v>
      </c>
      <c r="J607" s="113">
        <v>723</v>
      </c>
      <c r="K607" s="110" t="s">
        <v>127</v>
      </c>
      <c r="L607" s="110" t="s">
        <v>148</v>
      </c>
      <c r="M607" s="110" t="s">
        <v>129</v>
      </c>
      <c r="N607" s="110" t="s">
        <v>130</v>
      </c>
      <c r="O607" s="110" t="s">
        <v>2585</v>
      </c>
      <c r="P607" s="110" t="s">
        <v>132</v>
      </c>
      <c r="Q607" s="110" t="s">
        <v>97</v>
      </c>
      <c r="R607" s="121">
        <v>0.49099999999999999</v>
      </c>
      <c r="S607" s="113" t="e">
        <f t="shared" si="18"/>
        <v>#VALUE!</v>
      </c>
      <c r="T607" s="113">
        <f t="shared" si="19"/>
        <v>0</v>
      </c>
    </row>
    <row r="608" spans="1:20" s="109" customFormat="1" x14ac:dyDescent="0.2">
      <c r="A608" s="116"/>
      <c r="B608" s="111" t="s">
        <v>2373</v>
      </c>
      <c r="C608" s="110" t="s">
        <v>2586</v>
      </c>
      <c r="D608" s="110" t="s">
        <v>2587</v>
      </c>
      <c r="E608" s="112" t="s">
        <v>2588</v>
      </c>
      <c r="F608" s="111" t="s">
        <v>130</v>
      </c>
      <c r="G608" s="133">
        <v>56</v>
      </c>
      <c r="H608" s="124"/>
      <c r="I608" s="133" t="str">
        <f>IF(H608&gt;0,(#REF!*H608),"-")</f>
        <v>-</v>
      </c>
      <c r="J608" s="113">
        <v>721</v>
      </c>
      <c r="K608" s="110" t="s">
        <v>127</v>
      </c>
      <c r="L608" s="110" t="s">
        <v>148</v>
      </c>
      <c r="M608" s="110" t="s">
        <v>129</v>
      </c>
      <c r="N608" s="110" t="s">
        <v>130</v>
      </c>
      <c r="O608" s="110" t="s">
        <v>2589</v>
      </c>
      <c r="P608" s="110" t="s">
        <v>132</v>
      </c>
      <c r="Q608" s="110" t="s">
        <v>96</v>
      </c>
      <c r="R608" s="121">
        <v>0.28699999999999998</v>
      </c>
      <c r="S608" s="113" t="e">
        <f t="shared" si="18"/>
        <v>#VALUE!</v>
      </c>
      <c r="T608" s="113">
        <f t="shared" si="19"/>
        <v>0</v>
      </c>
    </row>
    <row r="609" spans="1:20" s="109" customFormat="1" x14ac:dyDescent="0.2">
      <c r="A609" s="116"/>
      <c r="B609" s="111"/>
      <c r="C609" s="110" t="s">
        <v>2590</v>
      </c>
      <c r="D609" s="110" t="s">
        <v>2591</v>
      </c>
      <c r="E609" s="112" t="s">
        <v>2592</v>
      </c>
      <c r="F609" s="111" t="s">
        <v>126</v>
      </c>
      <c r="G609" s="133">
        <v>56</v>
      </c>
      <c r="H609" s="124"/>
      <c r="I609" s="133" t="str">
        <f>IF(H609&gt;0,(#REF!*H609),"-")</f>
        <v>-</v>
      </c>
      <c r="J609" s="113">
        <v>517</v>
      </c>
      <c r="K609" s="110" t="s">
        <v>127</v>
      </c>
      <c r="L609" s="110" t="s">
        <v>148</v>
      </c>
      <c r="M609" s="110" t="s">
        <v>129</v>
      </c>
      <c r="N609" s="110" t="s">
        <v>130</v>
      </c>
      <c r="O609" s="110" t="s">
        <v>2593</v>
      </c>
      <c r="P609" s="110" t="s">
        <v>132</v>
      </c>
      <c r="Q609" s="110" t="s">
        <v>96</v>
      </c>
      <c r="R609" s="121">
        <v>0.22500000000000001</v>
      </c>
      <c r="S609" s="113" t="e">
        <f t="shared" si="18"/>
        <v>#VALUE!</v>
      </c>
      <c r="T609" s="113">
        <f t="shared" si="19"/>
        <v>0</v>
      </c>
    </row>
    <row r="610" spans="1:20" s="109" customFormat="1" x14ac:dyDescent="0.2">
      <c r="A610" s="116"/>
      <c r="B610" s="111"/>
      <c r="C610" s="110" t="s">
        <v>2594</v>
      </c>
      <c r="D610" s="110" t="s">
        <v>2595</v>
      </c>
      <c r="E610" s="112" t="s">
        <v>2596</v>
      </c>
      <c r="F610" s="111" t="s">
        <v>126</v>
      </c>
      <c r="G610" s="133">
        <v>95</v>
      </c>
      <c r="H610" s="124"/>
      <c r="I610" s="133" t="str">
        <f>IF(H610&gt;0,(#REF!*H610),"-")</f>
        <v>-</v>
      </c>
      <c r="J610" s="113">
        <v>1441</v>
      </c>
      <c r="K610" s="110" t="s">
        <v>127</v>
      </c>
      <c r="L610" s="110" t="s">
        <v>148</v>
      </c>
      <c r="M610" s="110" t="s">
        <v>129</v>
      </c>
      <c r="N610" s="110" t="s">
        <v>130</v>
      </c>
      <c r="O610" s="110" t="s">
        <v>2597</v>
      </c>
      <c r="P610" s="110" t="s">
        <v>132</v>
      </c>
      <c r="Q610" s="110" t="s">
        <v>96</v>
      </c>
      <c r="R610" s="121">
        <v>0.63890000000000002</v>
      </c>
      <c r="S610" s="113" t="e">
        <f t="shared" si="18"/>
        <v>#VALUE!</v>
      </c>
      <c r="T610" s="113">
        <f t="shared" si="19"/>
        <v>0</v>
      </c>
    </row>
    <row r="611" spans="1:20" s="109" customFormat="1" x14ac:dyDescent="0.2">
      <c r="A611" s="116"/>
      <c r="B611" s="111" t="s">
        <v>2373</v>
      </c>
      <c r="C611" s="110" t="s">
        <v>2598</v>
      </c>
      <c r="D611" s="110" t="s">
        <v>2599</v>
      </c>
      <c r="E611" s="112" t="s">
        <v>2600</v>
      </c>
      <c r="F611" s="111" t="s">
        <v>130</v>
      </c>
      <c r="G611" s="133">
        <v>50</v>
      </c>
      <c r="H611" s="124"/>
      <c r="I611" s="133" t="str">
        <f>IF(H611&gt;0,(#REF!*H611),"-")</f>
        <v>-</v>
      </c>
      <c r="J611" s="113">
        <v>534</v>
      </c>
      <c r="K611" s="110" t="s">
        <v>127</v>
      </c>
      <c r="L611" s="110" t="s">
        <v>148</v>
      </c>
      <c r="M611" s="110" t="s">
        <v>129</v>
      </c>
      <c r="N611" s="110" t="s">
        <v>130</v>
      </c>
      <c r="O611" s="110" t="s">
        <v>2601</v>
      </c>
      <c r="P611" s="110" t="s">
        <v>132</v>
      </c>
      <c r="Q611" s="110" t="s">
        <v>96</v>
      </c>
      <c r="R611" s="121">
        <v>0.23499999999999999</v>
      </c>
      <c r="S611" s="113" t="e">
        <f t="shared" si="18"/>
        <v>#VALUE!</v>
      </c>
      <c r="T611" s="113">
        <f t="shared" si="19"/>
        <v>0</v>
      </c>
    </row>
    <row r="612" spans="1:20" s="109" customFormat="1" x14ac:dyDescent="0.2">
      <c r="A612" s="116"/>
      <c r="B612" s="111"/>
      <c r="C612" s="110" t="s">
        <v>2602</v>
      </c>
      <c r="D612" s="110" t="s">
        <v>2603</v>
      </c>
      <c r="E612" s="112" t="s">
        <v>2604</v>
      </c>
      <c r="F612" s="111" t="s">
        <v>126</v>
      </c>
      <c r="G612" s="133">
        <v>80</v>
      </c>
      <c r="H612" s="124"/>
      <c r="I612" s="133" t="str">
        <f>IF(H612&gt;0,(#REF!*H612),"-")</f>
        <v>-</v>
      </c>
      <c r="J612" s="113">
        <v>1228</v>
      </c>
      <c r="K612" s="110" t="s">
        <v>127</v>
      </c>
      <c r="L612" s="110" t="s">
        <v>148</v>
      </c>
      <c r="M612" s="110" t="s">
        <v>129</v>
      </c>
      <c r="N612" s="110" t="s">
        <v>130</v>
      </c>
      <c r="O612" s="110" t="s">
        <v>2605</v>
      </c>
      <c r="P612" s="110" t="s">
        <v>132</v>
      </c>
      <c r="Q612" s="110" t="s">
        <v>96</v>
      </c>
      <c r="R612" s="121">
        <v>0.49399999999999999</v>
      </c>
      <c r="S612" s="113" t="e">
        <f t="shared" si="18"/>
        <v>#VALUE!</v>
      </c>
      <c r="T612" s="113">
        <f t="shared" si="19"/>
        <v>0</v>
      </c>
    </row>
    <row r="613" spans="1:20" s="109" customFormat="1" x14ac:dyDescent="0.2">
      <c r="A613" s="116"/>
      <c r="B613" s="111" t="s">
        <v>2373</v>
      </c>
      <c r="C613" s="110" t="s">
        <v>2606</v>
      </c>
      <c r="D613" s="110" t="s">
        <v>2607</v>
      </c>
      <c r="E613" s="112" t="s">
        <v>2608</v>
      </c>
      <c r="F613" s="111" t="s">
        <v>130</v>
      </c>
      <c r="G613" s="133">
        <v>56</v>
      </c>
      <c r="H613" s="124"/>
      <c r="I613" s="133" t="str">
        <f>IF(H613&gt;0,(#REF!*H613),"-")</f>
        <v>-</v>
      </c>
      <c r="J613" s="113">
        <v>728</v>
      </c>
      <c r="K613" s="110" t="s">
        <v>127</v>
      </c>
      <c r="L613" s="110" t="s">
        <v>148</v>
      </c>
      <c r="M613" s="110" t="s">
        <v>129</v>
      </c>
      <c r="N613" s="110" t="s">
        <v>130</v>
      </c>
      <c r="O613" s="110" t="s">
        <v>2609</v>
      </c>
      <c r="P613" s="110" t="s">
        <v>132</v>
      </c>
      <c r="Q613" s="110" t="s">
        <v>96</v>
      </c>
      <c r="R613" s="121">
        <v>0.25</v>
      </c>
      <c r="S613" s="113" t="e">
        <f t="shared" si="18"/>
        <v>#VALUE!</v>
      </c>
      <c r="T613" s="113">
        <f t="shared" si="19"/>
        <v>0</v>
      </c>
    </row>
    <row r="614" spans="1:20" s="109" customFormat="1" x14ac:dyDescent="0.2">
      <c r="A614" s="116"/>
      <c r="B614" s="111"/>
      <c r="C614" s="110" t="s">
        <v>2610</v>
      </c>
      <c r="D614" s="110" t="s">
        <v>2611</v>
      </c>
      <c r="E614" s="112" t="s">
        <v>2612</v>
      </c>
      <c r="F614" s="111" t="s">
        <v>126</v>
      </c>
      <c r="G614" s="133">
        <v>62</v>
      </c>
      <c r="H614" s="124"/>
      <c r="I614" s="133" t="str">
        <f>IF(H614&gt;0,(#REF!*H614),"-")</f>
        <v>-</v>
      </c>
      <c r="J614" s="113">
        <v>1210</v>
      </c>
      <c r="K614" s="110" t="s">
        <v>127</v>
      </c>
      <c r="L614" s="110" t="s">
        <v>148</v>
      </c>
      <c r="M614" s="110" t="s">
        <v>129</v>
      </c>
      <c r="N614" s="110" t="s">
        <v>130</v>
      </c>
      <c r="O614" s="110" t="s">
        <v>2613</v>
      </c>
      <c r="P614" s="110" t="s">
        <v>132</v>
      </c>
      <c r="Q614" s="110" t="s">
        <v>96</v>
      </c>
      <c r="R614" s="121">
        <v>0.48699999999999999</v>
      </c>
      <c r="S614" s="113" t="e">
        <f t="shared" si="18"/>
        <v>#VALUE!</v>
      </c>
      <c r="T614" s="113">
        <f t="shared" si="19"/>
        <v>0</v>
      </c>
    </row>
    <row r="615" spans="1:20" s="109" customFormat="1" x14ac:dyDescent="0.2">
      <c r="A615" s="116"/>
      <c r="B615" s="111" t="s">
        <v>2373</v>
      </c>
      <c r="C615" s="110" t="s">
        <v>2614</v>
      </c>
      <c r="D615" s="110" t="s">
        <v>2615</v>
      </c>
      <c r="E615" s="112" t="s">
        <v>2616</v>
      </c>
      <c r="F615" s="111" t="s">
        <v>130</v>
      </c>
      <c r="G615" s="133">
        <v>56</v>
      </c>
      <c r="H615" s="124"/>
      <c r="I615" s="133" t="str">
        <f>IF(H615&gt;0,(#REF!*H615),"-")</f>
        <v>-</v>
      </c>
      <c r="J615" s="113">
        <v>618</v>
      </c>
      <c r="K615" s="110" t="s">
        <v>127</v>
      </c>
      <c r="L615" s="110" t="s">
        <v>148</v>
      </c>
      <c r="M615" s="110" t="s">
        <v>129</v>
      </c>
      <c r="N615" s="110" t="s">
        <v>130</v>
      </c>
      <c r="O615" s="110" t="s">
        <v>2617</v>
      </c>
      <c r="P615" s="110" t="s">
        <v>132</v>
      </c>
      <c r="Q615" s="110" t="s">
        <v>96</v>
      </c>
      <c r="R615" s="121">
        <v>0.245</v>
      </c>
      <c r="S615" s="113" t="e">
        <f t="shared" si="18"/>
        <v>#VALUE!</v>
      </c>
      <c r="T615" s="113">
        <f t="shared" si="19"/>
        <v>0</v>
      </c>
    </row>
    <row r="616" spans="1:20" s="109" customFormat="1" x14ac:dyDescent="0.2">
      <c r="A616" s="116"/>
      <c r="B616" s="111" t="s">
        <v>2373</v>
      </c>
      <c r="C616" s="110" t="s">
        <v>2618</v>
      </c>
      <c r="D616" s="110" t="s">
        <v>2619</v>
      </c>
      <c r="E616" s="112" t="s">
        <v>2620</v>
      </c>
      <c r="F616" s="111" t="s">
        <v>130</v>
      </c>
      <c r="G616" s="133">
        <v>56</v>
      </c>
      <c r="H616" s="124"/>
      <c r="I616" s="133" t="str">
        <f>IF(H616&gt;0,(#REF!*H616),"-")</f>
        <v>-</v>
      </c>
      <c r="J616" s="113">
        <v>566</v>
      </c>
      <c r="K616" s="110" t="s">
        <v>127</v>
      </c>
      <c r="L616" s="110" t="s">
        <v>148</v>
      </c>
      <c r="M616" s="110" t="s">
        <v>129</v>
      </c>
      <c r="N616" s="110" t="s">
        <v>130</v>
      </c>
      <c r="O616" s="110" t="s">
        <v>2621</v>
      </c>
      <c r="P616" s="110" t="s">
        <v>132</v>
      </c>
      <c r="Q616" s="110" t="s">
        <v>96</v>
      </c>
      <c r="R616" s="121">
        <v>0.224</v>
      </c>
      <c r="S616" s="113" t="e">
        <f t="shared" si="18"/>
        <v>#VALUE!</v>
      </c>
      <c r="T616" s="113">
        <f t="shared" si="19"/>
        <v>0</v>
      </c>
    </row>
    <row r="617" spans="1:20" s="109" customFormat="1" x14ac:dyDescent="0.2">
      <c r="A617" s="116"/>
      <c r="B617" s="111" t="s">
        <v>2373</v>
      </c>
      <c r="C617" s="110" t="s">
        <v>2622</v>
      </c>
      <c r="D617" s="110" t="s">
        <v>2623</v>
      </c>
      <c r="E617" s="112" t="s">
        <v>2624</v>
      </c>
      <c r="F617" s="111" t="s">
        <v>130</v>
      </c>
      <c r="G617" s="133">
        <v>50</v>
      </c>
      <c r="H617" s="124"/>
      <c r="I617" s="133" t="str">
        <f>IF(H617&gt;0,(#REF!*H617),"-")</f>
        <v>-</v>
      </c>
      <c r="J617" s="113">
        <v>589</v>
      </c>
      <c r="K617" s="110" t="s">
        <v>127</v>
      </c>
      <c r="L617" s="110" t="s">
        <v>148</v>
      </c>
      <c r="M617" s="110" t="s">
        <v>129</v>
      </c>
      <c r="N617" s="110" t="s">
        <v>130</v>
      </c>
      <c r="O617" s="110" t="s">
        <v>2625</v>
      </c>
      <c r="P617" s="110" t="s">
        <v>132</v>
      </c>
      <c r="Q617" s="110" t="s">
        <v>96</v>
      </c>
      <c r="R617" s="121">
        <v>0.24</v>
      </c>
      <c r="S617" s="113" t="e">
        <f t="shared" si="18"/>
        <v>#VALUE!</v>
      </c>
      <c r="T617" s="113">
        <f t="shared" si="19"/>
        <v>0</v>
      </c>
    </row>
    <row r="618" spans="1:20" s="109" customFormat="1" x14ac:dyDescent="0.2">
      <c r="A618" s="116"/>
      <c r="B618" s="111" t="s">
        <v>2373</v>
      </c>
      <c r="C618" s="110" t="s">
        <v>2626</v>
      </c>
      <c r="D618" s="110" t="s">
        <v>2627</v>
      </c>
      <c r="E618" s="112" t="s">
        <v>2628</v>
      </c>
      <c r="F618" s="111" t="s">
        <v>130</v>
      </c>
      <c r="G618" s="133">
        <v>50</v>
      </c>
      <c r="H618" s="124"/>
      <c r="I618" s="133" t="str">
        <f>IF(H618&gt;0,(#REF!*H618),"-")</f>
        <v>-</v>
      </c>
      <c r="J618" s="113">
        <v>552</v>
      </c>
      <c r="K618" s="110" t="s">
        <v>127</v>
      </c>
      <c r="L618" s="110" t="s">
        <v>148</v>
      </c>
      <c r="M618" s="110" t="s">
        <v>129</v>
      </c>
      <c r="N618" s="110" t="s">
        <v>130</v>
      </c>
      <c r="O618" s="110" t="s">
        <v>2629</v>
      </c>
      <c r="P618" s="110" t="s">
        <v>132</v>
      </c>
      <c r="Q618" s="110" t="s">
        <v>96</v>
      </c>
      <c r="R618" s="121">
        <v>0.24399999999999999</v>
      </c>
      <c r="S618" s="113" t="e">
        <f t="shared" si="18"/>
        <v>#VALUE!</v>
      </c>
      <c r="T618" s="113">
        <f t="shared" si="19"/>
        <v>0</v>
      </c>
    </row>
    <row r="619" spans="1:20" s="109" customFormat="1" x14ac:dyDescent="0.2">
      <c r="A619" s="116"/>
      <c r="B619" s="111"/>
      <c r="C619" s="110" t="s">
        <v>2630</v>
      </c>
      <c r="D619" s="110" t="s">
        <v>2631</v>
      </c>
      <c r="E619" s="112" t="s">
        <v>2632</v>
      </c>
      <c r="F619" s="111" t="s">
        <v>126</v>
      </c>
      <c r="G619" s="133">
        <v>95</v>
      </c>
      <c r="H619" s="124"/>
      <c r="I619" s="133" t="str">
        <f>IF(H619&gt;0,(#REF!*H619),"-")</f>
        <v>-</v>
      </c>
      <c r="J619" s="113">
        <v>1463</v>
      </c>
      <c r="K619" s="110" t="s">
        <v>127</v>
      </c>
      <c r="L619" s="110" t="s">
        <v>148</v>
      </c>
      <c r="M619" s="110" t="s">
        <v>129</v>
      </c>
      <c r="N619" s="110" t="s">
        <v>130</v>
      </c>
      <c r="O619" s="110" t="s">
        <v>2633</v>
      </c>
      <c r="P619" s="110" t="s">
        <v>132</v>
      </c>
      <c r="Q619" s="110" t="s">
        <v>96</v>
      </c>
      <c r="R619" s="121">
        <v>0.65500000000000003</v>
      </c>
      <c r="S619" s="113" t="e">
        <f t="shared" si="18"/>
        <v>#VALUE!</v>
      </c>
      <c r="T619" s="113">
        <f t="shared" si="19"/>
        <v>0</v>
      </c>
    </row>
    <row r="620" spans="1:20" s="109" customFormat="1" x14ac:dyDescent="0.2">
      <c r="A620" s="116"/>
      <c r="B620" s="111"/>
      <c r="C620" s="110" t="s">
        <v>2634</v>
      </c>
      <c r="D620" s="110" t="s">
        <v>2635</v>
      </c>
      <c r="E620" s="112" t="s">
        <v>2636</v>
      </c>
      <c r="F620" s="111" t="s">
        <v>126</v>
      </c>
      <c r="G620" s="133">
        <v>56</v>
      </c>
      <c r="H620" s="124"/>
      <c r="I620" s="133" t="str">
        <f>IF(H620&gt;0,(#REF!*H620),"-")</f>
        <v>-</v>
      </c>
      <c r="J620" s="113">
        <v>634</v>
      </c>
      <c r="K620" s="110" t="s">
        <v>127</v>
      </c>
      <c r="L620" s="110" t="s">
        <v>148</v>
      </c>
      <c r="M620" s="110" t="s">
        <v>129</v>
      </c>
      <c r="N620" s="110" t="s">
        <v>130</v>
      </c>
      <c r="O620" s="110" t="s">
        <v>2637</v>
      </c>
      <c r="P620" s="110" t="s">
        <v>132</v>
      </c>
      <c r="Q620" s="110" t="s">
        <v>96</v>
      </c>
      <c r="R620" s="121">
        <v>0.27</v>
      </c>
      <c r="S620" s="113" t="e">
        <f t="shared" si="18"/>
        <v>#VALUE!</v>
      </c>
      <c r="T620" s="113">
        <f t="shared" si="19"/>
        <v>0</v>
      </c>
    </row>
    <row r="621" spans="1:20" s="109" customFormat="1" x14ac:dyDescent="0.2">
      <c r="A621" s="116"/>
      <c r="B621" s="111" t="s">
        <v>2373</v>
      </c>
      <c r="C621" s="110" t="s">
        <v>2638</v>
      </c>
      <c r="D621" s="110" t="s">
        <v>2639</v>
      </c>
      <c r="E621" s="112" t="s">
        <v>2640</v>
      </c>
      <c r="F621" s="111" t="s">
        <v>130</v>
      </c>
      <c r="G621" s="133">
        <v>56</v>
      </c>
      <c r="H621" s="124"/>
      <c r="I621" s="133" t="str">
        <f>IF(H621&gt;0,(#REF!*H621),"-")</f>
        <v>-</v>
      </c>
      <c r="J621" s="113">
        <v>595</v>
      </c>
      <c r="K621" s="110" t="s">
        <v>127</v>
      </c>
      <c r="L621" s="110" t="s">
        <v>148</v>
      </c>
      <c r="M621" s="110" t="s">
        <v>129</v>
      </c>
      <c r="N621" s="110" t="s">
        <v>130</v>
      </c>
      <c r="O621" s="110" t="s">
        <v>2641</v>
      </c>
      <c r="P621" s="110" t="s">
        <v>132</v>
      </c>
      <c r="Q621" s="110" t="s">
        <v>96</v>
      </c>
      <c r="R621" s="121">
        <v>0.25800000000000001</v>
      </c>
      <c r="S621" s="113" t="e">
        <f t="shared" si="18"/>
        <v>#VALUE!</v>
      </c>
      <c r="T621" s="113">
        <f t="shared" si="19"/>
        <v>0</v>
      </c>
    </row>
    <row r="622" spans="1:20" s="109" customFormat="1" x14ac:dyDescent="0.2">
      <c r="A622" s="116"/>
      <c r="B622" s="111"/>
      <c r="C622" s="110" t="s">
        <v>2642</v>
      </c>
      <c r="D622" s="110" t="s">
        <v>2643</v>
      </c>
      <c r="E622" s="112" t="s">
        <v>2644</v>
      </c>
      <c r="F622" s="111" t="s">
        <v>126</v>
      </c>
      <c r="G622" s="133">
        <v>95</v>
      </c>
      <c r="H622" s="124"/>
      <c r="I622" s="133" t="str">
        <f>IF(H622&gt;0,(#REF!*H622),"-")</f>
        <v>-</v>
      </c>
      <c r="J622" s="113">
        <v>1500</v>
      </c>
      <c r="K622" s="110" t="s">
        <v>127</v>
      </c>
      <c r="L622" s="110" t="s">
        <v>148</v>
      </c>
      <c r="M622" s="110" t="s">
        <v>129</v>
      </c>
      <c r="N622" s="110" t="s">
        <v>130</v>
      </c>
      <c r="O622" s="110" t="s">
        <v>2645</v>
      </c>
      <c r="P622" s="110" t="s">
        <v>132</v>
      </c>
      <c r="Q622" s="110" t="s">
        <v>96</v>
      </c>
      <c r="R622" s="121">
        <v>0.66500000000000004</v>
      </c>
      <c r="S622" s="113" t="e">
        <f t="shared" si="18"/>
        <v>#VALUE!</v>
      </c>
      <c r="T622" s="113">
        <f t="shared" si="19"/>
        <v>0</v>
      </c>
    </row>
    <row r="623" spans="1:20" s="109" customFormat="1" x14ac:dyDescent="0.2">
      <c r="A623" s="116"/>
      <c r="B623" s="111"/>
      <c r="C623" s="110" t="s">
        <v>2646</v>
      </c>
      <c r="D623" s="110" t="s">
        <v>2647</v>
      </c>
      <c r="E623" s="112" t="s">
        <v>2648</v>
      </c>
      <c r="F623" s="111" t="s">
        <v>126</v>
      </c>
      <c r="G623" s="133">
        <v>56</v>
      </c>
      <c r="H623" s="124"/>
      <c r="I623" s="133" t="str">
        <f>IF(H623&gt;0,(#REF!*H623),"-")</f>
        <v>-</v>
      </c>
      <c r="J623" s="113">
        <v>772</v>
      </c>
      <c r="K623" s="110" t="s">
        <v>127</v>
      </c>
      <c r="L623" s="110" t="s">
        <v>148</v>
      </c>
      <c r="M623" s="110" t="s">
        <v>129</v>
      </c>
      <c r="N623" s="110" t="s">
        <v>130</v>
      </c>
      <c r="O623" s="110" t="s">
        <v>2649</v>
      </c>
      <c r="P623" s="110" t="s">
        <v>132</v>
      </c>
      <c r="Q623" s="110" t="s">
        <v>96</v>
      </c>
      <c r="R623" s="121">
        <v>0.34</v>
      </c>
      <c r="S623" s="113" t="e">
        <f t="shared" si="18"/>
        <v>#VALUE!</v>
      </c>
      <c r="T623" s="113">
        <f t="shared" si="19"/>
        <v>0</v>
      </c>
    </row>
    <row r="624" spans="1:20" s="109" customFormat="1" x14ac:dyDescent="0.2">
      <c r="A624" s="116"/>
      <c r="B624" s="111" t="s">
        <v>2373</v>
      </c>
      <c r="C624" s="110" t="s">
        <v>2650</v>
      </c>
      <c r="D624" s="110" t="s">
        <v>2651</v>
      </c>
      <c r="E624" s="112" t="s">
        <v>2652</v>
      </c>
      <c r="F624" s="111" t="s">
        <v>130</v>
      </c>
      <c r="G624" s="133">
        <v>56</v>
      </c>
      <c r="H624" s="124"/>
      <c r="I624" s="133" t="str">
        <f>IF(H624&gt;0,(#REF!*H624),"-")</f>
        <v>-</v>
      </c>
      <c r="J624" s="113">
        <v>618</v>
      </c>
      <c r="K624" s="110" t="s">
        <v>127</v>
      </c>
      <c r="L624" s="110" t="s">
        <v>148</v>
      </c>
      <c r="M624" s="110" t="s">
        <v>129</v>
      </c>
      <c r="N624" s="110" t="s">
        <v>130</v>
      </c>
      <c r="O624" s="110" t="s">
        <v>2653</v>
      </c>
      <c r="P624" s="110" t="s">
        <v>132</v>
      </c>
      <c r="Q624" s="110" t="s">
        <v>96</v>
      </c>
      <c r="R624" s="121">
        <v>0.26450000000000001</v>
      </c>
      <c r="S624" s="113" t="e">
        <f t="shared" si="18"/>
        <v>#VALUE!</v>
      </c>
      <c r="T624" s="113">
        <f t="shared" si="19"/>
        <v>0</v>
      </c>
    </row>
    <row r="625" spans="1:20" s="109" customFormat="1" x14ac:dyDescent="0.2">
      <c r="A625" s="116"/>
      <c r="B625" s="111"/>
      <c r="C625" s="110" t="s">
        <v>2654</v>
      </c>
      <c r="D625" s="110" t="s">
        <v>2655</v>
      </c>
      <c r="E625" s="112" t="s">
        <v>2656</v>
      </c>
      <c r="F625" s="111" t="s">
        <v>126</v>
      </c>
      <c r="G625" s="133">
        <v>95</v>
      </c>
      <c r="H625" s="124"/>
      <c r="I625" s="133" t="str">
        <f>IF(H625&gt;0,(#REF!*H625),"-")</f>
        <v>-</v>
      </c>
      <c r="J625" s="113">
        <v>1287</v>
      </c>
      <c r="K625" s="110" t="s">
        <v>127</v>
      </c>
      <c r="L625" s="110" t="s">
        <v>148</v>
      </c>
      <c r="M625" s="110" t="s">
        <v>129</v>
      </c>
      <c r="N625" s="110" t="s">
        <v>130</v>
      </c>
      <c r="O625" s="110" t="s">
        <v>2657</v>
      </c>
      <c r="P625" s="110" t="s">
        <v>132</v>
      </c>
      <c r="Q625" s="110" t="s">
        <v>96</v>
      </c>
      <c r="R625" s="121">
        <v>0.53400000000000003</v>
      </c>
      <c r="S625" s="113" t="e">
        <f t="shared" si="18"/>
        <v>#VALUE!</v>
      </c>
      <c r="T625" s="113">
        <f t="shared" si="19"/>
        <v>0</v>
      </c>
    </row>
    <row r="626" spans="1:20" s="109" customFormat="1" x14ac:dyDescent="0.2">
      <c r="A626" s="116"/>
      <c r="B626" s="111" t="s">
        <v>2373</v>
      </c>
      <c r="C626" s="110" t="s">
        <v>2658</v>
      </c>
      <c r="D626" s="110" t="s">
        <v>2659</v>
      </c>
      <c r="E626" s="112" t="s">
        <v>2660</v>
      </c>
      <c r="F626" s="111" t="s">
        <v>130</v>
      </c>
      <c r="G626" s="133">
        <v>50</v>
      </c>
      <c r="H626" s="124"/>
      <c r="I626" s="133" t="str">
        <f>IF(H626&gt;0,(#REF!*H626),"-")</f>
        <v>-</v>
      </c>
      <c r="J626" s="113">
        <v>515</v>
      </c>
      <c r="K626" s="110" t="s">
        <v>127</v>
      </c>
      <c r="L626" s="110" t="s">
        <v>148</v>
      </c>
      <c r="M626" s="110" t="s">
        <v>129</v>
      </c>
      <c r="N626" s="110" t="s">
        <v>130</v>
      </c>
      <c r="O626" s="110" t="s">
        <v>2661</v>
      </c>
      <c r="P626" s="110" t="s">
        <v>132</v>
      </c>
      <c r="Q626" s="110" t="s">
        <v>96</v>
      </c>
      <c r="R626" s="121">
        <v>0.21099999999999999</v>
      </c>
      <c r="S626" s="113" t="e">
        <f t="shared" si="18"/>
        <v>#VALUE!</v>
      </c>
      <c r="T626" s="113">
        <f t="shared" si="19"/>
        <v>0</v>
      </c>
    </row>
    <row r="627" spans="1:20" s="109" customFormat="1" x14ac:dyDescent="0.2">
      <c r="A627" s="116"/>
      <c r="B627" s="111"/>
      <c r="C627" s="110" t="s">
        <v>2662</v>
      </c>
      <c r="D627" s="110" t="s">
        <v>2663</v>
      </c>
      <c r="E627" s="112" t="s">
        <v>2664</v>
      </c>
      <c r="F627" s="111" t="s">
        <v>126</v>
      </c>
      <c r="G627" s="133">
        <v>80</v>
      </c>
      <c r="H627" s="124"/>
      <c r="I627" s="133" t="str">
        <f>IF(H627&gt;0,(#REF!*H627),"-")</f>
        <v>-</v>
      </c>
      <c r="J627" s="113">
        <v>728</v>
      </c>
      <c r="K627" s="110" t="s">
        <v>127</v>
      </c>
      <c r="L627" s="110" t="s">
        <v>148</v>
      </c>
      <c r="M627" s="110" t="s">
        <v>129</v>
      </c>
      <c r="N627" s="110" t="s">
        <v>130</v>
      </c>
      <c r="O627" s="110" t="s">
        <v>2665</v>
      </c>
      <c r="P627" s="110" t="s">
        <v>132</v>
      </c>
      <c r="Q627" s="110" t="s">
        <v>97</v>
      </c>
      <c r="R627" s="121">
        <v>0.49</v>
      </c>
      <c r="S627" s="113" t="e">
        <f t="shared" si="18"/>
        <v>#VALUE!</v>
      </c>
      <c r="T627" s="113">
        <f t="shared" si="19"/>
        <v>0</v>
      </c>
    </row>
    <row r="628" spans="1:20" s="109" customFormat="1" x14ac:dyDescent="0.2">
      <c r="A628" s="116"/>
      <c r="B628" s="111" t="s">
        <v>2373</v>
      </c>
      <c r="C628" s="110" t="s">
        <v>2666</v>
      </c>
      <c r="D628" s="110" t="s">
        <v>2667</v>
      </c>
      <c r="E628" s="112" t="s">
        <v>2668</v>
      </c>
      <c r="F628" s="111" t="s">
        <v>130</v>
      </c>
      <c r="G628" s="133">
        <v>56</v>
      </c>
      <c r="H628" s="124"/>
      <c r="I628" s="133" t="str">
        <f>IF(H628&gt;0,(#REF!*H628),"-")</f>
        <v>-</v>
      </c>
      <c r="J628" s="113">
        <v>1112</v>
      </c>
      <c r="K628" s="110" t="s">
        <v>127</v>
      </c>
      <c r="L628" s="110" t="s">
        <v>148</v>
      </c>
      <c r="M628" s="110" t="s">
        <v>129</v>
      </c>
      <c r="N628" s="110" t="s">
        <v>130</v>
      </c>
      <c r="O628" s="110" t="s">
        <v>2669</v>
      </c>
      <c r="P628" s="110" t="s">
        <v>132</v>
      </c>
      <c r="Q628" s="110" t="s">
        <v>96</v>
      </c>
      <c r="R628" s="121">
        <v>0.25600000000000001</v>
      </c>
      <c r="S628" s="113" t="e">
        <f t="shared" si="18"/>
        <v>#VALUE!</v>
      </c>
      <c r="T628" s="113">
        <f t="shared" si="19"/>
        <v>0</v>
      </c>
    </row>
    <row r="629" spans="1:20" s="109" customFormat="1" x14ac:dyDescent="0.2">
      <c r="A629" s="116"/>
      <c r="B629" s="111" t="s">
        <v>2373</v>
      </c>
      <c r="C629" s="110" t="s">
        <v>2670</v>
      </c>
      <c r="D629" s="110" t="s">
        <v>2671</v>
      </c>
      <c r="E629" s="112" t="s">
        <v>2672</v>
      </c>
      <c r="F629" s="111" t="s">
        <v>130</v>
      </c>
      <c r="G629" s="133">
        <v>56</v>
      </c>
      <c r="H629" s="124"/>
      <c r="I629" s="133" t="str">
        <f>IF(H629&gt;0,(#REF!*H629),"-")</f>
        <v>-</v>
      </c>
      <c r="J629" s="113">
        <v>621</v>
      </c>
      <c r="K629" s="110" t="s">
        <v>127</v>
      </c>
      <c r="L629" s="110" t="s">
        <v>148</v>
      </c>
      <c r="M629" s="110" t="s">
        <v>129</v>
      </c>
      <c r="N629" s="110" t="s">
        <v>130</v>
      </c>
      <c r="O629" s="110" t="s">
        <v>2673</v>
      </c>
      <c r="P629" s="110" t="s">
        <v>132</v>
      </c>
      <c r="Q629" s="110" t="s">
        <v>96</v>
      </c>
      <c r="R629" s="121">
        <v>0.255</v>
      </c>
      <c r="S629" s="113" t="e">
        <f t="shared" si="18"/>
        <v>#VALUE!</v>
      </c>
      <c r="T629" s="113">
        <f t="shared" si="19"/>
        <v>0</v>
      </c>
    </row>
    <row r="630" spans="1:20" s="109" customFormat="1" x14ac:dyDescent="0.2">
      <c r="A630" s="116"/>
      <c r="B630" s="111"/>
      <c r="C630" s="110" t="s">
        <v>2674</v>
      </c>
      <c r="D630" s="110" t="s">
        <v>2675</v>
      </c>
      <c r="E630" s="112" t="s">
        <v>2676</v>
      </c>
      <c r="F630" s="111" t="s">
        <v>126</v>
      </c>
      <c r="G630" s="133">
        <v>80</v>
      </c>
      <c r="H630" s="124"/>
      <c r="I630" s="133" t="str">
        <f>IF(H630&gt;0,(#REF!*H630),"-")</f>
        <v>-</v>
      </c>
      <c r="J630" s="113">
        <v>672</v>
      </c>
      <c r="K630" s="110" t="s">
        <v>127</v>
      </c>
      <c r="L630" s="110" t="s">
        <v>148</v>
      </c>
      <c r="M630" s="110" t="s">
        <v>129</v>
      </c>
      <c r="N630" s="110" t="s">
        <v>130</v>
      </c>
      <c r="O630" s="110" t="s">
        <v>2677</v>
      </c>
      <c r="P630" s="110" t="s">
        <v>132</v>
      </c>
      <c r="Q630" s="110" t="s">
        <v>97</v>
      </c>
      <c r="R630" s="121">
        <v>0.46400000000000002</v>
      </c>
      <c r="S630" s="113" t="e">
        <f t="shared" si="18"/>
        <v>#VALUE!</v>
      </c>
      <c r="T630" s="113">
        <f t="shared" si="19"/>
        <v>0</v>
      </c>
    </row>
    <row r="631" spans="1:20" s="109" customFormat="1" x14ac:dyDescent="0.2">
      <c r="A631" s="116"/>
      <c r="B631" s="111"/>
      <c r="C631" s="110" t="s">
        <v>2678</v>
      </c>
      <c r="D631" s="110" t="s">
        <v>2679</v>
      </c>
      <c r="E631" s="112" t="s">
        <v>2680</v>
      </c>
      <c r="F631" s="111" t="s">
        <v>126</v>
      </c>
      <c r="G631" s="133">
        <v>95</v>
      </c>
      <c r="H631" s="124"/>
      <c r="I631" s="133" t="str">
        <f>IF(H631&gt;0,(#REF!*H631),"-")</f>
        <v>-</v>
      </c>
      <c r="J631" s="113">
        <v>1356</v>
      </c>
      <c r="K631" s="110" t="s">
        <v>127</v>
      </c>
      <c r="L631" s="110" t="s">
        <v>148</v>
      </c>
      <c r="M631" s="110" t="s">
        <v>129</v>
      </c>
      <c r="N631" s="110" t="s">
        <v>130</v>
      </c>
      <c r="O631" s="110" t="s">
        <v>2681</v>
      </c>
      <c r="P631" s="110" t="s">
        <v>132</v>
      </c>
      <c r="Q631" s="110" t="s">
        <v>96</v>
      </c>
      <c r="R631" s="121">
        <v>0.59</v>
      </c>
      <c r="S631" s="113" t="e">
        <f t="shared" si="18"/>
        <v>#VALUE!</v>
      </c>
      <c r="T631" s="113">
        <f t="shared" si="19"/>
        <v>0</v>
      </c>
    </row>
    <row r="632" spans="1:20" s="109" customFormat="1" x14ac:dyDescent="0.2">
      <c r="A632" s="116"/>
      <c r="B632" s="111"/>
      <c r="C632" s="110" t="s">
        <v>2682</v>
      </c>
      <c r="D632" s="110" t="s">
        <v>2683</v>
      </c>
      <c r="E632" s="112" t="s">
        <v>2684</v>
      </c>
      <c r="F632" s="111" t="s">
        <v>126</v>
      </c>
      <c r="G632" s="133">
        <v>95</v>
      </c>
      <c r="H632" s="124"/>
      <c r="I632" s="133" t="str">
        <f>IF(H632&gt;0,(#REF!*H632),"-")</f>
        <v>-</v>
      </c>
      <c r="J632" s="113">
        <v>1313</v>
      </c>
      <c r="K632" s="110" t="s">
        <v>127</v>
      </c>
      <c r="L632" s="110" t="s">
        <v>148</v>
      </c>
      <c r="M632" s="110" t="s">
        <v>129</v>
      </c>
      <c r="N632" s="110" t="s">
        <v>130</v>
      </c>
      <c r="O632" s="110" t="s">
        <v>2685</v>
      </c>
      <c r="P632" s="110" t="s">
        <v>132</v>
      </c>
      <c r="Q632" s="110" t="s">
        <v>96</v>
      </c>
      <c r="R632" s="121">
        <v>0.55500000000000005</v>
      </c>
      <c r="S632" s="113" t="e">
        <f t="shared" si="18"/>
        <v>#VALUE!</v>
      </c>
      <c r="T632" s="113">
        <f t="shared" si="19"/>
        <v>0</v>
      </c>
    </row>
    <row r="633" spans="1:20" s="109" customFormat="1" x14ac:dyDescent="0.2">
      <c r="A633" s="116"/>
      <c r="B633" s="111" t="s">
        <v>2373</v>
      </c>
      <c r="C633" s="110" t="s">
        <v>2686</v>
      </c>
      <c r="D633" s="110" t="s">
        <v>2687</v>
      </c>
      <c r="E633" s="112" t="s">
        <v>2688</v>
      </c>
      <c r="F633" s="111" t="s">
        <v>130</v>
      </c>
      <c r="G633" s="133">
        <v>50</v>
      </c>
      <c r="H633" s="124"/>
      <c r="I633" s="133" t="str">
        <f>IF(H633&gt;0,(#REF!*H633),"-")</f>
        <v>-</v>
      </c>
      <c r="J633" s="113">
        <v>534</v>
      </c>
      <c r="K633" s="110" t="s">
        <v>127</v>
      </c>
      <c r="L633" s="110" t="s">
        <v>148</v>
      </c>
      <c r="M633" s="110" t="s">
        <v>129</v>
      </c>
      <c r="N633" s="110" t="s">
        <v>130</v>
      </c>
      <c r="O633" s="110" t="s">
        <v>2689</v>
      </c>
      <c r="P633" s="110" t="s">
        <v>132</v>
      </c>
      <c r="Q633" s="110" t="s">
        <v>96</v>
      </c>
      <c r="R633" s="121">
        <v>0.22900000000000001</v>
      </c>
      <c r="S633" s="113" t="e">
        <f t="shared" si="18"/>
        <v>#VALUE!</v>
      </c>
      <c r="T633" s="113">
        <f t="shared" si="19"/>
        <v>0</v>
      </c>
    </row>
    <row r="634" spans="1:20" s="109" customFormat="1" x14ac:dyDescent="0.2">
      <c r="A634" s="116"/>
      <c r="B634" s="111"/>
      <c r="C634" s="110" t="s">
        <v>2690</v>
      </c>
      <c r="D634" s="110" t="s">
        <v>2691</v>
      </c>
      <c r="E634" s="112" t="s">
        <v>2692</v>
      </c>
      <c r="F634" s="111" t="s">
        <v>126</v>
      </c>
      <c r="G634" s="133">
        <v>56</v>
      </c>
      <c r="H634" s="124"/>
      <c r="I634" s="133" t="str">
        <f>IF(H634&gt;0,(#REF!*H634),"-")</f>
        <v>-</v>
      </c>
      <c r="J634" s="113">
        <v>644</v>
      </c>
      <c r="K634" s="110" t="s">
        <v>127</v>
      </c>
      <c r="L634" s="110" t="s">
        <v>148</v>
      </c>
      <c r="M634" s="110" t="s">
        <v>129</v>
      </c>
      <c r="N634" s="110" t="s">
        <v>130</v>
      </c>
      <c r="O634" s="110" t="s">
        <v>2693</v>
      </c>
      <c r="P634" s="110" t="s">
        <v>132</v>
      </c>
      <c r="Q634" s="110" t="s">
        <v>96</v>
      </c>
      <c r="R634" s="121">
        <v>0.26300000000000001</v>
      </c>
      <c r="S634" s="113" t="e">
        <f t="shared" si="18"/>
        <v>#VALUE!</v>
      </c>
      <c r="T634" s="113">
        <f t="shared" si="19"/>
        <v>0</v>
      </c>
    </row>
    <row r="635" spans="1:20" s="109" customFormat="1" x14ac:dyDescent="0.2">
      <c r="A635" s="116"/>
      <c r="B635" s="111"/>
      <c r="C635" s="110" t="s">
        <v>2694</v>
      </c>
      <c r="D635" s="110" t="s">
        <v>2695</v>
      </c>
      <c r="E635" s="112" t="s">
        <v>2696</v>
      </c>
      <c r="F635" s="111" t="s">
        <v>126</v>
      </c>
      <c r="G635" s="133">
        <v>56</v>
      </c>
      <c r="H635" s="124"/>
      <c r="I635" s="133" t="str">
        <f>IF(H635&gt;0,(#REF!*H635),"-")</f>
        <v>-</v>
      </c>
      <c r="J635" s="113">
        <v>644</v>
      </c>
      <c r="K635" s="110" t="s">
        <v>127</v>
      </c>
      <c r="L635" s="110" t="s">
        <v>148</v>
      </c>
      <c r="M635" s="110" t="s">
        <v>129</v>
      </c>
      <c r="N635" s="110" t="s">
        <v>130</v>
      </c>
      <c r="O635" s="110" t="s">
        <v>2697</v>
      </c>
      <c r="P635" s="110" t="s">
        <v>132</v>
      </c>
      <c r="Q635" s="110" t="s">
        <v>96</v>
      </c>
      <c r="R635" s="121">
        <v>0.252</v>
      </c>
      <c r="S635" s="113" t="e">
        <f t="shared" si="18"/>
        <v>#VALUE!</v>
      </c>
      <c r="T635" s="113">
        <f t="shared" si="19"/>
        <v>0</v>
      </c>
    </row>
    <row r="636" spans="1:20" s="109" customFormat="1" x14ac:dyDescent="0.2">
      <c r="A636" s="116"/>
      <c r="B636" s="111"/>
      <c r="C636" s="110" t="s">
        <v>2698</v>
      </c>
      <c r="D636" s="110" t="s">
        <v>2699</v>
      </c>
      <c r="E636" s="112" t="s">
        <v>2700</v>
      </c>
      <c r="F636" s="111" t="s">
        <v>126</v>
      </c>
      <c r="G636" s="133">
        <v>95</v>
      </c>
      <c r="H636" s="124"/>
      <c r="I636" s="133" t="str">
        <f>IF(H636&gt;0,(#REF!*H636),"-")</f>
        <v>-</v>
      </c>
      <c r="J636" s="113">
        <v>1364</v>
      </c>
      <c r="K636" s="110" t="s">
        <v>127</v>
      </c>
      <c r="L636" s="110" t="s">
        <v>148</v>
      </c>
      <c r="M636" s="110" t="s">
        <v>129</v>
      </c>
      <c r="N636" s="110" t="s">
        <v>130</v>
      </c>
      <c r="O636" s="110" t="s">
        <v>2701</v>
      </c>
      <c r="P636" s="110" t="s">
        <v>132</v>
      </c>
      <c r="Q636" s="110" t="s">
        <v>96</v>
      </c>
      <c r="R636" s="121">
        <v>0.60270000000000001</v>
      </c>
      <c r="S636" s="113" t="e">
        <f t="shared" si="18"/>
        <v>#VALUE!</v>
      </c>
      <c r="T636" s="113">
        <f t="shared" si="19"/>
        <v>0</v>
      </c>
    </row>
    <row r="637" spans="1:20" s="109" customFormat="1" x14ac:dyDescent="0.2">
      <c r="A637" s="116"/>
      <c r="B637" s="111"/>
      <c r="C637" s="110" t="s">
        <v>2702</v>
      </c>
      <c r="D637" s="110" t="s">
        <v>2703</v>
      </c>
      <c r="E637" s="112" t="s">
        <v>2704</v>
      </c>
      <c r="F637" s="111" t="s">
        <v>126</v>
      </c>
      <c r="G637" s="133">
        <v>112</v>
      </c>
      <c r="H637" s="124"/>
      <c r="I637" s="133" t="str">
        <f>IF(H637&gt;0,(#REF!*H637),"-")</f>
        <v>-</v>
      </c>
      <c r="J637" s="113">
        <v>1045</v>
      </c>
      <c r="K637" s="110" t="s">
        <v>127</v>
      </c>
      <c r="L637" s="110" t="s">
        <v>148</v>
      </c>
      <c r="M637" s="110" t="s">
        <v>129</v>
      </c>
      <c r="N637" s="110" t="s">
        <v>130</v>
      </c>
      <c r="O637" s="110" t="s">
        <v>2705</v>
      </c>
      <c r="P637" s="110" t="s">
        <v>132</v>
      </c>
      <c r="Q637" s="110" t="s">
        <v>97</v>
      </c>
      <c r="R637" s="121">
        <v>0.76400000000000001</v>
      </c>
      <c r="S637" s="113" t="e">
        <f t="shared" si="18"/>
        <v>#VALUE!</v>
      </c>
      <c r="T637" s="113">
        <f t="shared" si="19"/>
        <v>0</v>
      </c>
    </row>
    <row r="638" spans="1:20" s="109" customFormat="1" x14ac:dyDescent="0.2">
      <c r="A638" s="116"/>
      <c r="B638" s="111"/>
      <c r="C638" s="110" t="s">
        <v>2706</v>
      </c>
      <c r="D638" s="110" t="s">
        <v>2707</v>
      </c>
      <c r="E638" s="112" t="s">
        <v>2708</v>
      </c>
      <c r="F638" s="111" t="s">
        <v>126</v>
      </c>
      <c r="G638" s="133">
        <v>50</v>
      </c>
      <c r="H638" s="124"/>
      <c r="I638" s="133" t="str">
        <f>IF(H638&gt;0,(#REF!*H638),"-")</f>
        <v>-</v>
      </c>
      <c r="J638" s="113">
        <v>479</v>
      </c>
      <c r="K638" s="110" t="s">
        <v>127</v>
      </c>
      <c r="L638" s="110" t="s">
        <v>148</v>
      </c>
      <c r="M638" s="110" t="s">
        <v>129</v>
      </c>
      <c r="N638" s="110" t="s">
        <v>130</v>
      </c>
      <c r="O638" s="110" t="s">
        <v>2709</v>
      </c>
      <c r="P638" s="110" t="s">
        <v>132</v>
      </c>
      <c r="Q638" s="110" t="s">
        <v>96</v>
      </c>
      <c r="R638" s="121">
        <v>0.2031</v>
      </c>
      <c r="S638" s="113" t="e">
        <f t="shared" si="18"/>
        <v>#VALUE!</v>
      </c>
      <c r="T638" s="113">
        <f t="shared" si="19"/>
        <v>0</v>
      </c>
    </row>
    <row r="639" spans="1:20" s="109" customFormat="1" x14ac:dyDescent="0.2">
      <c r="A639" s="116"/>
      <c r="B639" s="111"/>
      <c r="C639" s="110" t="s">
        <v>2710</v>
      </c>
      <c r="D639" s="110" t="s">
        <v>2711</v>
      </c>
      <c r="E639" s="112" t="s">
        <v>2712</v>
      </c>
      <c r="F639" s="111" t="s">
        <v>126</v>
      </c>
      <c r="G639" s="133">
        <v>95</v>
      </c>
      <c r="H639" s="124"/>
      <c r="I639" s="133" t="str">
        <f>IF(H639&gt;0,(#REF!*H639),"-")</f>
        <v>-</v>
      </c>
      <c r="J639" s="113">
        <v>1261</v>
      </c>
      <c r="K639" s="110" t="s">
        <v>127</v>
      </c>
      <c r="L639" s="110" t="s">
        <v>148</v>
      </c>
      <c r="M639" s="110" t="s">
        <v>129</v>
      </c>
      <c r="N639" s="110" t="s">
        <v>130</v>
      </c>
      <c r="O639" s="110" t="s">
        <v>2713</v>
      </c>
      <c r="P639" s="110" t="s">
        <v>132</v>
      </c>
      <c r="Q639" s="110" t="s">
        <v>96</v>
      </c>
      <c r="R639" s="121">
        <v>0.55900000000000005</v>
      </c>
      <c r="S639" s="113" t="e">
        <f t="shared" si="18"/>
        <v>#VALUE!</v>
      </c>
      <c r="T639" s="113">
        <f t="shared" si="19"/>
        <v>0</v>
      </c>
    </row>
    <row r="640" spans="1:20" s="109" customFormat="1" x14ac:dyDescent="0.2">
      <c r="A640" s="116"/>
      <c r="B640" s="111"/>
      <c r="C640" s="110" t="s">
        <v>2714</v>
      </c>
      <c r="D640" s="110" t="s">
        <v>2715</v>
      </c>
      <c r="E640" s="112" t="s">
        <v>2716</v>
      </c>
      <c r="F640" s="111" t="s">
        <v>126</v>
      </c>
      <c r="G640" s="133">
        <v>80</v>
      </c>
      <c r="H640" s="124"/>
      <c r="I640" s="133" t="str">
        <f>IF(H640&gt;0,(#REF!*H640),"-")</f>
        <v>-</v>
      </c>
      <c r="J640" s="113">
        <v>630</v>
      </c>
      <c r="K640" s="110" t="s">
        <v>127</v>
      </c>
      <c r="L640" s="110" t="s">
        <v>148</v>
      </c>
      <c r="M640" s="110" t="s">
        <v>129</v>
      </c>
      <c r="N640" s="110" t="s">
        <v>130</v>
      </c>
      <c r="O640" s="110" t="s">
        <v>2717</v>
      </c>
      <c r="P640" s="110" t="s">
        <v>132</v>
      </c>
      <c r="Q640" s="110" t="s">
        <v>97</v>
      </c>
      <c r="R640" s="121">
        <v>0.41</v>
      </c>
      <c r="S640" s="113" t="e">
        <f t="shared" si="18"/>
        <v>#VALUE!</v>
      </c>
      <c r="T640" s="113">
        <f t="shared" si="19"/>
        <v>0</v>
      </c>
    </row>
    <row r="641" spans="1:20" s="109" customFormat="1" x14ac:dyDescent="0.2">
      <c r="A641" s="116"/>
      <c r="B641" s="111"/>
      <c r="C641" s="110" t="s">
        <v>2718</v>
      </c>
      <c r="D641" s="110" t="s">
        <v>2719</v>
      </c>
      <c r="E641" s="112" t="s">
        <v>2720</v>
      </c>
      <c r="F641" s="111" t="s">
        <v>126</v>
      </c>
      <c r="G641" s="133">
        <v>50</v>
      </c>
      <c r="H641" s="124"/>
      <c r="I641" s="133" t="str">
        <f>IF(H641&gt;0,(#REF!*H641),"-")</f>
        <v>-</v>
      </c>
      <c r="J641" s="113">
        <v>571</v>
      </c>
      <c r="K641" s="110" t="s">
        <v>127</v>
      </c>
      <c r="L641" s="110" t="s">
        <v>148</v>
      </c>
      <c r="M641" s="110" t="s">
        <v>129</v>
      </c>
      <c r="N641" s="110" t="s">
        <v>130</v>
      </c>
      <c r="O641" s="110" t="s">
        <v>2721</v>
      </c>
      <c r="P641" s="110" t="s">
        <v>132</v>
      </c>
      <c r="Q641" s="110" t="s">
        <v>96</v>
      </c>
      <c r="R641" s="121">
        <v>0.24199999999999999</v>
      </c>
      <c r="S641" s="113" t="e">
        <f t="shared" si="18"/>
        <v>#VALUE!</v>
      </c>
      <c r="T641" s="113">
        <f t="shared" si="19"/>
        <v>0</v>
      </c>
    </row>
    <row r="642" spans="1:20" s="109" customFormat="1" x14ac:dyDescent="0.2">
      <c r="A642" s="116"/>
      <c r="B642" s="111"/>
      <c r="C642" s="110" t="s">
        <v>2722</v>
      </c>
      <c r="D642" s="110" t="s">
        <v>2723</v>
      </c>
      <c r="E642" s="112" t="s">
        <v>2724</v>
      </c>
      <c r="F642" s="111" t="s">
        <v>126</v>
      </c>
      <c r="G642" s="133">
        <v>56</v>
      </c>
      <c r="H642" s="124"/>
      <c r="I642" s="133" t="str">
        <f>IF(H642&gt;0,(#REF!*H642),"-")</f>
        <v>-</v>
      </c>
      <c r="J642" s="113">
        <v>746</v>
      </c>
      <c r="K642" s="110" t="s">
        <v>127</v>
      </c>
      <c r="L642" s="110" t="s">
        <v>148</v>
      </c>
      <c r="M642" s="110" t="s">
        <v>129</v>
      </c>
      <c r="N642" s="110" t="s">
        <v>130</v>
      </c>
      <c r="O642" s="110" t="s">
        <v>2725</v>
      </c>
      <c r="P642" s="110" t="s">
        <v>132</v>
      </c>
      <c r="Q642" s="110" t="s">
        <v>96</v>
      </c>
      <c r="R642" s="121">
        <v>0.30499999999999999</v>
      </c>
      <c r="S642" s="113" t="e">
        <f t="shared" ref="S642:S705" si="20">Q642*H642</f>
        <v>#VALUE!</v>
      </c>
      <c r="T642" s="113">
        <f t="shared" ref="T642:T705" si="21">R642*H642</f>
        <v>0</v>
      </c>
    </row>
    <row r="643" spans="1:20" s="109" customFormat="1" x14ac:dyDescent="0.2">
      <c r="A643" s="116"/>
      <c r="B643" s="111"/>
      <c r="C643" s="110" t="s">
        <v>2726</v>
      </c>
      <c r="D643" s="110" t="s">
        <v>2727</v>
      </c>
      <c r="E643" s="112" t="s">
        <v>2728</v>
      </c>
      <c r="F643" s="111" t="s">
        <v>126</v>
      </c>
      <c r="G643" s="133">
        <v>80</v>
      </c>
      <c r="H643" s="124"/>
      <c r="I643" s="133" t="str">
        <f>IF(H643&gt;0,(#REF!*H643),"-")</f>
        <v>-</v>
      </c>
      <c r="J643" s="113">
        <v>978</v>
      </c>
      <c r="K643" s="110" t="s">
        <v>127</v>
      </c>
      <c r="L643" s="110" t="s">
        <v>148</v>
      </c>
      <c r="M643" s="110" t="s">
        <v>129</v>
      </c>
      <c r="N643" s="110" t="s">
        <v>130</v>
      </c>
      <c r="O643" s="110" t="s">
        <v>2729</v>
      </c>
      <c r="P643" s="110" t="s">
        <v>132</v>
      </c>
      <c r="Q643" s="110" t="s">
        <v>96</v>
      </c>
      <c r="R643" s="121">
        <v>0.41499999999999998</v>
      </c>
      <c r="S643" s="113" t="e">
        <f t="shared" si="20"/>
        <v>#VALUE!</v>
      </c>
      <c r="T643" s="113">
        <f t="shared" si="21"/>
        <v>0</v>
      </c>
    </row>
    <row r="644" spans="1:20" s="109" customFormat="1" x14ac:dyDescent="0.2">
      <c r="A644" s="116"/>
      <c r="B644" s="111"/>
      <c r="C644" s="110" t="s">
        <v>2730</v>
      </c>
      <c r="D644" s="110" t="s">
        <v>2731</v>
      </c>
      <c r="E644" s="112" t="s">
        <v>2732</v>
      </c>
      <c r="F644" s="111" t="s">
        <v>126</v>
      </c>
      <c r="G644" s="133">
        <v>270</v>
      </c>
      <c r="H644" s="124"/>
      <c r="I644" s="133" t="str">
        <f>IF(H644&gt;0,(#REF!*H644),"-")</f>
        <v>-</v>
      </c>
      <c r="J644" s="113">
        <v>2541</v>
      </c>
      <c r="K644" s="110" t="s">
        <v>127</v>
      </c>
      <c r="L644" s="110" t="s">
        <v>148</v>
      </c>
      <c r="M644" s="110" t="s">
        <v>129</v>
      </c>
      <c r="N644" s="110" t="s">
        <v>130</v>
      </c>
      <c r="O644" s="110" t="s">
        <v>2733</v>
      </c>
      <c r="P644" s="110" t="s">
        <v>132</v>
      </c>
      <c r="Q644" s="110" t="s">
        <v>97</v>
      </c>
      <c r="R644" s="121">
        <v>2.2109999999999999</v>
      </c>
      <c r="S644" s="113" t="e">
        <f t="shared" si="20"/>
        <v>#VALUE!</v>
      </c>
      <c r="T644" s="113">
        <f t="shared" si="21"/>
        <v>0</v>
      </c>
    </row>
    <row r="645" spans="1:20" s="109" customFormat="1" x14ac:dyDescent="0.2">
      <c r="A645" s="116"/>
      <c r="B645" s="111"/>
      <c r="C645" s="110" t="s">
        <v>2734</v>
      </c>
      <c r="D645" s="110" t="s">
        <v>2735</v>
      </c>
      <c r="E645" s="112" t="s">
        <v>2736</v>
      </c>
      <c r="F645" s="111" t="s">
        <v>126</v>
      </c>
      <c r="G645" s="133">
        <v>220</v>
      </c>
      <c r="H645" s="124"/>
      <c r="I645" s="133" t="str">
        <f>IF(H645&gt;0,(#REF!*H645),"-")</f>
        <v>-</v>
      </c>
      <c r="J645" s="113">
        <v>787</v>
      </c>
      <c r="K645" s="110" t="s">
        <v>127</v>
      </c>
      <c r="L645" s="110" t="s">
        <v>148</v>
      </c>
      <c r="M645" s="110" t="s">
        <v>129</v>
      </c>
      <c r="N645" s="110" t="s">
        <v>130</v>
      </c>
      <c r="O645" s="110" t="s">
        <v>2737</v>
      </c>
      <c r="P645" s="110" t="s">
        <v>153</v>
      </c>
      <c r="Q645" s="110" t="s">
        <v>96</v>
      </c>
      <c r="R645" s="121">
        <v>0.34599999999999997</v>
      </c>
      <c r="S645" s="113" t="e">
        <f t="shared" si="20"/>
        <v>#VALUE!</v>
      </c>
      <c r="T645" s="113">
        <f t="shared" si="21"/>
        <v>0</v>
      </c>
    </row>
    <row r="646" spans="1:20" s="109" customFormat="1" x14ac:dyDescent="0.2">
      <c r="A646" s="116"/>
      <c r="B646" s="111"/>
      <c r="C646" s="110" t="s">
        <v>2738</v>
      </c>
      <c r="D646" s="110" t="s">
        <v>2739</v>
      </c>
      <c r="E646" s="112" t="s">
        <v>2740</v>
      </c>
      <c r="F646" s="111" t="s">
        <v>126</v>
      </c>
      <c r="G646" s="133">
        <v>124</v>
      </c>
      <c r="H646" s="124"/>
      <c r="I646" s="133" t="str">
        <f>IF(H646&gt;0,(#REF!*H646),"-")</f>
        <v>-</v>
      </c>
      <c r="J646" s="113">
        <v>1632</v>
      </c>
      <c r="K646" s="110" t="s">
        <v>127</v>
      </c>
      <c r="L646" s="110" t="s">
        <v>148</v>
      </c>
      <c r="M646" s="110" t="s">
        <v>129</v>
      </c>
      <c r="N646" s="110" t="s">
        <v>130</v>
      </c>
      <c r="O646" s="110" t="s">
        <v>2741</v>
      </c>
      <c r="P646" s="110" t="s">
        <v>132</v>
      </c>
      <c r="Q646" s="110" t="s">
        <v>97</v>
      </c>
      <c r="R646" s="121">
        <v>1.0669999999999999</v>
      </c>
      <c r="S646" s="113" t="e">
        <f t="shared" si="20"/>
        <v>#VALUE!</v>
      </c>
      <c r="T646" s="113">
        <f t="shared" si="21"/>
        <v>0</v>
      </c>
    </row>
    <row r="647" spans="1:20" s="109" customFormat="1" x14ac:dyDescent="0.2">
      <c r="A647" s="116"/>
      <c r="B647" s="111"/>
      <c r="C647" s="110" t="s">
        <v>2742</v>
      </c>
      <c r="D647" s="110" t="s">
        <v>2743</v>
      </c>
      <c r="E647" s="112" t="s">
        <v>2744</v>
      </c>
      <c r="F647" s="111" t="s">
        <v>126</v>
      </c>
      <c r="G647" s="133">
        <v>95</v>
      </c>
      <c r="H647" s="124"/>
      <c r="I647" s="133" t="str">
        <f>IF(H647&gt;0,(#REF!*H647),"-")</f>
        <v>-</v>
      </c>
      <c r="J647" s="113">
        <v>1313</v>
      </c>
      <c r="K647" s="110" t="s">
        <v>127</v>
      </c>
      <c r="L647" s="110" t="s">
        <v>148</v>
      </c>
      <c r="M647" s="110" t="s">
        <v>129</v>
      </c>
      <c r="N647" s="110" t="s">
        <v>130</v>
      </c>
      <c r="O647" s="110" t="s">
        <v>2745</v>
      </c>
      <c r="P647" s="110" t="s">
        <v>132</v>
      </c>
      <c r="Q647" s="110" t="s">
        <v>96</v>
      </c>
      <c r="R647" s="121">
        <v>0.55600000000000005</v>
      </c>
      <c r="S647" s="113" t="e">
        <f t="shared" si="20"/>
        <v>#VALUE!</v>
      </c>
      <c r="T647" s="113">
        <f t="shared" si="21"/>
        <v>0</v>
      </c>
    </row>
    <row r="648" spans="1:20" s="109" customFormat="1" x14ac:dyDescent="0.2">
      <c r="A648" s="116"/>
      <c r="B648" s="111"/>
      <c r="C648" s="110" t="s">
        <v>2746</v>
      </c>
      <c r="D648" s="110" t="s">
        <v>2747</v>
      </c>
      <c r="E648" s="112" t="s">
        <v>2748</v>
      </c>
      <c r="F648" s="111" t="s">
        <v>126</v>
      </c>
      <c r="G648" s="133">
        <v>50</v>
      </c>
      <c r="H648" s="124"/>
      <c r="I648" s="133" t="str">
        <f>IF(H648&gt;0,(#REF!*H648),"-")</f>
        <v>-</v>
      </c>
      <c r="J648" s="113">
        <v>644</v>
      </c>
      <c r="K648" s="110" t="s">
        <v>127</v>
      </c>
      <c r="L648" s="110" t="s">
        <v>148</v>
      </c>
      <c r="M648" s="110" t="s">
        <v>129</v>
      </c>
      <c r="N648" s="110" t="s">
        <v>130</v>
      </c>
      <c r="O648" s="110" t="s">
        <v>2749</v>
      </c>
      <c r="P648" s="110" t="s">
        <v>132</v>
      </c>
      <c r="Q648" s="110" t="s">
        <v>96</v>
      </c>
      <c r="R648" s="121">
        <v>0.26800000000000002</v>
      </c>
      <c r="S648" s="113" t="e">
        <f t="shared" si="20"/>
        <v>#VALUE!</v>
      </c>
      <c r="T648" s="113">
        <f t="shared" si="21"/>
        <v>0</v>
      </c>
    </row>
    <row r="649" spans="1:20" s="109" customFormat="1" x14ac:dyDescent="0.2">
      <c r="A649" s="116"/>
      <c r="B649" s="111"/>
      <c r="C649" s="110" t="s">
        <v>2750</v>
      </c>
      <c r="D649" s="110" t="s">
        <v>2751</v>
      </c>
      <c r="E649" s="112" t="s">
        <v>2752</v>
      </c>
      <c r="F649" s="111" t="s">
        <v>126</v>
      </c>
      <c r="G649" s="133">
        <v>56</v>
      </c>
      <c r="H649" s="124"/>
      <c r="I649" s="133" t="str">
        <f>IF(H649&gt;0,(#REF!*H649),"-")</f>
        <v>-</v>
      </c>
      <c r="J649" s="113">
        <v>515</v>
      </c>
      <c r="K649" s="110" t="s">
        <v>127</v>
      </c>
      <c r="L649" s="110" t="s">
        <v>148</v>
      </c>
      <c r="M649" s="110" t="s">
        <v>129</v>
      </c>
      <c r="N649" s="110" t="s">
        <v>130</v>
      </c>
      <c r="O649" s="110" t="s">
        <v>2753</v>
      </c>
      <c r="P649" s="110" t="s">
        <v>132</v>
      </c>
      <c r="Q649" s="110" t="s">
        <v>96</v>
      </c>
      <c r="R649" s="121">
        <v>0.2195</v>
      </c>
      <c r="S649" s="113" t="e">
        <f t="shared" si="20"/>
        <v>#VALUE!</v>
      </c>
      <c r="T649" s="113">
        <f t="shared" si="21"/>
        <v>0</v>
      </c>
    </row>
    <row r="650" spans="1:20" s="109" customFormat="1" x14ac:dyDescent="0.2">
      <c r="A650" s="116"/>
      <c r="B650" s="111"/>
      <c r="C650" s="110" t="s">
        <v>2754</v>
      </c>
      <c r="D650" s="110" t="s">
        <v>2755</v>
      </c>
      <c r="E650" s="112" t="s">
        <v>2756</v>
      </c>
      <c r="F650" s="111" t="s">
        <v>126</v>
      </c>
      <c r="G650" s="133">
        <v>95</v>
      </c>
      <c r="H650" s="124"/>
      <c r="I650" s="133" t="str">
        <f>IF(H650&gt;0,(#REF!*H650),"-")</f>
        <v>-</v>
      </c>
      <c r="J650" s="113">
        <v>1287</v>
      </c>
      <c r="K650" s="110" t="s">
        <v>127</v>
      </c>
      <c r="L650" s="110" t="s">
        <v>148</v>
      </c>
      <c r="M650" s="110" t="s">
        <v>129</v>
      </c>
      <c r="N650" s="110" t="s">
        <v>130</v>
      </c>
      <c r="O650" s="110" t="s">
        <v>2757</v>
      </c>
      <c r="P650" s="110" t="s">
        <v>132</v>
      </c>
      <c r="Q650" s="110" t="s">
        <v>96</v>
      </c>
      <c r="R650" s="121">
        <v>0.55000000000000004</v>
      </c>
      <c r="S650" s="113" t="e">
        <f t="shared" si="20"/>
        <v>#VALUE!</v>
      </c>
      <c r="T650" s="113">
        <f t="shared" si="21"/>
        <v>0</v>
      </c>
    </row>
    <row r="651" spans="1:20" s="109" customFormat="1" x14ac:dyDescent="0.2">
      <c r="A651" s="116"/>
      <c r="B651" s="111"/>
      <c r="C651" s="110" t="s">
        <v>2758</v>
      </c>
      <c r="D651" s="110" t="s">
        <v>2759</v>
      </c>
      <c r="E651" s="112" t="s">
        <v>2760</v>
      </c>
      <c r="F651" s="111" t="s">
        <v>126</v>
      </c>
      <c r="G651" s="133">
        <v>95</v>
      </c>
      <c r="H651" s="124"/>
      <c r="I651" s="133" t="str">
        <f>IF(H651&gt;0,(#REF!*H651),"-")</f>
        <v>-</v>
      </c>
      <c r="J651" s="113">
        <v>1287</v>
      </c>
      <c r="K651" s="110" t="s">
        <v>127</v>
      </c>
      <c r="L651" s="110" t="s">
        <v>148</v>
      </c>
      <c r="M651" s="110" t="s">
        <v>129</v>
      </c>
      <c r="N651" s="110" t="s">
        <v>130</v>
      </c>
      <c r="O651" s="110" t="s">
        <v>2761</v>
      </c>
      <c r="P651" s="110" t="s">
        <v>132</v>
      </c>
      <c r="Q651" s="110" t="s">
        <v>96</v>
      </c>
      <c r="R651" s="121">
        <v>0.56499999999999995</v>
      </c>
      <c r="S651" s="113" t="e">
        <f t="shared" si="20"/>
        <v>#VALUE!</v>
      </c>
      <c r="T651" s="113">
        <f t="shared" si="21"/>
        <v>0</v>
      </c>
    </row>
    <row r="652" spans="1:20" s="109" customFormat="1" x14ac:dyDescent="0.2">
      <c r="A652" s="116"/>
      <c r="B652" s="111"/>
      <c r="C652" s="110" t="s">
        <v>2762</v>
      </c>
      <c r="D652" s="110" t="s">
        <v>2763</v>
      </c>
      <c r="E652" s="112" t="s">
        <v>2764</v>
      </c>
      <c r="F652" s="111" t="s">
        <v>126</v>
      </c>
      <c r="G652" s="133">
        <v>20</v>
      </c>
      <c r="H652" s="124"/>
      <c r="I652" s="133" t="str">
        <f>IF(H652&gt;0,(#REF!*H652),"-")</f>
        <v>-</v>
      </c>
      <c r="J652" s="113">
        <v>257</v>
      </c>
      <c r="K652" s="110" t="s">
        <v>127</v>
      </c>
      <c r="L652" s="110" t="s">
        <v>148</v>
      </c>
      <c r="M652" s="110" t="s">
        <v>129</v>
      </c>
      <c r="N652" s="110" t="s">
        <v>130</v>
      </c>
      <c r="O652" s="110" t="s">
        <v>2765</v>
      </c>
      <c r="P652" s="110" t="s">
        <v>132</v>
      </c>
      <c r="Q652" s="110" t="s">
        <v>96</v>
      </c>
      <c r="R652" s="121">
        <v>0.11799999999999999</v>
      </c>
      <c r="S652" s="113" t="e">
        <f t="shared" si="20"/>
        <v>#VALUE!</v>
      </c>
      <c r="T652" s="113">
        <f t="shared" si="21"/>
        <v>0</v>
      </c>
    </row>
    <row r="653" spans="1:20" s="109" customFormat="1" x14ac:dyDescent="0.2">
      <c r="A653" s="116"/>
      <c r="B653" s="111"/>
      <c r="C653" s="110" t="s">
        <v>2766</v>
      </c>
      <c r="D653" s="110" t="s">
        <v>2767</v>
      </c>
      <c r="E653" s="112" t="s">
        <v>2768</v>
      </c>
      <c r="F653" s="111" t="s">
        <v>126</v>
      </c>
      <c r="G653" s="133">
        <v>80</v>
      </c>
      <c r="H653" s="124"/>
      <c r="I653" s="133" t="str">
        <f>IF(H653&gt;0,(#REF!*H653),"-")</f>
        <v>-</v>
      </c>
      <c r="J653" s="113">
        <v>704</v>
      </c>
      <c r="K653" s="110" t="s">
        <v>127</v>
      </c>
      <c r="L653" s="110" t="s">
        <v>148</v>
      </c>
      <c r="M653" s="110" t="s">
        <v>129</v>
      </c>
      <c r="N653" s="110" t="s">
        <v>130</v>
      </c>
      <c r="O653" s="110" t="s">
        <v>2769</v>
      </c>
      <c r="P653" s="110" t="s">
        <v>132</v>
      </c>
      <c r="Q653" s="110" t="s">
        <v>97</v>
      </c>
      <c r="R653" s="121">
        <v>0.48799999999999999</v>
      </c>
      <c r="S653" s="113" t="e">
        <f t="shared" si="20"/>
        <v>#VALUE!</v>
      </c>
      <c r="T653" s="113">
        <f t="shared" si="21"/>
        <v>0</v>
      </c>
    </row>
    <row r="654" spans="1:20" s="109" customFormat="1" x14ac:dyDescent="0.2">
      <c r="A654" s="116"/>
      <c r="B654" s="111"/>
      <c r="C654" s="110" t="s">
        <v>2770</v>
      </c>
      <c r="D654" s="110" t="s">
        <v>2771</v>
      </c>
      <c r="E654" s="112" t="s">
        <v>2772</v>
      </c>
      <c r="F654" s="111" t="s">
        <v>126</v>
      </c>
      <c r="G654" s="133">
        <v>56</v>
      </c>
      <c r="H654" s="124"/>
      <c r="I654" s="133" t="str">
        <f>IF(H654&gt;0,(#REF!*H654),"-")</f>
        <v>-</v>
      </c>
      <c r="J654" s="113">
        <v>595</v>
      </c>
      <c r="K654" s="110" t="s">
        <v>127</v>
      </c>
      <c r="L654" s="110" t="s">
        <v>148</v>
      </c>
      <c r="M654" s="110" t="s">
        <v>129</v>
      </c>
      <c r="N654" s="110" t="s">
        <v>130</v>
      </c>
      <c r="O654" s="110" t="s">
        <v>2773</v>
      </c>
      <c r="P654" s="110" t="s">
        <v>132</v>
      </c>
      <c r="Q654" s="110" t="s">
        <v>96</v>
      </c>
      <c r="R654" s="121">
        <v>0.251</v>
      </c>
      <c r="S654" s="113" t="e">
        <f t="shared" si="20"/>
        <v>#VALUE!</v>
      </c>
      <c r="T654" s="113">
        <f t="shared" si="21"/>
        <v>0</v>
      </c>
    </row>
    <row r="655" spans="1:20" s="109" customFormat="1" x14ac:dyDescent="0.2">
      <c r="A655" s="116"/>
      <c r="B655" s="111"/>
      <c r="C655" s="110" t="s">
        <v>2774</v>
      </c>
      <c r="D655" s="110" t="s">
        <v>2775</v>
      </c>
      <c r="E655" s="112" t="s">
        <v>2776</v>
      </c>
      <c r="F655" s="111" t="s">
        <v>126</v>
      </c>
      <c r="G655" s="133">
        <v>50</v>
      </c>
      <c r="H655" s="124"/>
      <c r="I655" s="133" t="str">
        <f>IF(H655&gt;0,(#REF!*H655),"-")</f>
        <v>-</v>
      </c>
      <c r="J655" s="113">
        <v>589</v>
      </c>
      <c r="K655" s="110" t="s">
        <v>127</v>
      </c>
      <c r="L655" s="110" t="s">
        <v>148</v>
      </c>
      <c r="M655" s="110" t="s">
        <v>129</v>
      </c>
      <c r="N655" s="110" t="s">
        <v>130</v>
      </c>
      <c r="O655" s="110" t="s">
        <v>2777</v>
      </c>
      <c r="P655" s="110" t="s">
        <v>132</v>
      </c>
      <c r="Q655" s="110" t="s">
        <v>96</v>
      </c>
      <c r="R655" s="121">
        <v>0.246</v>
      </c>
      <c r="S655" s="113" t="e">
        <f t="shared" si="20"/>
        <v>#VALUE!</v>
      </c>
      <c r="T655" s="113">
        <f t="shared" si="21"/>
        <v>0</v>
      </c>
    </row>
    <row r="656" spans="1:20" s="109" customFormat="1" x14ac:dyDescent="0.2">
      <c r="A656" s="116"/>
      <c r="B656" s="111"/>
      <c r="C656" s="110" t="s">
        <v>2778</v>
      </c>
      <c r="D656" s="110" t="s">
        <v>2779</v>
      </c>
      <c r="E656" s="112" t="s">
        <v>2780</v>
      </c>
      <c r="F656" s="111" t="s">
        <v>126</v>
      </c>
      <c r="G656" s="133">
        <v>220</v>
      </c>
      <c r="H656" s="124"/>
      <c r="I656" s="133" t="str">
        <f>IF(H656&gt;0,(#REF!*H656),"-")</f>
        <v>-</v>
      </c>
      <c r="J656" s="113">
        <v>651</v>
      </c>
      <c r="K656" s="110" t="s">
        <v>127</v>
      </c>
      <c r="L656" s="110" t="s">
        <v>148</v>
      </c>
      <c r="M656" s="110" t="s">
        <v>129</v>
      </c>
      <c r="N656" s="110" t="s">
        <v>130</v>
      </c>
      <c r="O656" s="110" t="s">
        <v>2781</v>
      </c>
      <c r="P656" s="110" t="s">
        <v>153</v>
      </c>
      <c r="Q656" s="110" t="s">
        <v>96</v>
      </c>
      <c r="R656" s="121">
        <v>0.308</v>
      </c>
      <c r="S656" s="113" t="e">
        <f t="shared" si="20"/>
        <v>#VALUE!</v>
      </c>
      <c r="T656" s="113">
        <f t="shared" si="21"/>
        <v>0</v>
      </c>
    </row>
    <row r="657" spans="1:20" s="109" customFormat="1" x14ac:dyDescent="0.2">
      <c r="A657" s="116"/>
      <c r="B657" s="111"/>
      <c r="C657" s="110" t="s">
        <v>2782</v>
      </c>
      <c r="D657" s="110" t="s">
        <v>2783</v>
      </c>
      <c r="E657" s="112" t="s">
        <v>2784</v>
      </c>
      <c r="F657" s="111" t="s">
        <v>126</v>
      </c>
      <c r="G657" s="133">
        <v>43</v>
      </c>
      <c r="H657" s="124"/>
      <c r="I657" s="133" t="str">
        <f>IF(H657&gt;0,(#REF!*H657),"-")</f>
        <v>-</v>
      </c>
      <c r="J657" s="113">
        <v>283</v>
      </c>
      <c r="K657" s="110" t="s">
        <v>127</v>
      </c>
      <c r="L657" s="110" t="s">
        <v>148</v>
      </c>
      <c r="M657" s="110" t="s">
        <v>129</v>
      </c>
      <c r="N657" s="110" t="s">
        <v>130</v>
      </c>
      <c r="O657" s="110" t="s">
        <v>2785</v>
      </c>
      <c r="P657" s="110" t="s">
        <v>132</v>
      </c>
      <c r="Q657" s="110" t="s">
        <v>96</v>
      </c>
      <c r="R657" s="121">
        <v>0.17100000000000001</v>
      </c>
      <c r="S657" s="113" t="e">
        <f t="shared" si="20"/>
        <v>#VALUE!</v>
      </c>
      <c r="T657" s="113">
        <f t="shared" si="21"/>
        <v>0</v>
      </c>
    </row>
    <row r="658" spans="1:20" s="109" customFormat="1" x14ac:dyDescent="0.2">
      <c r="A658" s="116"/>
      <c r="B658" s="111"/>
      <c r="C658" s="110" t="s">
        <v>2786</v>
      </c>
      <c r="D658" s="110" t="s">
        <v>2787</v>
      </c>
      <c r="E658" s="112" t="s">
        <v>2788</v>
      </c>
      <c r="F658" s="111" t="s">
        <v>126</v>
      </c>
      <c r="G658" s="133">
        <v>52</v>
      </c>
      <c r="H658" s="124"/>
      <c r="I658" s="133" t="str">
        <f>IF(H658&gt;0,(#REF!*H658),"-")</f>
        <v>-</v>
      </c>
      <c r="J658" s="113">
        <v>178</v>
      </c>
      <c r="K658" s="110" t="s">
        <v>127</v>
      </c>
      <c r="L658" s="110" t="s">
        <v>148</v>
      </c>
      <c r="M658" s="110" t="s">
        <v>129</v>
      </c>
      <c r="N658" s="110" t="s">
        <v>130</v>
      </c>
      <c r="O658" s="110" t="s">
        <v>2789</v>
      </c>
      <c r="P658" s="110" t="s">
        <v>153</v>
      </c>
      <c r="Q658" s="110" t="s">
        <v>96</v>
      </c>
      <c r="R658" s="121">
        <v>8.6099999999999996E-2</v>
      </c>
      <c r="S658" s="113" t="e">
        <f t="shared" si="20"/>
        <v>#VALUE!</v>
      </c>
      <c r="T658" s="113">
        <f t="shared" si="21"/>
        <v>0</v>
      </c>
    </row>
    <row r="659" spans="1:20" s="109" customFormat="1" x14ac:dyDescent="0.2">
      <c r="A659" s="116"/>
      <c r="B659" s="111"/>
      <c r="C659" s="110" t="s">
        <v>2790</v>
      </c>
      <c r="D659" s="110" t="s">
        <v>2791</v>
      </c>
      <c r="E659" s="112" t="s">
        <v>2792</v>
      </c>
      <c r="F659" s="111" t="s">
        <v>126</v>
      </c>
      <c r="G659" s="133">
        <v>56</v>
      </c>
      <c r="H659" s="124"/>
      <c r="I659" s="133" t="str">
        <f>IF(H659&gt;0,(#REF!*H659),"-")</f>
        <v>-</v>
      </c>
      <c r="J659" s="113">
        <v>673</v>
      </c>
      <c r="K659" s="110" t="s">
        <v>127</v>
      </c>
      <c r="L659" s="110" t="s">
        <v>148</v>
      </c>
      <c r="M659" s="110" t="s">
        <v>129</v>
      </c>
      <c r="N659" s="110" t="s">
        <v>130</v>
      </c>
      <c r="O659" s="110" t="s">
        <v>2793</v>
      </c>
      <c r="P659" s="110" t="s">
        <v>132</v>
      </c>
      <c r="Q659" s="110" t="s">
        <v>96</v>
      </c>
      <c r="R659" s="121">
        <v>0.28100000000000003</v>
      </c>
      <c r="S659" s="113" t="e">
        <f t="shared" si="20"/>
        <v>#VALUE!</v>
      </c>
      <c r="T659" s="113">
        <f t="shared" si="21"/>
        <v>0</v>
      </c>
    </row>
    <row r="660" spans="1:20" s="109" customFormat="1" x14ac:dyDescent="0.2">
      <c r="A660" s="116"/>
      <c r="B660" s="111"/>
      <c r="C660" s="110" t="s">
        <v>2794</v>
      </c>
      <c r="D660" s="110" t="s">
        <v>2795</v>
      </c>
      <c r="E660" s="112" t="s">
        <v>2796</v>
      </c>
      <c r="F660" s="111" t="s">
        <v>126</v>
      </c>
      <c r="G660" s="133">
        <v>75</v>
      </c>
      <c r="H660" s="124"/>
      <c r="I660" s="133" t="str">
        <f>IF(H660&gt;0,(#REF!*H660),"-")</f>
        <v>-</v>
      </c>
      <c r="J660" s="113">
        <v>143</v>
      </c>
      <c r="K660" s="110" t="s">
        <v>127</v>
      </c>
      <c r="L660" s="110" t="s">
        <v>148</v>
      </c>
      <c r="M660" s="110" t="s">
        <v>129</v>
      </c>
      <c r="N660" s="110" t="s">
        <v>130</v>
      </c>
      <c r="O660" s="110" t="s">
        <v>2797</v>
      </c>
      <c r="P660" s="110" t="s">
        <v>153</v>
      </c>
      <c r="Q660" s="110" t="s">
        <v>96</v>
      </c>
      <c r="R660" s="121">
        <v>6.5299999999999997E-2</v>
      </c>
      <c r="S660" s="113" t="e">
        <f t="shared" si="20"/>
        <v>#VALUE!</v>
      </c>
      <c r="T660" s="113">
        <f t="shared" si="21"/>
        <v>0</v>
      </c>
    </row>
    <row r="661" spans="1:20" s="109" customFormat="1" x14ac:dyDescent="0.2">
      <c r="A661" s="116"/>
      <c r="B661" s="111"/>
      <c r="C661" s="110" t="s">
        <v>2798</v>
      </c>
      <c r="D661" s="110" t="s">
        <v>2799</v>
      </c>
      <c r="E661" s="112" t="s">
        <v>2800</v>
      </c>
      <c r="F661" s="111" t="s">
        <v>126</v>
      </c>
      <c r="G661" s="133">
        <v>95</v>
      </c>
      <c r="H661" s="124"/>
      <c r="I661" s="133" t="str">
        <f>IF(H661&gt;0,(#REF!*H661),"-")</f>
        <v>-</v>
      </c>
      <c r="J661" s="113">
        <v>847</v>
      </c>
      <c r="K661" s="110" t="s">
        <v>127</v>
      </c>
      <c r="L661" s="110" t="s">
        <v>148</v>
      </c>
      <c r="M661" s="110" t="s">
        <v>129</v>
      </c>
      <c r="N661" s="110" t="s">
        <v>130</v>
      </c>
      <c r="O661" s="110" t="s">
        <v>2801</v>
      </c>
      <c r="P661" s="110" t="s">
        <v>132</v>
      </c>
      <c r="Q661" s="110" t="s">
        <v>97</v>
      </c>
      <c r="R661" s="121">
        <v>0.53600000000000003</v>
      </c>
      <c r="S661" s="113" t="e">
        <f t="shared" si="20"/>
        <v>#VALUE!</v>
      </c>
      <c r="T661" s="113">
        <f t="shared" si="21"/>
        <v>0</v>
      </c>
    </row>
    <row r="662" spans="1:20" s="109" customFormat="1" x14ac:dyDescent="0.2">
      <c r="A662" s="116"/>
      <c r="B662" s="111"/>
      <c r="C662" s="110" t="s">
        <v>2802</v>
      </c>
      <c r="D662" s="110" t="s">
        <v>2803</v>
      </c>
      <c r="E662" s="112" t="s">
        <v>2804</v>
      </c>
      <c r="F662" s="111" t="s">
        <v>126</v>
      </c>
      <c r="G662" s="133">
        <v>124</v>
      </c>
      <c r="H662" s="124"/>
      <c r="I662" s="133" t="str">
        <f>IF(H662&gt;0,(#REF!*H662),"-")</f>
        <v>-</v>
      </c>
      <c r="J662" s="113">
        <v>518</v>
      </c>
      <c r="K662" s="110" t="s">
        <v>127</v>
      </c>
      <c r="L662" s="110" t="s">
        <v>148</v>
      </c>
      <c r="M662" s="110" t="s">
        <v>129</v>
      </c>
      <c r="N662" s="110" t="s">
        <v>130</v>
      </c>
      <c r="O662" s="110" t="s">
        <v>2805</v>
      </c>
      <c r="P662" s="110" t="s">
        <v>132</v>
      </c>
      <c r="Q662" s="110" t="s">
        <v>97</v>
      </c>
      <c r="R662" s="121">
        <v>0.433</v>
      </c>
      <c r="S662" s="113" t="e">
        <f t="shared" si="20"/>
        <v>#VALUE!</v>
      </c>
      <c r="T662" s="113">
        <f t="shared" si="21"/>
        <v>0</v>
      </c>
    </row>
    <row r="663" spans="1:20" s="109" customFormat="1" x14ac:dyDescent="0.2">
      <c r="A663" s="116"/>
      <c r="B663" s="111"/>
      <c r="C663" s="110" t="s">
        <v>2806</v>
      </c>
      <c r="D663" s="110" t="s">
        <v>2807</v>
      </c>
      <c r="E663" s="112" t="s">
        <v>2808</v>
      </c>
      <c r="F663" s="111" t="s">
        <v>126</v>
      </c>
      <c r="G663" s="133">
        <v>80</v>
      </c>
      <c r="H663" s="124"/>
      <c r="I663" s="133" t="str">
        <f>IF(H663&gt;0,(#REF!*H663),"-")</f>
        <v>-</v>
      </c>
      <c r="J663" s="113">
        <v>1133</v>
      </c>
      <c r="K663" s="110" t="s">
        <v>127</v>
      </c>
      <c r="L663" s="110" t="s">
        <v>148</v>
      </c>
      <c r="M663" s="110" t="s">
        <v>129</v>
      </c>
      <c r="N663" s="110" t="s">
        <v>130</v>
      </c>
      <c r="O663" s="110" t="s">
        <v>2809</v>
      </c>
      <c r="P663" s="110" t="s">
        <v>132</v>
      </c>
      <c r="Q663" s="110" t="s">
        <v>96</v>
      </c>
      <c r="R663" s="121">
        <v>0.47299999999999998</v>
      </c>
      <c r="S663" s="113" t="e">
        <f t="shared" si="20"/>
        <v>#VALUE!</v>
      </c>
      <c r="T663" s="113">
        <f t="shared" si="21"/>
        <v>0</v>
      </c>
    </row>
    <row r="664" spans="1:20" s="109" customFormat="1" x14ac:dyDescent="0.2">
      <c r="A664" s="116"/>
      <c r="B664" s="111"/>
      <c r="C664" s="110" t="s">
        <v>2810</v>
      </c>
      <c r="D664" s="110" t="s">
        <v>2811</v>
      </c>
      <c r="E664" s="112" t="s">
        <v>2812</v>
      </c>
      <c r="F664" s="111" t="s">
        <v>126</v>
      </c>
      <c r="G664" s="133">
        <v>75</v>
      </c>
      <c r="H664" s="124"/>
      <c r="I664" s="133" t="str">
        <f>IF(H664&gt;0,(#REF!*H664),"-")</f>
        <v>-</v>
      </c>
      <c r="J664" s="113">
        <v>142</v>
      </c>
      <c r="K664" s="110" t="s">
        <v>127</v>
      </c>
      <c r="L664" s="110" t="s">
        <v>148</v>
      </c>
      <c r="M664" s="110" t="s">
        <v>129</v>
      </c>
      <c r="N664" s="110" t="s">
        <v>130</v>
      </c>
      <c r="O664" s="110" t="s">
        <v>2813</v>
      </c>
      <c r="P664" s="110" t="s">
        <v>153</v>
      </c>
      <c r="Q664" s="110" t="s">
        <v>96</v>
      </c>
      <c r="R664" s="121">
        <v>6.7400000000000002E-2</v>
      </c>
      <c r="S664" s="113" t="e">
        <f t="shared" si="20"/>
        <v>#VALUE!</v>
      </c>
      <c r="T664" s="113">
        <f t="shared" si="21"/>
        <v>0</v>
      </c>
    </row>
    <row r="665" spans="1:20" s="109" customFormat="1" x14ac:dyDescent="0.2">
      <c r="A665" s="116"/>
      <c r="B665" s="111"/>
      <c r="C665" s="110" t="s">
        <v>2814</v>
      </c>
      <c r="D665" s="110" t="s">
        <v>2815</v>
      </c>
      <c r="E665" s="112" t="s">
        <v>2816</v>
      </c>
      <c r="F665" s="111" t="s">
        <v>126</v>
      </c>
      <c r="G665" s="133">
        <v>50</v>
      </c>
      <c r="H665" s="124"/>
      <c r="I665" s="133" t="str">
        <f>IF(H665&gt;0,(#REF!*H665),"-")</f>
        <v>-</v>
      </c>
      <c r="J665" s="113">
        <v>460</v>
      </c>
      <c r="K665" s="110" t="s">
        <v>127</v>
      </c>
      <c r="L665" s="110" t="s">
        <v>148</v>
      </c>
      <c r="M665" s="110" t="s">
        <v>129</v>
      </c>
      <c r="N665" s="110" t="s">
        <v>130</v>
      </c>
      <c r="O665" s="110" t="s">
        <v>2817</v>
      </c>
      <c r="P665" s="110" t="s">
        <v>132</v>
      </c>
      <c r="Q665" s="110" t="s">
        <v>96</v>
      </c>
      <c r="R665" s="121">
        <v>0.184</v>
      </c>
      <c r="S665" s="113" t="e">
        <f t="shared" si="20"/>
        <v>#VALUE!</v>
      </c>
      <c r="T665" s="113">
        <f t="shared" si="21"/>
        <v>0</v>
      </c>
    </row>
    <row r="666" spans="1:20" s="109" customFormat="1" x14ac:dyDescent="0.2">
      <c r="A666" s="116"/>
      <c r="B666" s="111"/>
      <c r="C666" s="110" t="s">
        <v>2818</v>
      </c>
      <c r="D666" s="110" t="s">
        <v>2819</v>
      </c>
      <c r="E666" s="112" t="s">
        <v>2820</v>
      </c>
      <c r="F666" s="111" t="s">
        <v>126</v>
      </c>
      <c r="G666" s="133">
        <v>56</v>
      </c>
      <c r="H666" s="124"/>
      <c r="I666" s="133" t="str">
        <f>IF(H666&gt;0,(#REF!*H666),"-")</f>
        <v>-</v>
      </c>
      <c r="J666" s="113">
        <v>724</v>
      </c>
      <c r="K666" s="110" t="s">
        <v>127</v>
      </c>
      <c r="L666" s="110" t="s">
        <v>148</v>
      </c>
      <c r="M666" s="110" t="s">
        <v>129</v>
      </c>
      <c r="N666" s="110" t="s">
        <v>130</v>
      </c>
      <c r="O666" s="110" t="s">
        <v>2821</v>
      </c>
      <c r="P666" s="110" t="s">
        <v>132</v>
      </c>
      <c r="Q666" s="110" t="s">
        <v>96</v>
      </c>
      <c r="R666" s="121">
        <v>0.30399999999999999</v>
      </c>
      <c r="S666" s="113" t="e">
        <f t="shared" si="20"/>
        <v>#VALUE!</v>
      </c>
      <c r="T666" s="113">
        <f t="shared" si="21"/>
        <v>0</v>
      </c>
    </row>
    <row r="667" spans="1:20" s="109" customFormat="1" x14ac:dyDescent="0.2">
      <c r="A667" s="116"/>
      <c r="B667" s="111"/>
      <c r="C667" s="110" t="s">
        <v>2822</v>
      </c>
      <c r="D667" s="110" t="s">
        <v>2823</v>
      </c>
      <c r="E667" s="112" t="s">
        <v>2824</v>
      </c>
      <c r="F667" s="111" t="s">
        <v>126</v>
      </c>
      <c r="G667" s="133">
        <v>56</v>
      </c>
      <c r="H667" s="124"/>
      <c r="I667" s="133" t="str">
        <f>IF(H667&gt;0,(#REF!*H667),"-")</f>
        <v>-</v>
      </c>
      <c r="J667" s="113">
        <v>647</v>
      </c>
      <c r="K667" s="110" t="s">
        <v>127</v>
      </c>
      <c r="L667" s="110" t="s">
        <v>148</v>
      </c>
      <c r="M667" s="110" t="s">
        <v>129</v>
      </c>
      <c r="N667" s="110" t="s">
        <v>130</v>
      </c>
      <c r="O667" s="110" t="s">
        <v>2825</v>
      </c>
      <c r="P667" s="110" t="s">
        <v>132</v>
      </c>
      <c r="Q667" s="110" t="s">
        <v>96</v>
      </c>
      <c r="R667" s="121">
        <v>0.26700000000000002</v>
      </c>
      <c r="S667" s="113" t="e">
        <f t="shared" si="20"/>
        <v>#VALUE!</v>
      </c>
      <c r="T667" s="113">
        <f t="shared" si="21"/>
        <v>0</v>
      </c>
    </row>
    <row r="668" spans="1:20" s="109" customFormat="1" x14ac:dyDescent="0.2">
      <c r="A668" s="116"/>
      <c r="B668" s="111"/>
      <c r="C668" s="110" t="s">
        <v>2826</v>
      </c>
      <c r="D668" s="110" t="s">
        <v>2827</v>
      </c>
      <c r="E668" s="112" t="s">
        <v>2828</v>
      </c>
      <c r="F668" s="111" t="s">
        <v>126</v>
      </c>
      <c r="G668" s="133">
        <v>80</v>
      </c>
      <c r="H668" s="124"/>
      <c r="I668" s="133" t="str">
        <f>IF(H668&gt;0,(#REF!*H668),"-")</f>
        <v>-</v>
      </c>
      <c r="J668" s="113">
        <v>734</v>
      </c>
      <c r="K668" s="110" t="s">
        <v>127</v>
      </c>
      <c r="L668" s="110" t="s">
        <v>148</v>
      </c>
      <c r="M668" s="110" t="s">
        <v>129</v>
      </c>
      <c r="N668" s="110" t="s">
        <v>130</v>
      </c>
      <c r="O668" s="110" t="s">
        <v>2829</v>
      </c>
      <c r="P668" s="110" t="s">
        <v>132</v>
      </c>
      <c r="Q668" s="110" t="s">
        <v>97</v>
      </c>
      <c r="R668" s="121">
        <v>0.51300000000000001</v>
      </c>
      <c r="S668" s="113" t="e">
        <f t="shared" si="20"/>
        <v>#VALUE!</v>
      </c>
      <c r="T668" s="113">
        <f t="shared" si="21"/>
        <v>0</v>
      </c>
    </row>
    <row r="669" spans="1:20" s="109" customFormat="1" x14ac:dyDescent="0.2">
      <c r="A669" s="116"/>
      <c r="B669" s="111" t="s">
        <v>2373</v>
      </c>
      <c r="C669" s="110" t="s">
        <v>2830</v>
      </c>
      <c r="D669" s="110" t="s">
        <v>2831</v>
      </c>
      <c r="E669" s="112" t="s">
        <v>2832</v>
      </c>
      <c r="F669" s="111" t="s">
        <v>130</v>
      </c>
      <c r="G669" s="133">
        <v>56</v>
      </c>
      <c r="H669" s="124"/>
      <c r="I669" s="133" t="str">
        <f>IF(H669&gt;0,(#REF!*H669),"-")</f>
        <v>-</v>
      </c>
      <c r="J669" s="113">
        <v>569</v>
      </c>
      <c r="K669" s="110" t="s">
        <v>127</v>
      </c>
      <c r="L669" s="110" t="s">
        <v>148</v>
      </c>
      <c r="M669" s="110" t="s">
        <v>129</v>
      </c>
      <c r="N669" s="110" t="s">
        <v>130</v>
      </c>
      <c r="O669" s="110" t="s">
        <v>2833</v>
      </c>
      <c r="P669" s="110" t="s">
        <v>132</v>
      </c>
      <c r="Q669" s="110" t="s">
        <v>96</v>
      </c>
      <c r="R669" s="121">
        <v>0.23799999999999999</v>
      </c>
      <c r="S669" s="113" t="e">
        <f t="shared" si="20"/>
        <v>#VALUE!</v>
      </c>
      <c r="T669" s="113">
        <f t="shared" si="21"/>
        <v>0</v>
      </c>
    </row>
    <row r="670" spans="1:20" s="109" customFormat="1" x14ac:dyDescent="0.2">
      <c r="A670" s="116"/>
      <c r="B670" s="111"/>
      <c r="C670" s="110" t="s">
        <v>2834</v>
      </c>
      <c r="D670" s="110" t="s">
        <v>2835</v>
      </c>
      <c r="E670" s="112" t="s">
        <v>2836</v>
      </c>
      <c r="F670" s="111" t="s">
        <v>126</v>
      </c>
      <c r="G670" s="133">
        <v>43</v>
      </c>
      <c r="H670" s="124"/>
      <c r="I670" s="133" t="str">
        <f>IF(H670&gt;0,(#REF!*H670),"-")</f>
        <v>-</v>
      </c>
      <c r="J670" s="113">
        <v>360</v>
      </c>
      <c r="K670" s="110" t="s">
        <v>127</v>
      </c>
      <c r="L670" s="110" t="s">
        <v>148</v>
      </c>
      <c r="M670" s="110" t="s">
        <v>129</v>
      </c>
      <c r="N670" s="110" t="s">
        <v>130</v>
      </c>
      <c r="O670" s="110" t="s">
        <v>2837</v>
      </c>
      <c r="P670" s="110" t="s">
        <v>132</v>
      </c>
      <c r="Q670" s="110" t="s">
        <v>96</v>
      </c>
      <c r="R670" s="121">
        <v>0.16</v>
      </c>
      <c r="S670" s="113" t="e">
        <f t="shared" si="20"/>
        <v>#VALUE!</v>
      </c>
      <c r="T670" s="113">
        <f t="shared" si="21"/>
        <v>0</v>
      </c>
    </row>
    <row r="671" spans="1:20" s="109" customFormat="1" x14ac:dyDescent="0.2">
      <c r="A671" s="116"/>
      <c r="B671" s="111"/>
      <c r="C671" s="110" t="s">
        <v>2838</v>
      </c>
      <c r="D671" s="110" t="s">
        <v>2839</v>
      </c>
      <c r="E671" s="112" t="s">
        <v>2840</v>
      </c>
      <c r="F671" s="111" t="s">
        <v>126</v>
      </c>
      <c r="G671" s="133">
        <v>124</v>
      </c>
      <c r="H671" s="124"/>
      <c r="I671" s="133" t="str">
        <f>IF(H671&gt;0,(#REF!*H671),"-")</f>
        <v>-</v>
      </c>
      <c r="J671" s="113">
        <v>1522</v>
      </c>
      <c r="K671" s="110" t="s">
        <v>127</v>
      </c>
      <c r="L671" s="110" t="s">
        <v>148</v>
      </c>
      <c r="M671" s="110" t="s">
        <v>129</v>
      </c>
      <c r="N671" s="110" t="s">
        <v>130</v>
      </c>
      <c r="O671" s="110" t="s">
        <v>2841</v>
      </c>
      <c r="P671" s="110" t="s">
        <v>132</v>
      </c>
      <c r="Q671" s="110" t="s">
        <v>97</v>
      </c>
      <c r="R671" s="121">
        <v>1.026</v>
      </c>
      <c r="S671" s="113" t="e">
        <f t="shared" si="20"/>
        <v>#VALUE!</v>
      </c>
      <c r="T671" s="113">
        <f t="shared" si="21"/>
        <v>0</v>
      </c>
    </row>
    <row r="672" spans="1:20" s="109" customFormat="1" x14ac:dyDescent="0.2">
      <c r="A672" s="116"/>
      <c r="B672" s="111"/>
      <c r="C672" s="110" t="s">
        <v>2842</v>
      </c>
      <c r="D672" s="110" t="s">
        <v>2843</v>
      </c>
      <c r="E672" s="112" t="s">
        <v>2844</v>
      </c>
      <c r="F672" s="111" t="s">
        <v>126</v>
      </c>
      <c r="G672" s="133">
        <v>75</v>
      </c>
      <c r="H672" s="124"/>
      <c r="I672" s="133" t="str">
        <f>IF(H672&gt;0,(#REF!*H672),"-")</f>
        <v>-</v>
      </c>
      <c r="J672" s="113">
        <v>141</v>
      </c>
      <c r="K672" s="110" t="s">
        <v>127</v>
      </c>
      <c r="L672" s="110" t="s">
        <v>148</v>
      </c>
      <c r="M672" s="110" t="s">
        <v>129</v>
      </c>
      <c r="N672" s="110" t="s">
        <v>130</v>
      </c>
      <c r="O672" s="110" t="s">
        <v>2845</v>
      </c>
      <c r="P672" s="110" t="s">
        <v>153</v>
      </c>
      <c r="Q672" s="110" t="s">
        <v>96</v>
      </c>
      <c r="R672" s="121">
        <v>6.5000000000000002E-2</v>
      </c>
      <c r="S672" s="113" t="e">
        <f t="shared" si="20"/>
        <v>#VALUE!</v>
      </c>
      <c r="T672" s="113">
        <f t="shared" si="21"/>
        <v>0</v>
      </c>
    </row>
    <row r="673" spans="1:20" s="109" customFormat="1" x14ac:dyDescent="0.2">
      <c r="A673" s="116"/>
      <c r="B673" s="111"/>
      <c r="C673" s="110" t="s">
        <v>2846</v>
      </c>
      <c r="D673" s="110" t="s">
        <v>2847</v>
      </c>
      <c r="E673" s="112" t="s">
        <v>2848</v>
      </c>
      <c r="F673" s="111" t="s">
        <v>126</v>
      </c>
      <c r="G673" s="133">
        <v>95</v>
      </c>
      <c r="H673" s="124"/>
      <c r="I673" s="133" t="str">
        <f>IF(H673&gt;0,(#REF!*H673),"-")</f>
        <v>-</v>
      </c>
      <c r="J673" s="113">
        <v>1242</v>
      </c>
      <c r="K673" s="110" t="s">
        <v>127</v>
      </c>
      <c r="L673" s="110" t="s">
        <v>148</v>
      </c>
      <c r="M673" s="110" t="s">
        <v>129</v>
      </c>
      <c r="N673" s="110" t="s">
        <v>130</v>
      </c>
      <c r="O673" s="110" t="s">
        <v>2849</v>
      </c>
      <c r="P673" s="110" t="s">
        <v>132</v>
      </c>
      <c r="Q673" s="110" t="s">
        <v>96</v>
      </c>
      <c r="R673" s="121">
        <v>0.54800000000000004</v>
      </c>
      <c r="S673" s="113" t="e">
        <f t="shared" si="20"/>
        <v>#VALUE!</v>
      </c>
      <c r="T673" s="113">
        <f t="shared" si="21"/>
        <v>0</v>
      </c>
    </row>
    <row r="674" spans="1:20" s="109" customFormat="1" x14ac:dyDescent="0.2">
      <c r="A674" s="116"/>
      <c r="B674" s="111"/>
      <c r="C674" s="110" t="s">
        <v>2850</v>
      </c>
      <c r="D674" s="110" t="s">
        <v>2851</v>
      </c>
      <c r="E674" s="112" t="s">
        <v>2852</v>
      </c>
      <c r="F674" s="111" t="s">
        <v>126</v>
      </c>
      <c r="G674" s="133">
        <v>95</v>
      </c>
      <c r="H674" s="124"/>
      <c r="I674" s="133" t="str">
        <f>IF(H674&gt;0,(#REF!*H674),"-")</f>
        <v>-</v>
      </c>
      <c r="J674" s="113">
        <v>1261</v>
      </c>
      <c r="K674" s="110" t="s">
        <v>127</v>
      </c>
      <c r="L674" s="110" t="s">
        <v>148</v>
      </c>
      <c r="M674" s="110" t="s">
        <v>129</v>
      </c>
      <c r="N674" s="110" t="s">
        <v>130</v>
      </c>
      <c r="O674" s="110" t="s">
        <v>2853</v>
      </c>
      <c r="P674" s="110" t="s">
        <v>132</v>
      </c>
      <c r="Q674" s="110" t="s">
        <v>96</v>
      </c>
      <c r="R674" s="121">
        <v>0.54900000000000004</v>
      </c>
      <c r="S674" s="113" t="e">
        <f t="shared" si="20"/>
        <v>#VALUE!</v>
      </c>
      <c r="T674" s="113">
        <f t="shared" si="21"/>
        <v>0</v>
      </c>
    </row>
    <row r="675" spans="1:20" s="109" customFormat="1" x14ac:dyDescent="0.2">
      <c r="A675" s="116"/>
      <c r="B675" s="111"/>
      <c r="C675" s="110" t="s">
        <v>2854</v>
      </c>
      <c r="D675" s="110" t="s">
        <v>2855</v>
      </c>
      <c r="E675" s="112" t="s">
        <v>2856</v>
      </c>
      <c r="F675" s="111" t="s">
        <v>126</v>
      </c>
      <c r="G675" s="133">
        <v>50</v>
      </c>
      <c r="H675" s="124"/>
      <c r="I675" s="133" t="str">
        <f>IF(H675&gt;0,(#REF!*H675),"-")</f>
        <v>-</v>
      </c>
      <c r="J675" s="113">
        <v>552</v>
      </c>
      <c r="K675" s="110" t="s">
        <v>127</v>
      </c>
      <c r="L675" s="110" t="s">
        <v>148</v>
      </c>
      <c r="M675" s="110" t="s">
        <v>129</v>
      </c>
      <c r="N675" s="110" t="s">
        <v>130</v>
      </c>
      <c r="O675" s="110" t="s">
        <v>2857</v>
      </c>
      <c r="P675" s="110" t="s">
        <v>132</v>
      </c>
      <c r="Q675" s="110" t="s">
        <v>96</v>
      </c>
      <c r="R675" s="121">
        <v>0.23599999999999999</v>
      </c>
      <c r="S675" s="113" t="e">
        <f t="shared" si="20"/>
        <v>#VALUE!</v>
      </c>
      <c r="T675" s="113">
        <f t="shared" si="21"/>
        <v>0</v>
      </c>
    </row>
    <row r="676" spans="1:20" s="109" customFormat="1" x14ac:dyDescent="0.2">
      <c r="A676" s="116"/>
      <c r="B676" s="111"/>
      <c r="C676" s="110" t="s">
        <v>2858</v>
      </c>
      <c r="D676" s="110" t="s">
        <v>2859</v>
      </c>
      <c r="E676" s="112" t="s">
        <v>2860</v>
      </c>
      <c r="F676" s="111" t="s">
        <v>126</v>
      </c>
      <c r="G676" s="133">
        <v>56</v>
      </c>
      <c r="H676" s="124"/>
      <c r="I676" s="133" t="str">
        <f>IF(H676&gt;0,(#REF!*H676),"-")</f>
        <v>-</v>
      </c>
      <c r="J676" s="113">
        <v>721</v>
      </c>
      <c r="K676" s="110" t="s">
        <v>127</v>
      </c>
      <c r="L676" s="110" t="s">
        <v>148</v>
      </c>
      <c r="M676" s="110" t="s">
        <v>129</v>
      </c>
      <c r="N676" s="110" t="s">
        <v>130</v>
      </c>
      <c r="O676" s="110" t="s">
        <v>2861</v>
      </c>
      <c r="P676" s="110" t="s">
        <v>132</v>
      </c>
      <c r="Q676" s="110" t="s">
        <v>96</v>
      </c>
      <c r="R676" s="121">
        <v>0.29580000000000001</v>
      </c>
      <c r="S676" s="113" t="e">
        <f t="shared" si="20"/>
        <v>#VALUE!</v>
      </c>
      <c r="T676" s="113">
        <f t="shared" si="21"/>
        <v>0</v>
      </c>
    </row>
    <row r="677" spans="1:20" s="109" customFormat="1" x14ac:dyDescent="0.2">
      <c r="A677" s="116"/>
      <c r="B677" s="111" t="s">
        <v>2373</v>
      </c>
      <c r="C677" s="110" t="s">
        <v>2862</v>
      </c>
      <c r="D677" s="110" t="s">
        <v>2863</v>
      </c>
      <c r="E677" s="112" t="s">
        <v>2864</v>
      </c>
      <c r="F677" s="111" t="s">
        <v>130</v>
      </c>
      <c r="G677" s="133">
        <v>56</v>
      </c>
      <c r="H677" s="124"/>
      <c r="I677" s="133" t="str">
        <f>IF(H677&gt;0,(#REF!*H677),"-")</f>
        <v>-</v>
      </c>
      <c r="J677" s="113">
        <v>776</v>
      </c>
      <c r="K677" s="110" t="s">
        <v>127</v>
      </c>
      <c r="L677" s="110" t="s">
        <v>148</v>
      </c>
      <c r="M677" s="110" t="s">
        <v>129</v>
      </c>
      <c r="N677" s="110" t="s">
        <v>130</v>
      </c>
      <c r="O677" s="110" t="s">
        <v>2865</v>
      </c>
      <c r="P677" s="110" t="s">
        <v>132</v>
      </c>
      <c r="Q677" s="110" t="s">
        <v>96</v>
      </c>
      <c r="R677" s="121">
        <v>0.33700000000000002</v>
      </c>
      <c r="S677" s="113" t="e">
        <f t="shared" si="20"/>
        <v>#VALUE!</v>
      </c>
      <c r="T677" s="113">
        <f t="shared" si="21"/>
        <v>0</v>
      </c>
    </row>
    <row r="678" spans="1:20" s="109" customFormat="1" x14ac:dyDescent="0.2">
      <c r="A678" s="116"/>
      <c r="B678" s="111"/>
      <c r="C678" s="110" t="s">
        <v>2866</v>
      </c>
      <c r="D678" s="110" t="s">
        <v>2867</v>
      </c>
      <c r="E678" s="112" t="s">
        <v>2868</v>
      </c>
      <c r="F678" s="111" t="s">
        <v>126</v>
      </c>
      <c r="G678" s="133">
        <v>56</v>
      </c>
      <c r="H678" s="124"/>
      <c r="I678" s="133" t="str">
        <f>IF(H678&gt;0,(#REF!*H678),"-")</f>
        <v>-</v>
      </c>
      <c r="J678" s="113">
        <v>595</v>
      </c>
      <c r="K678" s="110" t="s">
        <v>127</v>
      </c>
      <c r="L678" s="110" t="s">
        <v>148</v>
      </c>
      <c r="M678" s="110" t="s">
        <v>129</v>
      </c>
      <c r="N678" s="110" t="s">
        <v>130</v>
      </c>
      <c r="O678" s="110" t="s">
        <v>2869</v>
      </c>
      <c r="P678" s="110" t="s">
        <v>132</v>
      </c>
      <c r="Q678" s="110" t="s">
        <v>96</v>
      </c>
      <c r="R678" s="121">
        <v>0.25700000000000001</v>
      </c>
      <c r="S678" s="113" t="e">
        <f t="shared" si="20"/>
        <v>#VALUE!</v>
      </c>
      <c r="T678" s="113">
        <f t="shared" si="21"/>
        <v>0</v>
      </c>
    </row>
    <row r="679" spans="1:20" s="109" customFormat="1" x14ac:dyDescent="0.2">
      <c r="A679" s="116"/>
      <c r="B679" s="111"/>
      <c r="C679" s="110" t="s">
        <v>2870</v>
      </c>
      <c r="D679" s="110" t="s">
        <v>2871</v>
      </c>
      <c r="E679" s="112" t="s">
        <v>2872</v>
      </c>
      <c r="F679" s="111" t="s">
        <v>126</v>
      </c>
      <c r="G679" s="133">
        <v>95</v>
      </c>
      <c r="H679" s="124"/>
      <c r="I679" s="133" t="str">
        <f>IF(H679&gt;0,(#REF!*H679),"-")</f>
        <v>-</v>
      </c>
      <c r="J679" s="113">
        <v>1328</v>
      </c>
      <c r="K679" s="110" t="s">
        <v>127</v>
      </c>
      <c r="L679" s="110" t="s">
        <v>148</v>
      </c>
      <c r="M679" s="110" t="s">
        <v>129</v>
      </c>
      <c r="N679" s="110" t="s">
        <v>130</v>
      </c>
      <c r="O679" s="110" t="s">
        <v>2873</v>
      </c>
      <c r="P679" s="110" t="s">
        <v>132</v>
      </c>
      <c r="Q679" s="110" t="s">
        <v>96</v>
      </c>
      <c r="R679" s="121">
        <v>0.58479999999999999</v>
      </c>
      <c r="S679" s="113" t="e">
        <f t="shared" si="20"/>
        <v>#VALUE!</v>
      </c>
      <c r="T679" s="113">
        <f t="shared" si="21"/>
        <v>0</v>
      </c>
    </row>
    <row r="680" spans="1:20" s="109" customFormat="1" x14ac:dyDescent="0.2">
      <c r="A680" s="116"/>
      <c r="B680" s="111"/>
      <c r="C680" s="110" t="s">
        <v>2874</v>
      </c>
      <c r="D680" s="110" t="s">
        <v>2875</v>
      </c>
      <c r="E680" s="112" t="s">
        <v>2876</v>
      </c>
      <c r="F680" s="111" t="s">
        <v>126</v>
      </c>
      <c r="G680" s="133">
        <v>56</v>
      </c>
      <c r="H680" s="124"/>
      <c r="I680" s="133" t="str">
        <f>IF(H680&gt;0,(#REF!*H680),"-")</f>
        <v>-</v>
      </c>
      <c r="J680" s="113">
        <v>880</v>
      </c>
      <c r="K680" s="110" t="s">
        <v>127</v>
      </c>
      <c r="L680" s="110" t="s">
        <v>148</v>
      </c>
      <c r="M680" s="110" t="s">
        <v>129</v>
      </c>
      <c r="N680" s="110" t="s">
        <v>130</v>
      </c>
      <c r="O680" s="110" t="s">
        <v>2877</v>
      </c>
      <c r="P680" s="110" t="s">
        <v>132</v>
      </c>
      <c r="Q680" s="110" t="s">
        <v>96</v>
      </c>
      <c r="R680" s="121">
        <v>0.38200000000000001</v>
      </c>
      <c r="S680" s="113" t="e">
        <f t="shared" si="20"/>
        <v>#VALUE!</v>
      </c>
      <c r="T680" s="113">
        <f t="shared" si="21"/>
        <v>0</v>
      </c>
    </row>
    <row r="681" spans="1:20" s="109" customFormat="1" x14ac:dyDescent="0.2">
      <c r="A681" s="116"/>
      <c r="B681" s="111"/>
      <c r="C681" s="110" t="s">
        <v>2878</v>
      </c>
      <c r="D681" s="110" t="s">
        <v>2879</v>
      </c>
      <c r="E681" s="112" t="s">
        <v>2880</v>
      </c>
      <c r="F681" s="111" t="s">
        <v>126</v>
      </c>
      <c r="G681" s="133">
        <v>75</v>
      </c>
      <c r="H681" s="124"/>
      <c r="I681" s="133" t="str">
        <f>IF(H681&gt;0,(#REF!*H681),"-")</f>
        <v>-</v>
      </c>
      <c r="J681" s="113">
        <v>178</v>
      </c>
      <c r="K681" s="110" t="s">
        <v>127</v>
      </c>
      <c r="L681" s="110" t="s">
        <v>148</v>
      </c>
      <c r="M681" s="110" t="s">
        <v>129</v>
      </c>
      <c r="N681" s="110" t="s">
        <v>130</v>
      </c>
      <c r="O681" s="110" t="s">
        <v>2881</v>
      </c>
      <c r="P681" s="110" t="s">
        <v>153</v>
      </c>
      <c r="Q681" s="110" t="s">
        <v>96</v>
      </c>
      <c r="R681" s="121">
        <v>8.6099999999999996E-2</v>
      </c>
      <c r="S681" s="113" t="e">
        <f t="shared" si="20"/>
        <v>#VALUE!</v>
      </c>
      <c r="T681" s="113">
        <f t="shared" si="21"/>
        <v>0</v>
      </c>
    </row>
    <row r="682" spans="1:20" s="109" customFormat="1" x14ac:dyDescent="0.2">
      <c r="A682" s="116"/>
      <c r="B682" s="111"/>
      <c r="C682" s="110" t="s">
        <v>2882</v>
      </c>
      <c r="D682" s="110" t="s">
        <v>2883</v>
      </c>
      <c r="E682" s="112" t="s">
        <v>2884</v>
      </c>
      <c r="F682" s="111" t="s">
        <v>126</v>
      </c>
      <c r="G682" s="133">
        <v>95</v>
      </c>
      <c r="H682" s="124"/>
      <c r="I682" s="133" t="str">
        <f>IF(H682&gt;0,(#REF!*H682),"-")</f>
        <v>-</v>
      </c>
      <c r="J682" s="113">
        <v>1361</v>
      </c>
      <c r="K682" s="110" t="s">
        <v>127</v>
      </c>
      <c r="L682" s="110" t="s">
        <v>148</v>
      </c>
      <c r="M682" s="110" t="s">
        <v>129</v>
      </c>
      <c r="N682" s="110" t="s">
        <v>130</v>
      </c>
      <c r="O682" s="110" t="s">
        <v>2885</v>
      </c>
      <c r="P682" s="110" t="s">
        <v>132</v>
      </c>
      <c r="Q682" s="110" t="s">
        <v>96</v>
      </c>
      <c r="R682" s="121">
        <v>0.57999999999999996</v>
      </c>
      <c r="S682" s="113" t="e">
        <f t="shared" si="20"/>
        <v>#VALUE!</v>
      </c>
      <c r="T682" s="113">
        <f t="shared" si="21"/>
        <v>0</v>
      </c>
    </row>
    <row r="683" spans="1:20" s="109" customFormat="1" x14ac:dyDescent="0.2">
      <c r="A683" s="116"/>
      <c r="B683" s="111"/>
      <c r="C683" s="110" t="s">
        <v>2886</v>
      </c>
      <c r="D683" s="110" t="s">
        <v>2887</v>
      </c>
      <c r="E683" s="112" t="s">
        <v>2888</v>
      </c>
      <c r="F683" s="111" t="s">
        <v>126</v>
      </c>
      <c r="G683" s="133">
        <v>124</v>
      </c>
      <c r="H683" s="124"/>
      <c r="I683" s="133" t="str">
        <f>IF(H683&gt;0,(#REF!*H683),"-")</f>
        <v>-</v>
      </c>
      <c r="J683" s="113">
        <v>1500</v>
      </c>
      <c r="K683" s="110" t="s">
        <v>127</v>
      </c>
      <c r="L683" s="110" t="s">
        <v>148</v>
      </c>
      <c r="M683" s="110" t="s">
        <v>129</v>
      </c>
      <c r="N683" s="110" t="s">
        <v>130</v>
      </c>
      <c r="O683" s="110" t="s">
        <v>2889</v>
      </c>
      <c r="P683" s="110" t="s">
        <v>132</v>
      </c>
      <c r="Q683" s="110" t="s">
        <v>97</v>
      </c>
      <c r="R683" s="121">
        <v>1.06</v>
      </c>
      <c r="S683" s="113" t="e">
        <f t="shared" si="20"/>
        <v>#VALUE!</v>
      </c>
      <c r="T683" s="113">
        <f t="shared" si="21"/>
        <v>0</v>
      </c>
    </row>
    <row r="684" spans="1:20" s="109" customFormat="1" x14ac:dyDescent="0.2">
      <c r="A684" s="116"/>
      <c r="B684" s="111"/>
      <c r="C684" s="110" t="s">
        <v>2890</v>
      </c>
      <c r="D684" s="110" t="s">
        <v>2891</v>
      </c>
      <c r="E684" s="112" t="s">
        <v>2892</v>
      </c>
      <c r="F684" s="111" t="s">
        <v>126</v>
      </c>
      <c r="G684" s="133">
        <v>75</v>
      </c>
      <c r="H684" s="124"/>
      <c r="I684" s="133" t="str">
        <f>IF(H684&gt;0,(#REF!*H684),"-")</f>
        <v>-</v>
      </c>
      <c r="J684" s="113">
        <v>123</v>
      </c>
      <c r="K684" s="110" t="s">
        <v>127</v>
      </c>
      <c r="L684" s="110" t="s">
        <v>148</v>
      </c>
      <c r="M684" s="110" t="s">
        <v>129</v>
      </c>
      <c r="N684" s="110" t="s">
        <v>130</v>
      </c>
      <c r="O684" s="110" t="s">
        <v>2893</v>
      </c>
      <c r="P684" s="110" t="s">
        <v>153</v>
      </c>
      <c r="Q684" s="110" t="s">
        <v>96</v>
      </c>
      <c r="R684" s="121">
        <v>6.59E-2</v>
      </c>
      <c r="S684" s="113" t="e">
        <f t="shared" si="20"/>
        <v>#VALUE!</v>
      </c>
      <c r="T684" s="113">
        <f t="shared" si="21"/>
        <v>0</v>
      </c>
    </row>
    <row r="685" spans="1:20" s="109" customFormat="1" x14ac:dyDescent="0.2">
      <c r="A685" s="116"/>
      <c r="B685" s="111"/>
      <c r="C685" s="110" t="s">
        <v>2894</v>
      </c>
      <c r="D685" s="110" t="s">
        <v>2895</v>
      </c>
      <c r="E685" s="112" t="s">
        <v>2896</v>
      </c>
      <c r="F685" s="111" t="s">
        <v>126</v>
      </c>
      <c r="G685" s="133">
        <v>80</v>
      </c>
      <c r="H685" s="124"/>
      <c r="I685" s="133" t="str">
        <f>IF(H685&gt;0,(#REF!*H685),"-")</f>
        <v>-</v>
      </c>
      <c r="J685" s="113">
        <v>2058</v>
      </c>
      <c r="K685" s="110" t="s">
        <v>127</v>
      </c>
      <c r="L685" s="110" t="s">
        <v>148</v>
      </c>
      <c r="M685" s="110" t="s">
        <v>129</v>
      </c>
      <c r="N685" s="110" t="s">
        <v>130</v>
      </c>
      <c r="O685" s="110" t="s">
        <v>2897</v>
      </c>
      <c r="P685" s="110" t="s">
        <v>132</v>
      </c>
      <c r="Q685" s="110" t="s">
        <v>97</v>
      </c>
      <c r="R685" s="121">
        <v>0.46600000000000003</v>
      </c>
      <c r="S685" s="113" t="e">
        <f t="shared" si="20"/>
        <v>#VALUE!</v>
      </c>
      <c r="T685" s="113">
        <f t="shared" si="21"/>
        <v>0</v>
      </c>
    </row>
    <row r="686" spans="1:20" s="109" customFormat="1" x14ac:dyDescent="0.2">
      <c r="A686" s="116"/>
      <c r="B686" s="111"/>
      <c r="C686" s="110" t="s">
        <v>2898</v>
      </c>
      <c r="D686" s="110" t="s">
        <v>2899</v>
      </c>
      <c r="E686" s="112" t="s">
        <v>2900</v>
      </c>
      <c r="F686" s="111" t="s">
        <v>126</v>
      </c>
      <c r="G686" s="133">
        <v>112</v>
      </c>
      <c r="H686" s="124"/>
      <c r="I686" s="133" t="str">
        <f>IF(H686&gt;0,(#REF!*H686),"-")</f>
        <v>-</v>
      </c>
      <c r="J686" s="113">
        <v>2705</v>
      </c>
      <c r="K686" s="110" t="s">
        <v>127</v>
      </c>
      <c r="L686" s="110" t="s">
        <v>148</v>
      </c>
      <c r="M686" s="110" t="s">
        <v>129</v>
      </c>
      <c r="N686" s="110" t="s">
        <v>130</v>
      </c>
      <c r="O686" s="110" t="s">
        <v>2901</v>
      </c>
      <c r="P686" s="110" t="s">
        <v>132</v>
      </c>
      <c r="Q686" s="110" t="s">
        <v>97</v>
      </c>
      <c r="R686" s="121">
        <v>1.3934</v>
      </c>
      <c r="S686" s="113" t="e">
        <f t="shared" si="20"/>
        <v>#VALUE!</v>
      </c>
      <c r="T686" s="113">
        <f t="shared" si="21"/>
        <v>0</v>
      </c>
    </row>
    <row r="687" spans="1:20" s="109" customFormat="1" x14ac:dyDescent="0.2">
      <c r="A687" s="116"/>
      <c r="B687" s="111"/>
      <c r="C687" s="110" t="s">
        <v>2902</v>
      </c>
      <c r="D687" s="110" t="s">
        <v>2903</v>
      </c>
      <c r="E687" s="112" t="s">
        <v>2904</v>
      </c>
      <c r="F687" s="111" t="s">
        <v>126</v>
      </c>
      <c r="G687" s="133">
        <v>50</v>
      </c>
      <c r="H687" s="124"/>
      <c r="I687" s="133" t="str">
        <f>IF(H687&gt;0,(#REF!*H687),"-")</f>
        <v>-</v>
      </c>
      <c r="J687" s="113">
        <v>571</v>
      </c>
      <c r="K687" s="110" t="s">
        <v>127</v>
      </c>
      <c r="L687" s="110" t="s">
        <v>148</v>
      </c>
      <c r="M687" s="110" t="s">
        <v>129</v>
      </c>
      <c r="N687" s="110" t="s">
        <v>130</v>
      </c>
      <c r="O687" s="110" t="s">
        <v>2905</v>
      </c>
      <c r="P687" s="110" t="s">
        <v>132</v>
      </c>
      <c r="Q687" s="110" t="s">
        <v>96</v>
      </c>
      <c r="R687" s="121">
        <v>0.23899999999999999</v>
      </c>
      <c r="S687" s="113" t="e">
        <f t="shared" si="20"/>
        <v>#VALUE!</v>
      </c>
      <c r="T687" s="113">
        <f t="shared" si="21"/>
        <v>0</v>
      </c>
    </row>
    <row r="688" spans="1:20" s="109" customFormat="1" x14ac:dyDescent="0.2">
      <c r="A688" s="116"/>
      <c r="B688" s="111"/>
      <c r="C688" s="110" t="s">
        <v>2906</v>
      </c>
      <c r="D688" s="110" t="s">
        <v>2907</v>
      </c>
      <c r="E688" s="112" t="s">
        <v>2908</v>
      </c>
      <c r="F688" s="111" t="s">
        <v>126</v>
      </c>
      <c r="G688" s="133">
        <v>43</v>
      </c>
      <c r="H688" s="124"/>
      <c r="I688" s="133" t="str">
        <f>IF(H688&gt;0,(#REF!*H688),"-")</f>
        <v>-</v>
      </c>
      <c r="J688" s="113">
        <v>379</v>
      </c>
      <c r="K688" s="110" t="s">
        <v>127</v>
      </c>
      <c r="L688" s="110" t="s">
        <v>148</v>
      </c>
      <c r="M688" s="110" t="s">
        <v>129</v>
      </c>
      <c r="N688" s="110" t="s">
        <v>130</v>
      </c>
      <c r="O688" s="110" t="s">
        <v>2909</v>
      </c>
      <c r="P688" s="110" t="s">
        <v>132</v>
      </c>
      <c r="Q688" s="110" t="s">
        <v>96</v>
      </c>
      <c r="R688" s="121">
        <v>0.16200000000000001</v>
      </c>
      <c r="S688" s="113" t="e">
        <f t="shared" si="20"/>
        <v>#VALUE!</v>
      </c>
      <c r="T688" s="113">
        <f t="shared" si="21"/>
        <v>0</v>
      </c>
    </row>
    <row r="689" spans="1:20" s="109" customFormat="1" x14ac:dyDescent="0.2">
      <c r="A689" s="116"/>
      <c r="B689" s="111"/>
      <c r="C689" s="110" t="s">
        <v>2910</v>
      </c>
      <c r="D689" s="110" t="s">
        <v>2911</v>
      </c>
      <c r="E689" s="112" t="s">
        <v>2912</v>
      </c>
      <c r="F689" s="111" t="s">
        <v>126</v>
      </c>
      <c r="G689" s="133">
        <v>56</v>
      </c>
      <c r="H689" s="124"/>
      <c r="I689" s="133" t="str">
        <f>IF(H689&gt;0,(#REF!*H689),"-")</f>
        <v>-</v>
      </c>
      <c r="J689" s="113">
        <v>647</v>
      </c>
      <c r="K689" s="110" t="s">
        <v>127</v>
      </c>
      <c r="L689" s="110" t="s">
        <v>148</v>
      </c>
      <c r="M689" s="110" t="s">
        <v>129</v>
      </c>
      <c r="N689" s="110" t="s">
        <v>130</v>
      </c>
      <c r="O689" s="110" t="s">
        <v>2913</v>
      </c>
      <c r="P689" s="110" t="s">
        <v>132</v>
      </c>
      <c r="Q689" s="110" t="s">
        <v>96</v>
      </c>
      <c r="R689" s="121">
        <v>0.27600000000000002</v>
      </c>
      <c r="S689" s="113" t="e">
        <f t="shared" si="20"/>
        <v>#VALUE!</v>
      </c>
      <c r="T689" s="113">
        <f t="shared" si="21"/>
        <v>0</v>
      </c>
    </row>
    <row r="690" spans="1:20" s="109" customFormat="1" x14ac:dyDescent="0.2">
      <c r="A690" s="116"/>
      <c r="B690" s="111"/>
      <c r="C690" s="110" t="s">
        <v>2914</v>
      </c>
      <c r="D690" s="110" t="s">
        <v>2915</v>
      </c>
      <c r="E690" s="112" t="s">
        <v>2916</v>
      </c>
      <c r="F690" s="111" t="s">
        <v>126</v>
      </c>
      <c r="G690" s="133">
        <v>56</v>
      </c>
      <c r="H690" s="124"/>
      <c r="I690" s="133" t="str">
        <f>IF(H690&gt;0,(#REF!*H690),"-")</f>
        <v>-</v>
      </c>
      <c r="J690" s="113">
        <v>798</v>
      </c>
      <c r="K690" s="110" t="s">
        <v>127</v>
      </c>
      <c r="L690" s="110" t="s">
        <v>148</v>
      </c>
      <c r="M690" s="110" t="s">
        <v>129</v>
      </c>
      <c r="N690" s="110" t="s">
        <v>130</v>
      </c>
      <c r="O690" s="110" t="s">
        <v>2917</v>
      </c>
      <c r="P690" s="110" t="s">
        <v>132</v>
      </c>
      <c r="Q690" s="110" t="s">
        <v>96</v>
      </c>
      <c r="R690" s="121">
        <v>0.34</v>
      </c>
      <c r="S690" s="113" t="e">
        <f t="shared" si="20"/>
        <v>#VALUE!</v>
      </c>
      <c r="T690" s="113">
        <f t="shared" si="21"/>
        <v>0</v>
      </c>
    </row>
    <row r="691" spans="1:20" s="109" customFormat="1" x14ac:dyDescent="0.2">
      <c r="A691" s="116"/>
      <c r="B691" s="111"/>
      <c r="C691" s="110" t="s">
        <v>2918</v>
      </c>
      <c r="D691" s="110" t="s">
        <v>2919</v>
      </c>
      <c r="E691" s="112" t="s">
        <v>2920</v>
      </c>
      <c r="F691" s="111" t="s">
        <v>126</v>
      </c>
      <c r="G691" s="133">
        <v>50</v>
      </c>
      <c r="H691" s="124"/>
      <c r="I691" s="133" t="str">
        <f>IF(H691&gt;0,(#REF!*H691),"-")</f>
        <v>-</v>
      </c>
      <c r="J691" s="113">
        <v>386</v>
      </c>
      <c r="K691" s="110" t="s">
        <v>127</v>
      </c>
      <c r="L691" s="110" t="s">
        <v>148</v>
      </c>
      <c r="M691" s="110" t="s">
        <v>129</v>
      </c>
      <c r="N691" s="110" t="s">
        <v>130</v>
      </c>
      <c r="O691" s="110" t="s">
        <v>2921</v>
      </c>
      <c r="P691" s="110" t="s">
        <v>132</v>
      </c>
      <c r="Q691" s="110" t="s">
        <v>96</v>
      </c>
      <c r="R691" s="121">
        <v>0.18779999999999999</v>
      </c>
      <c r="S691" s="113" t="e">
        <f t="shared" si="20"/>
        <v>#VALUE!</v>
      </c>
      <c r="T691" s="113">
        <f t="shared" si="21"/>
        <v>0</v>
      </c>
    </row>
    <row r="692" spans="1:20" s="109" customFormat="1" x14ac:dyDescent="0.2">
      <c r="A692" s="116"/>
      <c r="B692" s="111"/>
      <c r="C692" s="110" t="s">
        <v>2922</v>
      </c>
      <c r="D692" s="110" t="s">
        <v>2923</v>
      </c>
      <c r="E692" s="112" t="s">
        <v>2924</v>
      </c>
      <c r="F692" s="111" t="s">
        <v>126</v>
      </c>
      <c r="G692" s="133">
        <v>112</v>
      </c>
      <c r="H692" s="124"/>
      <c r="I692" s="133" t="str">
        <f>IF(H692&gt;0,(#REF!*H692),"-")</f>
        <v>-</v>
      </c>
      <c r="J692" s="113">
        <v>1157</v>
      </c>
      <c r="K692" s="110" t="s">
        <v>127</v>
      </c>
      <c r="L692" s="110" t="s">
        <v>148</v>
      </c>
      <c r="M692" s="110" t="s">
        <v>129</v>
      </c>
      <c r="N692" s="110" t="s">
        <v>130</v>
      </c>
      <c r="O692" s="110" t="s">
        <v>2925</v>
      </c>
      <c r="P692" s="110" t="s">
        <v>132</v>
      </c>
      <c r="Q692" s="110" t="s">
        <v>97</v>
      </c>
      <c r="R692" s="121">
        <v>0.82199999999999995</v>
      </c>
      <c r="S692" s="113" t="e">
        <f t="shared" si="20"/>
        <v>#VALUE!</v>
      </c>
      <c r="T692" s="113">
        <f t="shared" si="21"/>
        <v>0</v>
      </c>
    </row>
    <row r="693" spans="1:20" s="109" customFormat="1" x14ac:dyDescent="0.2">
      <c r="A693" s="116"/>
      <c r="B693" s="111"/>
      <c r="C693" s="110" t="s">
        <v>2926</v>
      </c>
      <c r="D693" s="110" t="s">
        <v>2927</v>
      </c>
      <c r="E693" s="112" t="s">
        <v>2928</v>
      </c>
      <c r="F693" s="111" t="s">
        <v>126</v>
      </c>
      <c r="G693" s="133">
        <v>75</v>
      </c>
      <c r="H693" s="124"/>
      <c r="I693" s="133" t="str">
        <f>IF(H693&gt;0,(#REF!*H693),"-")</f>
        <v>-</v>
      </c>
      <c r="J693" s="113">
        <v>142</v>
      </c>
      <c r="K693" s="110" t="s">
        <v>127</v>
      </c>
      <c r="L693" s="110" t="s">
        <v>148</v>
      </c>
      <c r="M693" s="110" t="s">
        <v>129</v>
      </c>
      <c r="N693" s="110" t="s">
        <v>130</v>
      </c>
      <c r="O693" s="110" t="s">
        <v>2929</v>
      </c>
      <c r="P693" s="110" t="s">
        <v>153</v>
      </c>
      <c r="Q693" s="110" t="s">
        <v>96</v>
      </c>
      <c r="R693" s="121">
        <v>6.6000000000000003E-2</v>
      </c>
      <c r="S693" s="113" t="e">
        <f t="shared" si="20"/>
        <v>#VALUE!</v>
      </c>
      <c r="T693" s="113">
        <f t="shared" si="21"/>
        <v>0</v>
      </c>
    </row>
    <row r="694" spans="1:20" s="109" customFormat="1" x14ac:dyDescent="0.2">
      <c r="A694" s="116"/>
      <c r="B694" s="111"/>
      <c r="C694" s="110" t="s">
        <v>2930</v>
      </c>
      <c r="D694" s="110" t="s">
        <v>2931</v>
      </c>
      <c r="E694" s="112" t="s">
        <v>2932</v>
      </c>
      <c r="F694" s="111" t="s">
        <v>126</v>
      </c>
      <c r="G694" s="133">
        <v>56</v>
      </c>
      <c r="H694" s="124"/>
      <c r="I694" s="133" t="str">
        <f>IF(H694&gt;0,(#REF!*H694),"-")</f>
        <v>-</v>
      </c>
      <c r="J694" s="113">
        <v>905</v>
      </c>
      <c r="K694" s="110" t="s">
        <v>127</v>
      </c>
      <c r="L694" s="110" t="s">
        <v>148</v>
      </c>
      <c r="M694" s="110" t="s">
        <v>129</v>
      </c>
      <c r="N694" s="110" t="s">
        <v>130</v>
      </c>
      <c r="O694" s="110" t="s">
        <v>2933</v>
      </c>
      <c r="P694" s="110" t="s">
        <v>132</v>
      </c>
      <c r="Q694" s="110" t="s">
        <v>96</v>
      </c>
      <c r="R694" s="121">
        <v>0.39100000000000001</v>
      </c>
      <c r="S694" s="113" t="e">
        <f t="shared" si="20"/>
        <v>#VALUE!</v>
      </c>
      <c r="T694" s="113">
        <f t="shared" si="21"/>
        <v>0</v>
      </c>
    </row>
    <row r="695" spans="1:20" s="109" customFormat="1" x14ac:dyDescent="0.2">
      <c r="A695" s="116"/>
      <c r="B695" s="111"/>
      <c r="C695" s="110" t="s">
        <v>2934</v>
      </c>
      <c r="D695" s="110" t="s">
        <v>2935</v>
      </c>
      <c r="E695" s="112" t="s">
        <v>2936</v>
      </c>
      <c r="F695" s="111" t="s">
        <v>126</v>
      </c>
      <c r="G695" s="133">
        <v>75</v>
      </c>
      <c r="H695" s="124"/>
      <c r="I695" s="133" t="str">
        <f>IF(H695&gt;0,(#REF!*H695),"-")</f>
        <v>-</v>
      </c>
      <c r="J695" s="113">
        <v>141</v>
      </c>
      <c r="K695" s="110" t="s">
        <v>127</v>
      </c>
      <c r="L695" s="110" t="s">
        <v>148</v>
      </c>
      <c r="M695" s="110" t="s">
        <v>129</v>
      </c>
      <c r="N695" s="110" t="s">
        <v>130</v>
      </c>
      <c r="O695" s="110" t="s">
        <v>2937</v>
      </c>
      <c r="P695" s="110" t="s">
        <v>153</v>
      </c>
      <c r="Q695" s="110" t="s">
        <v>97</v>
      </c>
      <c r="R695" s="121">
        <v>6.9900000000000004E-2</v>
      </c>
      <c r="S695" s="113" t="e">
        <f t="shared" si="20"/>
        <v>#VALUE!</v>
      </c>
      <c r="T695" s="113">
        <f t="shared" si="21"/>
        <v>0</v>
      </c>
    </row>
    <row r="696" spans="1:20" s="109" customFormat="1" x14ac:dyDescent="0.2">
      <c r="A696" s="116"/>
      <c r="B696" s="111"/>
      <c r="C696" s="110" t="s">
        <v>2938</v>
      </c>
      <c r="D696" s="110" t="s">
        <v>2939</v>
      </c>
      <c r="E696" s="112" t="s">
        <v>2940</v>
      </c>
      <c r="F696" s="111" t="s">
        <v>126</v>
      </c>
      <c r="G696" s="133">
        <v>56</v>
      </c>
      <c r="H696" s="124"/>
      <c r="I696" s="133" t="str">
        <f>IF(H696&gt;0,(#REF!*H696),"-")</f>
        <v>-</v>
      </c>
      <c r="J696" s="113">
        <v>521</v>
      </c>
      <c r="K696" s="110" t="s">
        <v>127</v>
      </c>
      <c r="L696" s="110" t="s">
        <v>148</v>
      </c>
      <c r="M696" s="110" t="s">
        <v>129</v>
      </c>
      <c r="N696" s="110" t="s">
        <v>130</v>
      </c>
      <c r="O696" s="110" t="s">
        <v>2941</v>
      </c>
      <c r="P696" s="110" t="s">
        <v>132</v>
      </c>
      <c r="Q696" s="110" t="s">
        <v>96</v>
      </c>
      <c r="R696" s="121">
        <v>0.20319999999999999</v>
      </c>
      <c r="S696" s="113" t="e">
        <f t="shared" si="20"/>
        <v>#VALUE!</v>
      </c>
      <c r="T696" s="113">
        <f t="shared" si="21"/>
        <v>0</v>
      </c>
    </row>
    <row r="697" spans="1:20" s="109" customFormat="1" x14ac:dyDescent="0.2">
      <c r="A697" s="116"/>
      <c r="B697" s="111" t="s">
        <v>2373</v>
      </c>
      <c r="C697" s="110" t="s">
        <v>2942</v>
      </c>
      <c r="D697" s="110" t="s">
        <v>2943</v>
      </c>
      <c r="E697" s="112" t="s">
        <v>2944</v>
      </c>
      <c r="F697" s="111" t="s">
        <v>130</v>
      </c>
      <c r="G697" s="133">
        <v>56</v>
      </c>
      <c r="H697" s="124"/>
      <c r="I697" s="133" t="str">
        <f>IF(H697&gt;0,(#REF!*H697),"-")</f>
        <v>-</v>
      </c>
      <c r="J697" s="113">
        <v>624</v>
      </c>
      <c r="K697" s="110" t="s">
        <v>127</v>
      </c>
      <c r="L697" s="110" t="s">
        <v>148</v>
      </c>
      <c r="M697" s="110" t="s">
        <v>129</v>
      </c>
      <c r="N697" s="110" t="s">
        <v>130</v>
      </c>
      <c r="O697" s="110" t="s">
        <v>2945</v>
      </c>
      <c r="P697" s="110" t="s">
        <v>132</v>
      </c>
      <c r="Q697" s="110" t="s">
        <v>96</v>
      </c>
      <c r="R697" s="121">
        <v>0.25440000000000002</v>
      </c>
      <c r="S697" s="113" t="e">
        <f t="shared" si="20"/>
        <v>#VALUE!</v>
      </c>
      <c r="T697" s="113">
        <f t="shared" si="21"/>
        <v>0</v>
      </c>
    </row>
    <row r="698" spans="1:20" s="109" customFormat="1" x14ac:dyDescent="0.2">
      <c r="A698" s="116"/>
      <c r="B698" s="111"/>
      <c r="C698" s="110" t="s">
        <v>2946</v>
      </c>
      <c r="D698" s="110" t="s">
        <v>2947</v>
      </c>
      <c r="E698" s="112" t="s">
        <v>2948</v>
      </c>
      <c r="F698" s="111" t="s">
        <v>126</v>
      </c>
      <c r="G698" s="133">
        <v>50</v>
      </c>
      <c r="H698" s="124"/>
      <c r="I698" s="133" t="str">
        <f>IF(H698&gt;0,(#REF!*H698),"-")</f>
        <v>-</v>
      </c>
      <c r="J698" s="113">
        <v>626</v>
      </c>
      <c r="K698" s="110" t="s">
        <v>127</v>
      </c>
      <c r="L698" s="110" t="s">
        <v>148</v>
      </c>
      <c r="M698" s="110" t="s">
        <v>129</v>
      </c>
      <c r="N698" s="110" t="s">
        <v>130</v>
      </c>
      <c r="O698" s="110" t="s">
        <v>2949</v>
      </c>
      <c r="P698" s="110" t="s">
        <v>132</v>
      </c>
      <c r="Q698" s="110" t="s">
        <v>96</v>
      </c>
      <c r="R698" s="121">
        <v>0.26190000000000002</v>
      </c>
      <c r="S698" s="113" t="e">
        <f t="shared" si="20"/>
        <v>#VALUE!</v>
      </c>
      <c r="T698" s="113">
        <f t="shared" si="21"/>
        <v>0</v>
      </c>
    </row>
    <row r="699" spans="1:20" s="109" customFormat="1" x14ac:dyDescent="0.2">
      <c r="A699" s="116"/>
      <c r="B699" s="111"/>
      <c r="C699" s="110" t="s">
        <v>2950</v>
      </c>
      <c r="D699" s="110" t="s">
        <v>2951</v>
      </c>
      <c r="E699" s="112" t="s">
        <v>2952</v>
      </c>
      <c r="F699" s="111" t="s">
        <v>126</v>
      </c>
      <c r="G699" s="133">
        <v>112</v>
      </c>
      <c r="H699" s="124"/>
      <c r="I699" s="133" t="str">
        <f>IF(H699&gt;0,(#REF!*H699),"-")</f>
        <v>-</v>
      </c>
      <c r="J699" s="113">
        <v>1162</v>
      </c>
      <c r="K699" s="110" t="s">
        <v>127</v>
      </c>
      <c r="L699" s="110" t="s">
        <v>148</v>
      </c>
      <c r="M699" s="110" t="s">
        <v>129</v>
      </c>
      <c r="N699" s="110" t="s">
        <v>130</v>
      </c>
      <c r="O699" s="110" t="s">
        <v>2953</v>
      </c>
      <c r="P699" s="110" t="s">
        <v>132</v>
      </c>
      <c r="Q699" s="110" t="s">
        <v>97</v>
      </c>
      <c r="R699" s="121">
        <v>0.65100000000000002</v>
      </c>
      <c r="S699" s="113" t="e">
        <f t="shared" si="20"/>
        <v>#VALUE!</v>
      </c>
      <c r="T699" s="113">
        <f t="shared" si="21"/>
        <v>0</v>
      </c>
    </row>
    <row r="700" spans="1:20" s="109" customFormat="1" x14ac:dyDescent="0.2">
      <c r="A700" s="116"/>
      <c r="B700" s="111"/>
      <c r="C700" s="110" t="s">
        <v>2954</v>
      </c>
      <c r="D700" s="110" t="s">
        <v>2955</v>
      </c>
      <c r="E700" s="112" t="s">
        <v>2956</v>
      </c>
      <c r="F700" s="111" t="s">
        <v>126</v>
      </c>
      <c r="G700" s="133">
        <v>56</v>
      </c>
      <c r="H700" s="124"/>
      <c r="I700" s="133" t="str">
        <f>IF(H700&gt;0,(#REF!*H700),"-")</f>
        <v>-</v>
      </c>
      <c r="J700" s="113">
        <v>782</v>
      </c>
      <c r="K700" s="110" t="s">
        <v>127</v>
      </c>
      <c r="L700" s="110" t="s">
        <v>148</v>
      </c>
      <c r="M700" s="110" t="s">
        <v>129</v>
      </c>
      <c r="N700" s="110" t="s">
        <v>130</v>
      </c>
      <c r="O700" s="110" t="s">
        <v>2957</v>
      </c>
      <c r="P700" s="110" t="s">
        <v>132</v>
      </c>
      <c r="Q700" s="110" t="s">
        <v>96</v>
      </c>
      <c r="R700" s="121">
        <v>0.32940000000000003</v>
      </c>
      <c r="S700" s="113" t="e">
        <f t="shared" si="20"/>
        <v>#VALUE!</v>
      </c>
      <c r="T700" s="113">
        <f t="shared" si="21"/>
        <v>0</v>
      </c>
    </row>
    <row r="701" spans="1:20" s="109" customFormat="1" x14ac:dyDescent="0.2">
      <c r="A701" s="116"/>
      <c r="B701" s="111"/>
      <c r="C701" s="110" t="s">
        <v>2958</v>
      </c>
      <c r="D701" s="110" t="s">
        <v>2959</v>
      </c>
      <c r="E701" s="112" t="s">
        <v>2960</v>
      </c>
      <c r="F701" s="111" t="s">
        <v>126</v>
      </c>
      <c r="G701" s="133">
        <v>56</v>
      </c>
      <c r="H701" s="124"/>
      <c r="I701" s="133" t="str">
        <f>IF(H701&gt;0,(#REF!*H701),"-")</f>
        <v>-</v>
      </c>
      <c r="J701" s="113">
        <v>828</v>
      </c>
      <c r="K701" s="110" t="s">
        <v>127</v>
      </c>
      <c r="L701" s="110" t="s">
        <v>148</v>
      </c>
      <c r="M701" s="110" t="s">
        <v>129</v>
      </c>
      <c r="N701" s="110" t="s">
        <v>130</v>
      </c>
      <c r="O701" s="110" t="s">
        <v>2961</v>
      </c>
      <c r="P701" s="110" t="s">
        <v>132</v>
      </c>
      <c r="Q701" s="110" t="s">
        <v>96</v>
      </c>
      <c r="R701" s="121">
        <v>0.35299999999999998</v>
      </c>
      <c r="S701" s="113" t="e">
        <f t="shared" si="20"/>
        <v>#VALUE!</v>
      </c>
      <c r="T701" s="113">
        <f t="shared" si="21"/>
        <v>0</v>
      </c>
    </row>
    <row r="702" spans="1:20" s="109" customFormat="1" x14ac:dyDescent="0.2">
      <c r="A702" s="116"/>
      <c r="B702" s="111"/>
      <c r="C702" s="110" t="s">
        <v>2962</v>
      </c>
      <c r="D702" s="110" t="s">
        <v>2963</v>
      </c>
      <c r="E702" s="112" t="s">
        <v>2964</v>
      </c>
      <c r="F702" s="111" t="s">
        <v>126</v>
      </c>
      <c r="G702" s="133">
        <v>20</v>
      </c>
      <c r="H702" s="124"/>
      <c r="I702" s="133" t="str">
        <f>IF(H702&gt;0,(#REF!*H702),"-")</f>
        <v>-</v>
      </c>
      <c r="J702" s="113">
        <v>233</v>
      </c>
      <c r="K702" s="110" t="s">
        <v>127</v>
      </c>
      <c r="L702" s="110" t="s">
        <v>148</v>
      </c>
      <c r="M702" s="110" t="s">
        <v>129</v>
      </c>
      <c r="N702" s="110" t="s">
        <v>130</v>
      </c>
      <c r="O702" s="110" t="s">
        <v>2965</v>
      </c>
      <c r="P702" s="110" t="s">
        <v>132</v>
      </c>
      <c r="Q702" s="110" t="s">
        <v>96</v>
      </c>
      <c r="R702" s="121">
        <v>9.8599999999999993E-2</v>
      </c>
      <c r="S702" s="113" t="e">
        <f t="shared" si="20"/>
        <v>#VALUE!</v>
      </c>
      <c r="T702" s="113">
        <f t="shared" si="21"/>
        <v>0</v>
      </c>
    </row>
    <row r="703" spans="1:20" s="109" customFormat="1" x14ac:dyDescent="0.2">
      <c r="A703" s="116"/>
      <c r="B703" s="111"/>
      <c r="C703" s="110" t="s">
        <v>2966</v>
      </c>
      <c r="D703" s="110" t="s">
        <v>2967</v>
      </c>
      <c r="E703" s="112" t="s">
        <v>2968</v>
      </c>
      <c r="F703" s="111" t="s">
        <v>126</v>
      </c>
      <c r="G703" s="133">
        <v>20</v>
      </c>
      <c r="H703" s="124"/>
      <c r="I703" s="133" t="str">
        <f>IF(H703&gt;0,(#REF!*H703),"-")</f>
        <v>-</v>
      </c>
      <c r="J703" s="113">
        <v>233</v>
      </c>
      <c r="K703" s="110" t="s">
        <v>127</v>
      </c>
      <c r="L703" s="110" t="s">
        <v>148</v>
      </c>
      <c r="M703" s="110" t="s">
        <v>129</v>
      </c>
      <c r="N703" s="110" t="s">
        <v>130</v>
      </c>
      <c r="O703" s="110" t="s">
        <v>2969</v>
      </c>
      <c r="P703" s="110" t="s">
        <v>132</v>
      </c>
      <c r="Q703" s="110" t="s">
        <v>96</v>
      </c>
      <c r="R703" s="121">
        <v>9.7299999999999998E-2</v>
      </c>
      <c r="S703" s="113" t="e">
        <f t="shared" si="20"/>
        <v>#VALUE!</v>
      </c>
      <c r="T703" s="113">
        <f t="shared" si="21"/>
        <v>0</v>
      </c>
    </row>
    <row r="704" spans="1:20" s="109" customFormat="1" x14ac:dyDescent="0.2">
      <c r="A704" s="116"/>
      <c r="B704" s="111"/>
      <c r="C704" s="110" t="s">
        <v>2970</v>
      </c>
      <c r="D704" s="110" t="s">
        <v>2971</v>
      </c>
      <c r="E704" s="112" t="s">
        <v>2972</v>
      </c>
      <c r="F704" s="111" t="s">
        <v>126</v>
      </c>
      <c r="G704" s="133">
        <v>20</v>
      </c>
      <c r="H704" s="124"/>
      <c r="I704" s="133" t="str">
        <f>IF(H704&gt;0,(#REF!*H704),"-")</f>
        <v>-</v>
      </c>
      <c r="J704" s="113">
        <v>257</v>
      </c>
      <c r="K704" s="110" t="s">
        <v>127</v>
      </c>
      <c r="L704" s="110" t="s">
        <v>148</v>
      </c>
      <c r="M704" s="110" t="s">
        <v>129</v>
      </c>
      <c r="N704" s="110" t="s">
        <v>130</v>
      </c>
      <c r="O704" s="110" t="s">
        <v>2973</v>
      </c>
      <c r="P704" s="110" t="s">
        <v>132</v>
      </c>
      <c r="Q704" s="110" t="s">
        <v>96</v>
      </c>
      <c r="R704" s="121">
        <v>0.1074</v>
      </c>
      <c r="S704" s="113" t="e">
        <f t="shared" si="20"/>
        <v>#VALUE!</v>
      </c>
      <c r="T704" s="113">
        <f t="shared" si="21"/>
        <v>0</v>
      </c>
    </row>
    <row r="705" spans="1:20" s="109" customFormat="1" x14ac:dyDescent="0.2">
      <c r="A705" s="116"/>
      <c r="B705" s="111"/>
      <c r="C705" s="110" t="s">
        <v>2974</v>
      </c>
      <c r="D705" s="110" t="s">
        <v>2975</v>
      </c>
      <c r="E705" s="112" t="s">
        <v>2976</v>
      </c>
      <c r="F705" s="111" t="s">
        <v>126</v>
      </c>
      <c r="G705" s="133">
        <v>20</v>
      </c>
      <c r="H705" s="124"/>
      <c r="I705" s="133" t="str">
        <f>IF(H705&gt;0,(#REF!*H705),"-")</f>
        <v>-</v>
      </c>
      <c r="J705" s="113">
        <v>233</v>
      </c>
      <c r="K705" s="110" t="s">
        <v>127</v>
      </c>
      <c r="L705" s="110" t="s">
        <v>148</v>
      </c>
      <c r="M705" s="110" t="s">
        <v>129</v>
      </c>
      <c r="N705" s="110" t="s">
        <v>130</v>
      </c>
      <c r="O705" s="110" t="s">
        <v>2977</v>
      </c>
      <c r="P705" s="110" t="s">
        <v>132</v>
      </c>
      <c r="Q705" s="110" t="s">
        <v>96</v>
      </c>
      <c r="R705" s="121">
        <v>9.8000000000000004E-2</v>
      </c>
      <c r="S705" s="113" t="e">
        <f t="shared" si="20"/>
        <v>#VALUE!</v>
      </c>
      <c r="T705" s="113">
        <f t="shared" si="21"/>
        <v>0</v>
      </c>
    </row>
    <row r="706" spans="1:20" s="109" customFormat="1" x14ac:dyDescent="0.2">
      <c r="A706" s="116"/>
      <c r="B706" s="111"/>
      <c r="C706" s="110" t="s">
        <v>2978</v>
      </c>
      <c r="D706" s="110" t="s">
        <v>2979</v>
      </c>
      <c r="E706" s="112" t="s">
        <v>2980</v>
      </c>
      <c r="F706" s="111" t="s">
        <v>126</v>
      </c>
      <c r="G706" s="133">
        <v>75</v>
      </c>
      <c r="H706" s="124"/>
      <c r="I706" s="133" t="str">
        <f>IF(H706&gt;0,(#REF!*H706),"-")</f>
        <v>-</v>
      </c>
      <c r="J706" s="113">
        <v>178</v>
      </c>
      <c r="K706" s="110" t="s">
        <v>127</v>
      </c>
      <c r="L706" s="110" t="s">
        <v>148</v>
      </c>
      <c r="M706" s="110" t="s">
        <v>129</v>
      </c>
      <c r="N706" s="110" t="s">
        <v>130</v>
      </c>
      <c r="O706" s="110" t="s">
        <v>2981</v>
      </c>
      <c r="P706" s="110" t="s">
        <v>153</v>
      </c>
      <c r="Q706" s="110" t="s">
        <v>96</v>
      </c>
      <c r="R706" s="121">
        <v>6.54E-2</v>
      </c>
      <c r="S706" s="113" t="e">
        <f t="shared" ref="S706:S769" si="22">Q706*H706</f>
        <v>#VALUE!</v>
      </c>
      <c r="T706" s="113">
        <f t="shared" ref="T706:T769" si="23">R706*H706</f>
        <v>0</v>
      </c>
    </row>
    <row r="707" spans="1:20" s="109" customFormat="1" x14ac:dyDescent="0.2">
      <c r="A707" s="116"/>
      <c r="B707" s="111"/>
      <c r="C707" s="110" t="s">
        <v>2982</v>
      </c>
      <c r="D707" s="110" t="s">
        <v>2983</v>
      </c>
      <c r="E707" s="112" t="s">
        <v>2984</v>
      </c>
      <c r="F707" s="111" t="s">
        <v>126</v>
      </c>
      <c r="G707" s="133">
        <v>80</v>
      </c>
      <c r="H707" s="124"/>
      <c r="I707" s="133" t="str">
        <f>IF(H707&gt;0,(#REF!*H707),"-")</f>
        <v>-</v>
      </c>
      <c r="J707" s="113">
        <v>1133</v>
      </c>
      <c r="K707" s="110" t="s">
        <v>127</v>
      </c>
      <c r="L707" s="110" t="s">
        <v>148</v>
      </c>
      <c r="M707" s="110" t="s">
        <v>129</v>
      </c>
      <c r="N707" s="110" t="s">
        <v>130</v>
      </c>
      <c r="O707" s="110" t="s">
        <v>2985</v>
      </c>
      <c r="P707" s="110" t="s">
        <v>132</v>
      </c>
      <c r="Q707" s="110" t="s">
        <v>96</v>
      </c>
      <c r="R707" s="121">
        <v>0.47</v>
      </c>
      <c r="S707" s="113" t="e">
        <f t="shared" si="22"/>
        <v>#VALUE!</v>
      </c>
      <c r="T707" s="113">
        <f t="shared" si="23"/>
        <v>0</v>
      </c>
    </row>
    <row r="708" spans="1:20" s="109" customFormat="1" x14ac:dyDescent="0.2">
      <c r="A708" s="116"/>
      <c r="B708" s="111"/>
      <c r="C708" s="110" t="s">
        <v>2986</v>
      </c>
      <c r="D708" s="110" t="s">
        <v>2987</v>
      </c>
      <c r="E708" s="112" t="s">
        <v>2988</v>
      </c>
      <c r="F708" s="111" t="s">
        <v>126</v>
      </c>
      <c r="G708" s="133">
        <v>80</v>
      </c>
      <c r="H708" s="124"/>
      <c r="I708" s="133" t="str">
        <f>IF(H708&gt;0,(#REF!*H708),"-")</f>
        <v>-</v>
      </c>
      <c r="J708" s="113">
        <v>1138</v>
      </c>
      <c r="K708" s="110" t="s">
        <v>127</v>
      </c>
      <c r="L708" s="110" t="s">
        <v>148</v>
      </c>
      <c r="M708" s="110" t="s">
        <v>129</v>
      </c>
      <c r="N708" s="110" t="s">
        <v>130</v>
      </c>
      <c r="O708" s="110" t="s">
        <v>2989</v>
      </c>
      <c r="P708" s="110" t="s">
        <v>132</v>
      </c>
      <c r="Q708" s="110" t="s">
        <v>96</v>
      </c>
      <c r="R708" s="121">
        <v>0.49730000000000002</v>
      </c>
      <c r="S708" s="113" t="e">
        <f t="shared" si="22"/>
        <v>#VALUE!</v>
      </c>
      <c r="T708" s="113">
        <f t="shared" si="23"/>
        <v>0</v>
      </c>
    </row>
    <row r="709" spans="1:20" s="109" customFormat="1" x14ac:dyDescent="0.2">
      <c r="A709" s="116"/>
      <c r="B709" s="111"/>
      <c r="C709" s="110" t="s">
        <v>2990</v>
      </c>
      <c r="D709" s="110" t="s">
        <v>2991</v>
      </c>
      <c r="E709" s="112" t="s">
        <v>2992</v>
      </c>
      <c r="F709" s="111" t="s">
        <v>126</v>
      </c>
      <c r="G709" s="133">
        <v>112</v>
      </c>
      <c r="H709" s="124"/>
      <c r="I709" s="133" t="str">
        <f>IF(H709&gt;0,(#REF!*H709),"-")</f>
        <v>-</v>
      </c>
      <c r="J709" s="113">
        <v>1276</v>
      </c>
      <c r="K709" s="110" t="s">
        <v>127</v>
      </c>
      <c r="L709" s="110" t="s">
        <v>148</v>
      </c>
      <c r="M709" s="110" t="s">
        <v>129</v>
      </c>
      <c r="N709" s="110" t="s">
        <v>130</v>
      </c>
      <c r="O709" s="110" t="s">
        <v>2993</v>
      </c>
      <c r="P709" s="110" t="s">
        <v>132</v>
      </c>
      <c r="Q709" s="110" t="s">
        <v>97</v>
      </c>
      <c r="R709" s="121">
        <v>0.66100000000000003</v>
      </c>
      <c r="S709" s="113" t="e">
        <f t="shared" si="22"/>
        <v>#VALUE!</v>
      </c>
      <c r="T709" s="113">
        <f t="shared" si="23"/>
        <v>0</v>
      </c>
    </row>
    <row r="710" spans="1:20" s="109" customFormat="1" x14ac:dyDescent="0.2">
      <c r="A710" s="116"/>
      <c r="B710" s="111"/>
      <c r="C710" s="110" t="s">
        <v>2994</v>
      </c>
      <c r="D710" s="110" t="s">
        <v>2995</v>
      </c>
      <c r="E710" s="112" t="s">
        <v>2996</v>
      </c>
      <c r="F710" s="111" t="s">
        <v>126</v>
      </c>
      <c r="G710" s="133">
        <v>50</v>
      </c>
      <c r="H710" s="124"/>
      <c r="I710" s="133" t="str">
        <f>IF(H710&gt;0,(#REF!*H710),"-")</f>
        <v>-</v>
      </c>
      <c r="J710" s="113">
        <v>479</v>
      </c>
      <c r="K710" s="110" t="s">
        <v>127</v>
      </c>
      <c r="L710" s="110" t="s">
        <v>148</v>
      </c>
      <c r="M710" s="110" t="s">
        <v>129</v>
      </c>
      <c r="N710" s="110" t="s">
        <v>130</v>
      </c>
      <c r="O710" s="110" t="s">
        <v>2997</v>
      </c>
      <c r="P710" s="110" t="s">
        <v>132</v>
      </c>
      <c r="Q710" s="110" t="s">
        <v>96</v>
      </c>
      <c r="R710" s="121">
        <v>0.23100000000000001</v>
      </c>
      <c r="S710" s="113" t="e">
        <f t="shared" si="22"/>
        <v>#VALUE!</v>
      </c>
      <c r="T710" s="113">
        <f t="shared" si="23"/>
        <v>0</v>
      </c>
    </row>
    <row r="711" spans="1:20" s="109" customFormat="1" x14ac:dyDescent="0.2">
      <c r="A711" s="116"/>
      <c r="B711" s="111" t="s">
        <v>2373</v>
      </c>
      <c r="C711" s="110" t="s">
        <v>2998</v>
      </c>
      <c r="D711" s="110" t="s">
        <v>2999</v>
      </c>
      <c r="E711" s="112" t="s">
        <v>3000</v>
      </c>
      <c r="F711" s="111" t="s">
        <v>130</v>
      </c>
      <c r="G711" s="133">
        <v>50</v>
      </c>
      <c r="H711" s="124"/>
      <c r="I711" s="133" t="str">
        <f>IF(H711&gt;0,(#REF!*H711),"-")</f>
        <v>-</v>
      </c>
      <c r="J711" s="113">
        <v>479</v>
      </c>
      <c r="K711" s="110" t="s">
        <v>127</v>
      </c>
      <c r="L711" s="110" t="s">
        <v>148</v>
      </c>
      <c r="M711" s="110" t="s">
        <v>129</v>
      </c>
      <c r="N711" s="110" t="s">
        <v>130</v>
      </c>
      <c r="O711" s="110" t="s">
        <v>3001</v>
      </c>
      <c r="P711" s="110" t="s">
        <v>132</v>
      </c>
      <c r="Q711" s="110" t="s">
        <v>96</v>
      </c>
      <c r="R711" s="121">
        <v>0.20469999999999999</v>
      </c>
      <c r="S711" s="113" t="e">
        <f t="shared" si="22"/>
        <v>#VALUE!</v>
      </c>
      <c r="T711" s="113">
        <f t="shared" si="23"/>
        <v>0</v>
      </c>
    </row>
    <row r="712" spans="1:20" s="109" customFormat="1" x14ac:dyDescent="0.2">
      <c r="A712" s="116"/>
      <c r="B712" s="111"/>
      <c r="C712" s="110" t="s">
        <v>3002</v>
      </c>
      <c r="D712" s="110" t="s">
        <v>3003</v>
      </c>
      <c r="E712" s="112" t="s">
        <v>3004</v>
      </c>
      <c r="F712" s="111" t="s">
        <v>126</v>
      </c>
      <c r="G712" s="133">
        <v>50</v>
      </c>
      <c r="H712" s="124"/>
      <c r="I712" s="133" t="str">
        <f>IF(H712&gt;0,(#REF!*H712),"-")</f>
        <v>-</v>
      </c>
      <c r="J712" s="113">
        <v>644</v>
      </c>
      <c r="K712" s="110" t="s">
        <v>127</v>
      </c>
      <c r="L712" s="110" t="s">
        <v>148</v>
      </c>
      <c r="M712" s="110" t="s">
        <v>129</v>
      </c>
      <c r="N712" s="110" t="s">
        <v>130</v>
      </c>
      <c r="O712" s="110" t="s">
        <v>3005</v>
      </c>
      <c r="P712" s="110" t="s">
        <v>132</v>
      </c>
      <c r="Q712" s="110" t="s">
        <v>96</v>
      </c>
      <c r="R712" s="121">
        <v>0.25080000000000002</v>
      </c>
      <c r="S712" s="113" t="e">
        <f t="shared" si="22"/>
        <v>#VALUE!</v>
      </c>
      <c r="T712" s="113">
        <f t="shared" si="23"/>
        <v>0</v>
      </c>
    </row>
    <row r="713" spans="1:20" s="109" customFormat="1" x14ac:dyDescent="0.2">
      <c r="A713" s="116"/>
      <c r="B713" s="111" t="s">
        <v>2373</v>
      </c>
      <c r="C713" s="110" t="s">
        <v>3006</v>
      </c>
      <c r="D713" s="110" t="s">
        <v>3007</v>
      </c>
      <c r="E713" s="112" t="s">
        <v>3008</v>
      </c>
      <c r="F713" s="111" t="s">
        <v>130</v>
      </c>
      <c r="G713" s="133">
        <v>80</v>
      </c>
      <c r="H713" s="124"/>
      <c r="I713" s="133" t="str">
        <f>IF(H713&gt;0,(#REF!*H713),"-")</f>
        <v>-</v>
      </c>
      <c r="J713" s="113">
        <v>1228</v>
      </c>
      <c r="K713" s="110" t="s">
        <v>127</v>
      </c>
      <c r="L713" s="110" t="s">
        <v>148</v>
      </c>
      <c r="M713" s="110" t="s">
        <v>129</v>
      </c>
      <c r="N713" s="110" t="s">
        <v>130</v>
      </c>
      <c r="O713" s="110" t="s">
        <v>3009</v>
      </c>
      <c r="P713" s="110" t="s">
        <v>132</v>
      </c>
      <c r="Q713" s="110" t="s">
        <v>96</v>
      </c>
      <c r="R713" s="121">
        <v>0.502</v>
      </c>
      <c r="S713" s="113" t="e">
        <f t="shared" si="22"/>
        <v>#VALUE!</v>
      </c>
      <c r="T713" s="113">
        <f t="shared" si="23"/>
        <v>0</v>
      </c>
    </row>
    <row r="714" spans="1:20" s="109" customFormat="1" x14ac:dyDescent="0.2">
      <c r="A714" s="116"/>
      <c r="B714" s="111"/>
      <c r="C714" s="110" t="s">
        <v>3010</v>
      </c>
      <c r="D714" s="110" t="s">
        <v>3011</v>
      </c>
      <c r="E714" s="112" t="s">
        <v>3012</v>
      </c>
      <c r="F714" s="111" t="s">
        <v>126</v>
      </c>
      <c r="G714" s="133">
        <v>50</v>
      </c>
      <c r="H714" s="124"/>
      <c r="I714" s="133" t="str">
        <f>IF(H714&gt;0,(#REF!*H714),"-")</f>
        <v>-</v>
      </c>
      <c r="J714" s="113">
        <v>626</v>
      </c>
      <c r="K714" s="110" t="s">
        <v>127</v>
      </c>
      <c r="L714" s="110" t="s">
        <v>148</v>
      </c>
      <c r="M714" s="110" t="s">
        <v>129</v>
      </c>
      <c r="N714" s="110" t="s">
        <v>130</v>
      </c>
      <c r="O714" s="110" t="s">
        <v>3013</v>
      </c>
      <c r="P714" s="110" t="s">
        <v>132</v>
      </c>
      <c r="Q714" s="110" t="s">
        <v>96</v>
      </c>
      <c r="R714" s="121">
        <v>0.26500000000000001</v>
      </c>
      <c r="S714" s="113" t="e">
        <f t="shared" si="22"/>
        <v>#VALUE!</v>
      </c>
      <c r="T714" s="113">
        <f t="shared" si="23"/>
        <v>0</v>
      </c>
    </row>
    <row r="715" spans="1:20" s="109" customFormat="1" x14ac:dyDescent="0.2">
      <c r="A715" s="116"/>
      <c r="B715" s="111"/>
      <c r="C715" s="110" t="s">
        <v>3014</v>
      </c>
      <c r="D715" s="110" t="s">
        <v>3015</v>
      </c>
      <c r="E715" s="112" t="s">
        <v>3016</v>
      </c>
      <c r="F715" s="111" t="s">
        <v>126</v>
      </c>
      <c r="G715" s="133">
        <v>620</v>
      </c>
      <c r="H715" s="124"/>
      <c r="I715" s="133" t="str">
        <f>IF(H715&gt;0,(#REF!*H715),"-")</f>
        <v>-</v>
      </c>
      <c r="J715" s="113">
        <v>15840</v>
      </c>
      <c r="K715" s="110" t="s">
        <v>389</v>
      </c>
      <c r="L715" s="110" t="s">
        <v>468</v>
      </c>
      <c r="M715" s="110" t="s">
        <v>129</v>
      </c>
      <c r="N715" s="110" t="s">
        <v>130</v>
      </c>
      <c r="O715" s="110" t="s">
        <v>3017</v>
      </c>
      <c r="P715" s="110" t="s">
        <v>589</v>
      </c>
      <c r="Q715" s="110" t="s">
        <v>96</v>
      </c>
      <c r="R715" s="121">
        <v>3.9510000000000001</v>
      </c>
      <c r="S715" s="113" t="e">
        <f t="shared" si="22"/>
        <v>#VALUE!</v>
      </c>
      <c r="T715" s="113">
        <f t="shared" si="23"/>
        <v>0</v>
      </c>
    </row>
    <row r="716" spans="1:20" s="109" customFormat="1" x14ac:dyDescent="0.2">
      <c r="A716" s="116"/>
      <c r="B716" s="111"/>
      <c r="C716" s="110" t="s">
        <v>3018</v>
      </c>
      <c r="D716" s="110" t="s">
        <v>3019</v>
      </c>
      <c r="E716" s="112" t="s">
        <v>3020</v>
      </c>
      <c r="F716" s="111" t="s">
        <v>126</v>
      </c>
      <c r="G716" s="133">
        <v>72</v>
      </c>
      <c r="H716" s="124"/>
      <c r="I716" s="133" t="str">
        <f>IF(H716&gt;0,(#REF!*H716),"-")</f>
        <v>-</v>
      </c>
      <c r="J716" s="113">
        <v>272</v>
      </c>
      <c r="K716" s="110" t="s">
        <v>389</v>
      </c>
      <c r="L716" s="110" t="s">
        <v>468</v>
      </c>
      <c r="M716" s="110" t="s">
        <v>129</v>
      </c>
      <c r="N716" s="110" t="s">
        <v>130</v>
      </c>
      <c r="O716" s="110" t="s">
        <v>3021</v>
      </c>
      <c r="P716" s="110" t="s">
        <v>400</v>
      </c>
      <c r="Q716" s="110" t="s">
        <v>97</v>
      </c>
      <c r="R716" s="121">
        <v>0.23</v>
      </c>
      <c r="S716" s="113" t="e">
        <f t="shared" si="22"/>
        <v>#VALUE!</v>
      </c>
      <c r="T716" s="113">
        <f t="shared" si="23"/>
        <v>0</v>
      </c>
    </row>
    <row r="717" spans="1:20" s="109" customFormat="1" x14ac:dyDescent="0.2">
      <c r="A717" s="116"/>
      <c r="B717" s="111"/>
      <c r="C717" s="110" t="s">
        <v>3022</v>
      </c>
      <c r="D717" s="110" t="s">
        <v>3023</v>
      </c>
      <c r="E717" s="112" t="s">
        <v>3024</v>
      </c>
      <c r="F717" s="111" t="s">
        <v>126</v>
      </c>
      <c r="G717" s="133">
        <v>72</v>
      </c>
      <c r="H717" s="124"/>
      <c r="I717" s="133" t="str">
        <f>IF(H717&gt;0,(#REF!*H717),"-")</f>
        <v>-</v>
      </c>
      <c r="J717" s="113">
        <v>272</v>
      </c>
      <c r="K717" s="110" t="s">
        <v>389</v>
      </c>
      <c r="L717" s="110" t="s">
        <v>468</v>
      </c>
      <c r="M717" s="110" t="s">
        <v>129</v>
      </c>
      <c r="N717" s="110" t="s">
        <v>130</v>
      </c>
      <c r="O717" s="110" t="s">
        <v>3025</v>
      </c>
      <c r="P717" s="110" t="s">
        <v>400</v>
      </c>
      <c r="Q717" s="110" t="s">
        <v>97</v>
      </c>
      <c r="R717" s="121">
        <v>0.23</v>
      </c>
      <c r="S717" s="113" t="e">
        <f t="shared" si="22"/>
        <v>#VALUE!</v>
      </c>
      <c r="T717" s="113">
        <f t="shared" si="23"/>
        <v>0</v>
      </c>
    </row>
    <row r="718" spans="1:20" s="109" customFormat="1" x14ac:dyDescent="0.2">
      <c r="A718" s="116"/>
      <c r="B718" s="111"/>
      <c r="C718" s="110" t="s">
        <v>3026</v>
      </c>
      <c r="D718" s="110" t="s">
        <v>3027</v>
      </c>
      <c r="E718" s="112" t="s">
        <v>3028</v>
      </c>
      <c r="F718" s="111" t="s">
        <v>126</v>
      </c>
      <c r="G718" s="133">
        <v>90</v>
      </c>
      <c r="H718" s="124"/>
      <c r="I718" s="133" t="str">
        <f>IF(H718&gt;0,(#REF!*H718),"-")</f>
        <v>-</v>
      </c>
      <c r="J718" s="113">
        <v>301</v>
      </c>
      <c r="K718" s="110" t="s">
        <v>389</v>
      </c>
      <c r="L718" s="110" t="s">
        <v>468</v>
      </c>
      <c r="M718" s="110" t="s">
        <v>129</v>
      </c>
      <c r="N718" s="110" t="s">
        <v>130</v>
      </c>
      <c r="O718" s="110" t="s">
        <v>3029</v>
      </c>
      <c r="P718" s="110" t="s">
        <v>132</v>
      </c>
      <c r="Q718" s="110" t="s">
        <v>97</v>
      </c>
      <c r="R718" s="121">
        <v>0.29370000000000002</v>
      </c>
      <c r="S718" s="113" t="e">
        <f t="shared" si="22"/>
        <v>#VALUE!</v>
      </c>
      <c r="T718" s="113">
        <f t="shared" si="23"/>
        <v>0</v>
      </c>
    </row>
    <row r="719" spans="1:20" s="109" customFormat="1" x14ac:dyDescent="0.2">
      <c r="A719" s="116"/>
      <c r="B719" s="111"/>
      <c r="C719" s="110" t="s">
        <v>3026</v>
      </c>
      <c r="D719" s="110" t="s">
        <v>3030</v>
      </c>
      <c r="E719" s="112" t="s">
        <v>3031</v>
      </c>
      <c r="F719" s="111" t="s">
        <v>126</v>
      </c>
      <c r="G719" s="133">
        <v>90</v>
      </c>
      <c r="H719" s="124"/>
      <c r="I719" s="133" t="str">
        <f>IF(H719&gt;0,(#REF!*H719),"-")</f>
        <v>-</v>
      </c>
      <c r="J719" s="113">
        <v>301</v>
      </c>
      <c r="K719" s="110" t="s">
        <v>389</v>
      </c>
      <c r="L719" s="110" t="s">
        <v>468</v>
      </c>
      <c r="M719" s="110" t="s">
        <v>129</v>
      </c>
      <c r="N719" s="110" t="s">
        <v>130</v>
      </c>
      <c r="O719" s="110" t="s">
        <v>3032</v>
      </c>
      <c r="P719" s="110" t="s">
        <v>132</v>
      </c>
      <c r="Q719" s="110" t="s">
        <v>97</v>
      </c>
      <c r="R719" s="121">
        <v>0.29370000000000002</v>
      </c>
      <c r="S719" s="113" t="e">
        <f t="shared" si="22"/>
        <v>#VALUE!</v>
      </c>
      <c r="T719" s="113">
        <f t="shared" si="23"/>
        <v>0</v>
      </c>
    </row>
    <row r="720" spans="1:20" s="109" customFormat="1" x14ac:dyDescent="0.2">
      <c r="A720" s="116"/>
      <c r="B720" s="111" t="s">
        <v>207</v>
      </c>
      <c r="C720" s="110" t="s">
        <v>3033</v>
      </c>
      <c r="D720" s="110" t="s">
        <v>3034</v>
      </c>
      <c r="E720" s="112" t="s">
        <v>3035</v>
      </c>
      <c r="F720" s="111" t="s">
        <v>130</v>
      </c>
      <c r="G720" s="133">
        <v>155</v>
      </c>
      <c r="H720" s="124"/>
      <c r="I720" s="133" t="str">
        <f>IF(H720&gt;0,(#REF!*H720),"-")</f>
        <v>-</v>
      </c>
      <c r="J720" s="113">
        <v>608</v>
      </c>
      <c r="K720" s="110" t="s">
        <v>389</v>
      </c>
      <c r="L720" s="110" t="s">
        <v>468</v>
      </c>
      <c r="M720" s="110" t="s">
        <v>129</v>
      </c>
      <c r="N720" s="110" t="s">
        <v>130</v>
      </c>
      <c r="O720" s="110" t="s">
        <v>3036</v>
      </c>
      <c r="P720" s="110" t="s">
        <v>132</v>
      </c>
      <c r="Q720" s="110" t="s">
        <v>96</v>
      </c>
      <c r="R720" s="121">
        <v>0.67900000000000005</v>
      </c>
      <c r="S720" s="113" t="e">
        <f t="shared" si="22"/>
        <v>#VALUE!</v>
      </c>
      <c r="T720" s="113">
        <f t="shared" si="23"/>
        <v>0</v>
      </c>
    </row>
    <row r="721" spans="1:20" s="109" customFormat="1" x14ac:dyDescent="0.2">
      <c r="A721" s="116"/>
      <c r="B721" s="111"/>
      <c r="C721" s="110" t="s">
        <v>3033</v>
      </c>
      <c r="D721" s="110" t="s">
        <v>3037</v>
      </c>
      <c r="E721" s="112" t="s">
        <v>3038</v>
      </c>
      <c r="F721" s="111" t="s">
        <v>126</v>
      </c>
      <c r="G721" s="133">
        <v>155</v>
      </c>
      <c r="H721" s="124"/>
      <c r="I721" s="133" t="str">
        <f>IF(H721&gt;0,(#REF!*H721),"-")</f>
        <v>-</v>
      </c>
      <c r="J721" s="113">
        <v>608</v>
      </c>
      <c r="K721" s="110" t="s">
        <v>389</v>
      </c>
      <c r="L721" s="110" t="s">
        <v>468</v>
      </c>
      <c r="M721" s="110" t="s">
        <v>129</v>
      </c>
      <c r="N721" s="110" t="s">
        <v>130</v>
      </c>
      <c r="O721" s="110" t="s">
        <v>3039</v>
      </c>
      <c r="P721" s="110" t="s">
        <v>132</v>
      </c>
      <c r="Q721" s="110" t="s">
        <v>96</v>
      </c>
      <c r="R721" s="121">
        <v>0.67900000000000005</v>
      </c>
      <c r="S721" s="113" t="e">
        <f t="shared" si="22"/>
        <v>#VALUE!</v>
      </c>
      <c r="T721" s="113">
        <f t="shared" si="23"/>
        <v>0</v>
      </c>
    </row>
    <row r="722" spans="1:20" s="109" customFormat="1" x14ac:dyDescent="0.2">
      <c r="A722" s="116"/>
      <c r="B722" s="111"/>
      <c r="C722" s="110" t="s">
        <v>3040</v>
      </c>
      <c r="D722" s="110" t="s">
        <v>3041</v>
      </c>
      <c r="E722" s="112" t="s">
        <v>3042</v>
      </c>
      <c r="F722" s="111" t="s">
        <v>126</v>
      </c>
      <c r="G722" s="133">
        <v>125</v>
      </c>
      <c r="H722" s="124"/>
      <c r="I722" s="133" t="str">
        <f>IF(H722&gt;0,(#REF!*H722),"-")</f>
        <v>-</v>
      </c>
      <c r="J722" s="113">
        <v>3024</v>
      </c>
      <c r="K722" s="110" t="s">
        <v>389</v>
      </c>
      <c r="L722" s="110" t="s">
        <v>468</v>
      </c>
      <c r="M722" s="110" t="s">
        <v>129</v>
      </c>
      <c r="N722" s="110" t="s">
        <v>130</v>
      </c>
      <c r="O722" s="110" t="s">
        <v>3043</v>
      </c>
      <c r="P722" s="110" t="s">
        <v>1036</v>
      </c>
      <c r="Q722" s="110" t="s">
        <v>97</v>
      </c>
      <c r="R722" s="121">
        <v>0.20100000000000001</v>
      </c>
      <c r="S722" s="113" t="e">
        <f t="shared" si="22"/>
        <v>#VALUE!</v>
      </c>
      <c r="T722" s="113">
        <f t="shared" si="23"/>
        <v>0</v>
      </c>
    </row>
    <row r="723" spans="1:20" s="109" customFormat="1" x14ac:dyDescent="0.2">
      <c r="A723" s="116"/>
      <c r="B723" s="111"/>
      <c r="C723" s="110" t="s">
        <v>3044</v>
      </c>
      <c r="D723" s="110" t="s">
        <v>3045</v>
      </c>
      <c r="E723" s="112" t="s">
        <v>3046</v>
      </c>
      <c r="F723" s="111" t="s">
        <v>126</v>
      </c>
      <c r="G723" s="133">
        <v>340</v>
      </c>
      <c r="H723" s="124"/>
      <c r="I723" s="133" t="str">
        <f>IF(H723&gt;0,(#REF!*H723),"-")</f>
        <v>-</v>
      </c>
      <c r="J723" s="113">
        <v>10928</v>
      </c>
      <c r="K723" s="110" t="s">
        <v>389</v>
      </c>
      <c r="L723" s="110" t="s">
        <v>468</v>
      </c>
      <c r="M723" s="110" t="s">
        <v>129</v>
      </c>
      <c r="N723" s="110" t="s">
        <v>130</v>
      </c>
      <c r="O723" s="110" t="s">
        <v>3047</v>
      </c>
      <c r="P723" s="110" t="s">
        <v>137</v>
      </c>
      <c r="Q723" s="110" t="s">
        <v>97</v>
      </c>
      <c r="R723" s="121">
        <v>1.996</v>
      </c>
      <c r="S723" s="113" t="e">
        <f t="shared" si="22"/>
        <v>#VALUE!</v>
      </c>
      <c r="T723" s="113">
        <f t="shared" si="23"/>
        <v>0</v>
      </c>
    </row>
    <row r="724" spans="1:20" s="109" customFormat="1" x14ac:dyDescent="0.2">
      <c r="A724" s="116"/>
      <c r="B724" s="111"/>
      <c r="C724" s="110" t="s">
        <v>3048</v>
      </c>
      <c r="D724" s="110" t="s">
        <v>3049</v>
      </c>
      <c r="E724" s="112" t="s">
        <v>3050</v>
      </c>
      <c r="F724" s="111" t="s">
        <v>126</v>
      </c>
      <c r="G724" s="133">
        <v>340</v>
      </c>
      <c r="H724" s="124"/>
      <c r="I724" s="133" t="str">
        <f>IF(H724&gt;0,(#REF!*H724),"-")</f>
        <v>-</v>
      </c>
      <c r="J724" s="113">
        <v>7233</v>
      </c>
      <c r="K724" s="110" t="s">
        <v>389</v>
      </c>
      <c r="L724" s="110" t="s">
        <v>468</v>
      </c>
      <c r="M724" s="110" t="s">
        <v>129</v>
      </c>
      <c r="N724" s="110" t="s">
        <v>130</v>
      </c>
      <c r="O724" s="110" t="s">
        <v>3051</v>
      </c>
      <c r="P724" s="110" t="s">
        <v>137</v>
      </c>
      <c r="Q724" s="110" t="s">
        <v>97</v>
      </c>
      <c r="R724" s="121">
        <v>1.9378</v>
      </c>
      <c r="S724" s="113" t="e">
        <f t="shared" si="22"/>
        <v>#VALUE!</v>
      </c>
      <c r="T724" s="113">
        <f t="shared" si="23"/>
        <v>0</v>
      </c>
    </row>
    <row r="725" spans="1:20" s="109" customFormat="1" x14ac:dyDescent="0.2">
      <c r="A725" s="116"/>
      <c r="B725" s="111"/>
      <c r="C725" s="110" t="s">
        <v>3052</v>
      </c>
      <c r="D725" s="110" t="s">
        <v>3053</v>
      </c>
      <c r="E725" s="112" t="s">
        <v>3054</v>
      </c>
      <c r="F725" s="111" t="s">
        <v>126</v>
      </c>
      <c r="G725" s="133">
        <v>125</v>
      </c>
      <c r="H725" s="124"/>
      <c r="I725" s="133" t="str">
        <f>IF(H725&gt;0,(#REF!*H725),"-")</f>
        <v>-</v>
      </c>
      <c r="J725" s="113">
        <v>549</v>
      </c>
      <c r="K725" s="110" t="s">
        <v>389</v>
      </c>
      <c r="L725" s="110" t="s">
        <v>468</v>
      </c>
      <c r="M725" s="110" t="s">
        <v>129</v>
      </c>
      <c r="N725" s="110" t="s">
        <v>130</v>
      </c>
      <c r="O725" s="110" t="s">
        <v>3055</v>
      </c>
      <c r="P725" s="110" t="s">
        <v>132</v>
      </c>
      <c r="Q725" s="110" t="s">
        <v>97</v>
      </c>
      <c r="R725" s="121">
        <v>0.53600000000000003</v>
      </c>
      <c r="S725" s="113" t="e">
        <f t="shared" si="22"/>
        <v>#VALUE!</v>
      </c>
      <c r="T725" s="113">
        <f t="shared" si="23"/>
        <v>0</v>
      </c>
    </row>
    <row r="726" spans="1:20" s="109" customFormat="1" x14ac:dyDescent="0.2">
      <c r="A726" s="116"/>
      <c r="B726" s="111"/>
      <c r="C726" s="110" t="s">
        <v>3052</v>
      </c>
      <c r="D726" s="110" t="s">
        <v>3056</v>
      </c>
      <c r="E726" s="112" t="s">
        <v>3057</v>
      </c>
      <c r="F726" s="111" t="s">
        <v>126</v>
      </c>
      <c r="G726" s="133">
        <v>125</v>
      </c>
      <c r="H726" s="124"/>
      <c r="I726" s="133" t="str">
        <f>IF(H726&gt;0,(#REF!*H726),"-")</f>
        <v>-</v>
      </c>
      <c r="J726" s="113">
        <v>826</v>
      </c>
      <c r="K726" s="110" t="s">
        <v>389</v>
      </c>
      <c r="L726" s="110" t="s">
        <v>468</v>
      </c>
      <c r="M726" s="110" t="s">
        <v>129</v>
      </c>
      <c r="N726" s="110" t="s">
        <v>130</v>
      </c>
      <c r="O726" s="110" t="s">
        <v>3058</v>
      </c>
      <c r="P726" s="110" t="s">
        <v>132</v>
      </c>
      <c r="Q726" s="110" t="s">
        <v>97</v>
      </c>
      <c r="R726" s="121">
        <v>0.74790000000000001</v>
      </c>
      <c r="S726" s="113" t="e">
        <f t="shared" si="22"/>
        <v>#VALUE!</v>
      </c>
      <c r="T726" s="113">
        <f t="shared" si="23"/>
        <v>0</v>
      </c>
    </row>
    <row r="727" spans="1:20" s="109" customFormat="1" x14ac:dyDescent="0.2">
      <c r="A727" s="116"/>
      <c r="B727" s="111" t="s">
        <v>959</v>
      </c>
      <c r="C727" s="110" t="s">
        <v>3059</v>
      </c>
      <c r="D727" s="110" t="s">
        <v>3060</v>
      </c>
      <c r="E727" s="112" t="s">
        <v>3061</v>
      </c>
      <c r="F727" s="111" t="s">
        <v>130</v>
      </c>
      <c r="G727" s="133">
        <v>140</v>
      </c>
      <c r="H727" s="124"/>
      <c r="I727" s="133" t="str">
        <f>IF(H727&gt;0,(#REF!*H727),"-")</f>
        <v>-</v>
      </c>
      <c r="J727" s="113">
        <v>1424</v>
      </c>
      <c r="K727" s="110" t="s">
        <v>389</v>
      </c>
      <c r="L727" s="110" t="s">
        <v>468</v>
      </c>
      <c r="M727" s="110" t="s">
        <v>129</v>
      </c>
      <c r="N727" s="110" t="s">
        <v>130</v>
      </c>
      <c r="O727" s="110" t="s">
        <v>3062</v>
      </c>
      <c r="P727" s="110" t="s">
        <v>137</v>
      </c>
      <c r="Q727" s="110" t="s">
        <v>96</v>
      </c>
      <c r="R727" s="121">
        <v>0.13700000000000001</v>
      </c>
      <c r="S727" s="113" t="e">
        <f t="shared" si="22"/>
        <v>#VALUE!</v>
      </c>
      <c r="T727" s="113">
        <f t="shared" si="23"/>
        <v>0</v>
      </c>
    </row>
    <row r="728" spans="1:20" s="109" customFormat="1" x14ac:dyDescent="0.2">
      <c r="A728" s="116"/>
      <c r="B728" s="111"/>
      <c r="C728" s="110" t="s">
        <v>3063</v>
      </c>
      <c r="D728" s="110" t="s">
        <v>3064</v>
      </c>
      <c r="E728" s="112" t="s">
        <v>3065</v>
      </c>
      <c r="F728" s="111" t="s">
        <v>126</v>
      </c>
      <c r="G728" s="133">
        <v>1240</v>
      </c>
      <c r="H728" s="124"/>
      <c r="I728" s="133" t="str">
        <f>IF(H728&gt;0,(#REF!*H728),"-")</f>
        <v>-</v>
      </c>
      <c r="J728" s="113">
        <v>53868</v>
      </c>
      <c r="K728" s="110" t="s">
        <v>389</v>
      </c>
      <c r="L728" s="110" t="s">
        <v>468</v>
      </c>
      <c r="M728" s="110" t="s">
        <v>129</v>
      </c>
      <c r="N728" s="110" t="s">
        <v>130</v>
      </c>
      <c r="O728" s="110" t="s">
        <v>3066</v>
      </c>
      <c r="P728" s="110" t="s">
        <v>137</v>
      </c>
      <c r="Q728" s="110" t="s">
        <v>97</v>
      </c>
      <c r="R728" s="121">
        <v>12</v>
      </c>
      <c r="S728" s="113" t="e">
        <f t="shared" si="22"/>
        <v>#VALUE!</v>
      </c>
      <c r="T728" s="113">
        <f t="shared" si="23"/>
        <v>0</v>
      </c>
    </row>
    <row r="729" spans="1:20" s="109" customFormat="1" x14ac:dyDescent="0.2">
      <c r="A729" s="116"/>
      <c r="B729" s="111"/>
      <c r="C729" s="110" t="s">
        <v>3067</v>
      </c>
      <c r="D729" s="110" t="s">
        <v>3068</v>
      </c>
      <c r="E729" s="112" t="s">
        <v>3069</v>
      </c>
      <c r="F729" s="111" t="s">
        <v>126</v>
      </c>
      <c r="G729" s="133">
        <v>280</v>
      </c>
      <c r="H729" s="124"/>
      <c r="I729" s="133" t="str">
        <f>IF(H729&gt;0,(#REF!*H729),"-")</f>
        <v>-</v>
      </c>
      <c r="J729" s="113">
        <v>4232</v>
      </c>
      <c r="K729" s="110" t="s">
        <v>389</v>
      </c>
      <c r="L729" s="110" t="s">
        <v>468</v>
      </c>
      <c r="M729" s="110" t="s">
        <v>129</v>
      </c>
      <c r="N729" s="110" t="s">
        <v>130</v>
      </c>
      <c r="O729" s="110" t="s">
        <v>3070</v>
      </c>
      <c r="P729" s="110" t="s">
        <v>137</v>
      </c>
      <c r="Q729" s="110" t="s">
        <v>97</v>
      </c>
      <c r="R729" s="121">
        <v>0.67479999999999996</v>
      </c>
      <c r="S729" s="113" t="e">
        <f t="shared" si="22"/>
        <v>#VALUE!</v>
      </c>
      <c r="T729" s="113">
        <f t="shared" si="23"/>
        <v>0</v>
      </c>
    </row>
    <row r="730" spans="1:20" s="109" customFormat="1" x14ac:dyDescent="0.2">
      <c r="A730" s="116"/>
      <c r="B730" s="111"/>
      <c r="C730" s="110" t="s">
        <v>3071</v>
      </c>
      <c r="D730" s="110" t="s">
        <v>3072</v>
      </c>
      <c r="E730" s="112" t="s">
        <v>3073</v>
      </c>
      <c r="F730" s="111" t="s">
        <v>126</v>
      </c>
      <c r="G730" s="133">
        <v>215</v>
      </c>
      <c r="H730" s="124"/>
      <c r="I730" s="133" t="str">
        <f>IF(H730&gt;0,(#REF!*H730),"-")</f>
        <v>-</v>
      </c>
      <c r="J730" s="113">
        <v>3537</v>
      </c>
      <c r="K730" s="110" t="s">
        <v>389</v>
      </c>
      <c r="L730" s="110" t="s">
        <v>468</v>
      </c>
      <c r="M730" s="110" t="s">
        <v>129</v>
      </c>
      <c r="N730" s="110" t="s">
        <v>130</v>
      </c>
      <c r="O730" s="110" t="s">
        <v>3074</v>
      </c>
      <c r="P730" s="110" t="s">
        <v>137</v>
      </c>
      <c r="Q730" s="110" t="s">
        <v>97</v>
      </c>
      <c r="R730" s="121">
        <v>0.5766</v>
      </c>
      <c r="S730" s="113" t="e">
        <f t="shared" si="22"/>
        <v>#VALUE!</v>
      </c>
      <c r="T730" s="113">
        <f t="shared" si="23"/>
        <v>0</v>
      </c>
    </row>
    <row r="731" spans="1:20" s="109" customFormat="1" x14ac:dyDescent="0.2">
      <c r="A731" s="116"/>
      <c r="B731" s="111"/>
      <c r="C731" s="110" t="s">
        <v>3075</v>
      </c>
      <c r="D731" s="110" t="s">
        <v>3076</v>
      </c>
      <c r="E731" s="112" t="s">
        <v>3077</v>
      </c>
      <c r="F731" s="111" t="s">
        <v>126</v>
      </c>
      <c r="G731" s="133">
        <v>155</v>
      </c>
      <c r="H731" s="124"/>
      <c r="I731" s="133" t="str">
        <f>IF(H731&gt;0,(#REF!*H731),"-")</f>
        <v>-</v>
      </c>
      <c r="J731" s="113">
        <v>4262</v>
      </c>
      <c r="K731" s="110" t="s">
        <v>389</v>
      </c>
      <c r="L731" s="110" t="s">
        <v>468</v>
      </c>
      <c r="M731" s="110" t="s">
        <v>129</v>
      </c>
      <c r="N731" s="110" t="s">
        <v>130</v>
      </c>
      <c r="O731" s="110" t="s">
        <v>3078</v>
      </c>
      <c r="P731" s="110" t="s">
        <v>137</v>
      </c>
      <c r="Q731" s="110" t="s">
        <v>97</v>
      </c>
      <c r="R731" s="121">
        <v>0.51</v>
      </c>
      <c r="S731" s="113" t="e">
        <f t="shared" si="22"/>
        <v>#VALUE!</v>
      </c>
      <c r="T731" s="113">
        <f t="shared" si="23"/>
        <v>0</v>
      </c>
    </row>
    <row r="732" spans="1:20" s="109" customFormat="1" x14ac:dyDescent="0.2">
      <c r="A732" s="116"/>
      <c r="B732" s="111"/>
      <c r="C732" s="110" t="s">
        <v>3079</v>
      </c>
      <c r="D732" s="110" t="s">
        <v>3080</v>
      </c>
      <c r="E732" s="112" t="s">
        <v>3081</v>
      </c>
      <c r="F732" s="111" t="s">
        <v>126</v>
      </c>
      <c r="G732" s="133">
        <v>60</v>
      </c>
      <c r="H732" s="124"/>
      <c r="I732" s="133" t="str">
        <f>IF(H732&gt;0,(#REF!*H732),"-")</f>
        <v>-</v>
      </c>
      <c r="J732" s="113">
        <v>622</v>
      </c>
      <c r="K732" s="110" t="s">
        <v>389</v>
      </c>
      <c r="L732" s="110" t="s">
        <v>468</v>
      </c>
      <c r="M732" s="110" t="s">
        <v>129</v>
      </c>
      <c r="N732" s="110" t="s">
        <v>130</v>
      </c>
      <c r="O732" s="110" t="s">
        <v>3082</v>
      </c>
      <c r="P732" s="110" t="s">
        <v>137</v>
      </c>
      <c r="Q732" s="110" t="s">
        <v>97</v>
      </c>
      <c r="R732" s="121">
        <v>9.0800000000000006E-2</v>
      </c>
      <c r="S732" s="113" t="e">
        <f t="shared" si="22"/>
        <v>#VALUE!</v>
      </c>
      <c r="T732" s="113">
        <f t="shared" si="23"/>
        <v>0</v>
      </c>
    </row>
    <row r="733" spans="1:20" s="109" customFormat="1" x14ac:dyDescent="0.2">
      <c r="A733" s="116"/>
      <c r="B733" s="111"/>
      <c r="C733" s="110" t="s">
        <v>3083</v>
      </c>
      <c r="D733" s="110" t="s">
        <v>3084</v>
      </c>
      <c r="E733" s="112" t="s">
        <v>3085</v>
      </c>
      <c r="F733" s="111" t="s">
        <v>126</v>
      </c>
      <c r="G733" s="133">
        <v>340</v>
      </c>
      <c r="H733" s="124"/>
      <c r="I733" s="133" t="str">
        <f>IF(H733&gt;0,(#REF!*H733),"-")</f>
        <v>-</v>
      </c>
      <c r="J733" s="113">
        <v>8642</v>
      </c>
      <c r="K733" s="110" t="s">
        <v>389</v>
      </c>
      <c r="L733" s="110" t="s">
        <v>468</v>
      </c>
      <c r="M733" s="110" t="s">
        <v>129</v>
      </c>
      <c r="N733" s="110" t="s">
        <v>130</v>
      </c>
      <c r="O733" s="110" t="s">
        <v>3086</v>
      </c>
      <c r="P733" s="110" t="s">
        <v>137</v>
      </c>
      <c r="Q733" s="110" t="s">
        <v>96</v>
      </c>
      <c r="R733" s="121">
        <v>1.2</v>
      </c>
      <c r="S733" s="113" t="e">
        <f t="shared" si="22"/>
        <v>#VALUE!</v>
      </c>
      <c r="T733" s="113">
        <f t="shared" si="23"/>
        <v>0</v>
      </c>
    </row>
    <row r="734" spans="1:20" s="109" customFormat="1" x14ac:dyDescent="0.2">
      <c r="A734" s="116"/>
      <c r="B734" s="111"/>
      <c r="C734" s="110" t="s">
        <v>3087</v>
      </c>
      <c r="D734" s="110" t="s">
        <v>3088</v>
      </c>
      <c r="E734" s="112" t="s">
        <v>3089</v>
      </c>
      <c r="F734" s="111" t="s">
        <v>126</v>
      </c>
      <c r="G734" s="133">
        <v>310</v>
      </c>
      <c r="H734" s="124"/>
      <c r="I734" s="133" t="str">
        <f>IF(H734&gt;0,(#REF!*H734),"-")</f>
        <v>-</v>
      </c>
      <c r="J734" s="113">
        <v>9300</v>
      </c>
      <c r="K734" s="110" t="s">
        <v>389</v>
      </c>
      <c r="L734" s="110" t="s">
        <v>468</v>
      </c>
      <c r="M734" s="110" t="s">
        <v>129</v>
      </c>
      <c r="N734" s="110" t="s">
        <v>130</v>
      </c>
      <c r="O734" s="110" t="s">
        <v>3090</v>
      </c>
      <c r="P734" s="110" t="s">
        <v>137</v>
      </c>
      <c r="Q734" s="110" t="s">
        <v>97</v>
      </c>
      <c r="R734" s="121">
        <v>3.34</v>
      </c>
      <c r="S734" s="113" t="e">
        <f t="shared" si="22"/>
        <v>#VALUE!</v>
      </c>
      <c r="T734" s="113">
        <f t="shared" si="23"/>
        <v>0</v>
      </c>
    </row>
    <row r="735" spans="1:20" s="109" customFormat="1" x14ac:dyDescent="0.2">
      <c r="A735" s="116"/>
      <c r="B735" s="111"/>
      <c r="C735" s="110" t="s">
        <v>3091</v>
      </c>
      <c r="D735" s="110" t="s">
        <v>3092</v>
      </c>
      <c r="E735" s="112" t="s">
        <v>3093</v>
      </c>
      <c r="F735" s="111" t="s">
        <v>126</v>
      </c>
      <c r="G735" s="133">
        <v>140</v>
      </c>
      <c r="H735" s="124"/>
      <c r="I735" s="133" t="str">
        <f>IF(H735&gt;0,(#REF!*H735),"-")</f>
        <v>-</v>
      </c>
      <c r="J735" s="113">
        <v>2693</v>
      </c>
      <c r="K735" s="110" t="s">
        <v>389</v>
      </c>
      <c r="L735" s="110" t="s">
        <v>468</v>
      </c>
      <c r="M735" s="110" t="s">
        <v>129</v>
      </c>
      <c r="N735" s="110" t="s">
        <v>130</v>
      </c>
      <c r="O735" s="110" t="s">
        <v>3094</v>
      </c>
      <c r="P735" s="110" t="s">
        <v>137</v>
      </c>
      <c r="Q735" s="110" t="s">
        <v>97</v>
      </c>
      <c r="R735" s="121">
        <v>0.52700000000000002</v>
      </c>
      <c r="S735" s="113" t="e">
        <f t="shared" si="22"/>
        <v>#VALUE!</v>
      </c>
      <c r="T735" s="113">
        <f t="shared" si="23"/>
        <v>0</v>
      </c>
    </row>
    <row r="736" spans="1:20" s="109" customFormat="1" x14ac:dyDescent="0.2">
      <c r="A736" s="116"/>
      <c r="B736" s="111"/>
      <c r="C736" s="110" t="s">
        <v>3095</v>
      </c>
      <c r="D736" s="110" t="s">
        <v>3096</v>
      </c>
      <c r="E736" s="112" t="s">
        <v>3097</v>
      </c>
      <c r="F736" s="111" t="s">
        <v>126</v>
      </c>
      <c r="G736" s="133">
        <v>200</v>
      </c>
      <c r="H736" s="124"/>
      <c r="I736" s="133" t="str">
        <f>IF(H736&gt;0,(#REF!*H736),"-")</f>
        <v>-</v>
      </c>
      <c r="J736" s="113">
        <v>3718</v>
      </c>
      <c r="K736" s="110" t="s">
        <v>389</v>
      </c>
      <c r="L736" s="110" t="s">
        <v>468</v>
      </c>
      <c r="M736" s="110" t="s">
        <v>129</v>
      </c>
      <c r="N736" s="110" t="s">
        <v>130</v>
      </c>
      <c r="O736" s="110" t="s">
        <v>3098</v>
      </c>
      <c r="P736" s="110" t="s">
        <v>137</v>
      </c>
      <c r="Q736" s="110" t="s">
        <v>97</v>
      </c>
      <c r="R736" s="121">
        <v>0.80800000000000005</v>
      </c>
      <c r="S736" s="113" t="e">
        <f t="shared" si="22"/>
        <v>#VALUE!</v>
      </c>
      <c r="T736" s="113">
        <f t="shared" si="23"/>
        <v>0</v>
      </c>
    </row>
    <row r="737" spans="1:20" s="109" customFormat="1" x14ac:dyDescent="0.2">
      <c r="A737" s="116"/>
      <c r="B737" s="111"/>
      <c r="C737" s="110" t="s">
        <v>3099</v>
      </c>
      <c r="D737" s="110" t="s">
        <v>3100</v>
      </c>
      <c r="E737" s="112" t="s">
        <v>3101</v>
      </c>
      <c r="F737" s="111" t="s">
        <v>126</v>
      </c>
      <c r="G737" s="133">
        <v>170</v>
      </c>
      <c r="H737" s="124"/>
      <c r="I737" s="133" t="str">
        <f>IF(H737&gt;0,(#REF!*H737),"-")</f>
        <v>-</v>
      </c>
      <c r="J737" s="113">
        <v>4932</v>
      </c>
      <c r="K737" s="110" t="s">
        <v>389</v>
      </c>
      <c r="L737" s="110" t="s">
        <v>468</v>
      </c>
      <c r="M737" s="110" t="s">
        <v>129</v>
      </c>
      <c r="N737" s="110" t="s">
        <v>130</v>
      </c>
      <c r="O737" s="110" t="s">
        <v>3102</v>
      </c>
      <c r="P737" s="110" t="s">
        <v>137</v>
      </c>
      <c r="Q737" s="110" t="s">
        <v>97</v>
      </c>
      <c r="R737" s="121">
        <v>0.66500000000000004</v>
      </c>
      <c r="S737" s="113" t="e">
        <f t="shared" si="22"/>
        <v>#VALUE!</v>
      </c>
      <c r="T737" s="113">
        <f t="shared" si="23"/>
        <v>0</v>
      </c>
    </row>
    <row r="738" spans="1:20" s="109" customFormat="1" x14ac:dyDescent="0.2">
      <c r="A738" s="116"/>
      <c r="B738" s="111"/>
      <c r="C738" s="110" t="s">
        <v>3103</v>
      </c>
      <c r="D738" s="110" t="s">
        <v>3104</v>
      </c>
      <c r="E738" s="112" t="s">
        <v>3105</v>
      </c>
      <c r="F738" s="111" t="s">
        <v>126</v>
      </c>
      <c r="G738" s="133">
        <v>250</v>
      </c>
      <c r="H738" s="124"/>
      <c r="I738" s="133" t="str">
        <f>IF(H738&gt;0,(#REF!*H738),"-")</f>
        <v>-</v>
      </c>
      <c r="J738" s="113">
        <v>6863</v>
      </c>
      <c r="K738" s="110" t="s">
        <v>389</v>
      </c>
      <c r="L738" s="110" t="s">
        <v>468</v>
      </c>
      <c r="M738" s="110" t="s">
        <v>129</v>
      </c>
      <c r="N738" s="110" t="s">
        <v>130</v>
      </c>
      <c r="O738" s="110" t="s">
        <v>3106</v>
      </c>
      <c r="P738" s="110" t="s">
        <v>137</v>
      </c>
      <c r="Q738" s="110" t="s">
        <v>97</v>
      </c>
      <c r="R738" s="121">
        <v>0.91200000000000003</v>
      </c>
      <c r="S738" s="113" t="e">
        <f t="shared" si="22"/>
        <v>#VALUE!</v>
      </c>
      <c r="T738" s="113">
        <f t="shared" si="23"/>
        <v>0</v>
      </c>
    </row>
    <row r="739" spans="1:20" s="109" customFormat="1" x14ac:dyDescent="0.2">
      <c r="A739" s="116"/>
      <c r="B739" s="111"/>
      <c r="C739" s="110" t="s">
        <v>3107</v>
      </c>
      <c r="D739" s="110" t="s">
        <v>3108</v>
      </c>
      <c r="E739" s="112" t="s">
        <v>3109</v>
      </c>
      <c r="F739" s="111" t="s">
        <v>126</v>
      </c>
      <c r="G739" s="133">
        <v>370</v>
      </c>
      <c r="H739" s="124"/>
      <c r="I739" s="133" t="str">
        <f>IF(H739&gt;0,(#REF!*H739),"-")</f>
        <v>-</v>
      </c>
      <c r="J739" s="113">
        <v>7875</v>
      </c>
      <c r="K739" s="110" t="s">
        <v>389</v>
      </c>
      <c r="L739" s="110" t="s">
        <v>468</v>
      </c>
      <c r="M739" s="110" t="s">
        <v>129</v>
      </c>
      <c r="N739" s="110" t="s">
        <v>130</v>
      </c>
      <c r="O739" s="110" t="s">
        <v>3110</v>
      </c>
      <c r="P739" s="110" t="s">
        <v>137</v>
      </c>
      <c r="Q739" s="110" t="s">
        <v>97</v>
      </c>
      <c r="R739" s="121">
        <v>1.1337999999999999</v>
      </c>
      <c r="S739" s="113" t="e">
        <f t="shared" si="22"/>
        <v>#VALUE!</v>
      </c>
      <c r="T739" s="113">
        <f t="shared" si="23"/>
        <v>0</v>
      </c>
    </row>
    <row r="740" spans="1:20" s="109" customFormat="1" x14ac:dyDescent="0.2">
      <c r="A740" s="116"/>
      <c r="B740" s="111"/>
      <c r="C740" s="110" t="s">
        <v>3111</v>
      </c>
      <c r="D740" s="110" t="s">
        <v>3112</v>
      </c>
      <c r="E740" s="112" t="s">
        <v>3113</v>
      </c>
      <c r="F740" s="111" t="s">
        <v>126</v>
      </c>
      <c r="G740" s="133">
        <v>590</v>
      </c>
      <c r="H740" s="124"/>
      <c r="I740" s="133" t="str">
        <f>IF(H740&gt;0,(#REF!*H740),"-")</f>
        <v>-</v>
      </c>
      <c r="J740" s="113">
        <v>10328</v>
      </c>
      <c r="K740" s="110" t="s">
        <v>389</v>
      </c>
      <c r="L740" s="110" t="s">
        <v>468</v>
      </c>
      <c r="M740" s="110" t="s">
        <v>129</v>
      </c>
      <c r="N740" s="110" t="s">
        <v>130</v>
      </c>
      <c r="O740" s="110" t="s">
        <v>3114</v>
      </c>
      <c r="P740" s="110" t="s">
        <v>137</v>
      </c>
      <c r="Q740" s="110" t="s">
        <v>97</v>
      </c>
      <c r="R740" s="121">
        <v>1.528</v>
      </c>
      <c r="S740" s="113" t="e">
        <f t="shared" si="22"/>
        <v>#VALUE!</v>
      </c>
      <c r="T740" s="113">
        <f t="shared" si="23"/>
        <v>0</v>
      </c>
    </row>
    <row r="741" spans="1:20" s="109" customFormat="1" x14ac:dyDescent="0.2">
      <c r="A741" s="116"/>
      <c r="B741" s="111"/>
      <c r="C741" s="110" t="s">
        <v>3115</v>
      </c>
      <c r="D741" s="110" t="s">
        <v>3116</v>
      </c>
      <c r="E741" s="112" t="s">
        <v>3117</v>
      </c>
      <c r="F741" s="111" t="s">
        <v>126</v>
      </c>
      <c r="G741" s="133">
        <v>155</v>
      </c>
      <c r="H741" s="124"/>
      <c r="I741" s="133" t="str">
        <f>IF(H741&gt;0,(#REF!*H741),"-")</f>
        <v>-</v>
      </c>
      <c r="J741" s="113">
        <v>3640</v>
      </c>
      <c r="K741" s="110" t="s">
        <v>389</v>
      </c>
      <c r="L741" s="110" t="s">
        <v>468</v>
      </c>
      <c r="M741" s="110" t="s">
        <v>129</v>
      </c>
      <c r="N741" s="110" t="s">
        <v>130</v>
      </c>
      <c r="O741" s="110" t="s">
        <v>3118</v>
      </c>
      <c r="P741" s="110" t="s">
        <v>137</v>
      </c>
      <c r="Q741" s="110" t="s">
        <v>97</v>
      </c>
      <c r="R741" s="121">
        <v>0.45</v>
      </c>
      <c r="S741" s="113" t="e">
        <f t="shared" si="22"/>
        <v>#VALUE!</v>
      </c>
      <c r="T741" s="113">
        <f t="shared" si="23"/>
        <v>0</v>
      </c>
    </row>
    <row r="742" spans="1:20" s="109" customFormat="1" x14ac:dyDescent="0.2">
      <c r="A742" s="116"/>
      <c r="B742" s="111"/>
      <c r="C742" s="110" t="s">
        <v>3119</v>
      </c>
      <c r="D742" s="110" t="s">
        <v>3120</v>
      </c>
      <c r="E742" s="112" t="s">
        <v>3121</v>
      </c>
      <c r="F742" s="111" t="s">
        <v>126</v>
      </c>
      <c r="G742" s="133">
        <v>125</v>
      </c>
      <c r="H742" s="124"/>
      <c r="I742" s="133" t="str">
        <f>IF(H742&gt;0,(#REF!*H742),"-")</f>
        <v>-</v>
      </c>
      <c r="J742" s="113">
        <v>1783</v>
      </c>
      <c r="K742" s="110" t="s">
        <v>389</v>
      </c>
      <c r="L742" s="110" t="s">
        <v>468</v>
      </c>
      <c r="M742" s="110" t="s">
        <v>129</v>
      </c>
      <c r="N742" s="110" t="s">
        <v>130</v>
      </c>
      <c r="O742" s="110" t="s">
        <v>3122</v>
      </c>
      <c r="P742" s="110" t="s">
        <v>137</v>
      </c>
      <c r="Q742" s="110" t="s">
        <v>97</v>
      </c>
      <c r="R742" s="121">
        <v>0.184</v>
      </c>
      <c r="S742" s="113" t="e">
        <f t="shared" si="22"/>
        <v>#VALUE!</v>
      </c>
      <c r="T742" s="113">
        <f t="shared" si="23"/>
        <v>0</v>
      </c>
    </row>
    <row r="743" spans="1:20" s="109" customFormat="1" x14ac:dyDescent="0.2">
      <c r="A743" s="116"/>
      <c r="B743" s="111"/>
      <c r="C743" s="110" t="s">
        <v>3123</v>
      </c>
      <c r="D743" s="110" t="s">
        <v>3124</v>
      </c>
      <c r="E743" s="112" t="s">
        <v>3125</v>
      </c>
      <c r="F743" s="111" t="s">
        <v>126</v>
      </c>
      <c r="G743" s="133">
        <v>140</v>
      </c>
      <c r="H743" s="124"/>
      <c r="I743" s="133" t="str">
        <f>IF(H743&gt;0,(#REF!*H743),"-")</f>
        <v>-</v>
      </c>
      <c r="J743" s="113">
        <v>1476</v>
      </c>
      <c r="K743" s="110" t="s">
        <v>389</v>
      </c>
      <c r="L743" s="110" t="s">
        <v>468</v>
      </c>
      <c r="M743" s="110" t="s">
        <v>129</v>
      </c>
      <c r="N743" s="110" t="s">
        <v>130</v>
      </c>
      <c r="O743" s="110" t="s">
        <v>3126</v>
      </c>
      <c r="P743" s="110" t="s">
        <v>137</v>
      </c>
      <c r="Q743" s="110" t="s">
        <v>97</v>
      </c>
      <c r="R743" s="121">
        <v>0.251</v>
      </c>
      <c r="S743" s="113" t="e">
        <f t="shared" si="22"/>
        <v>#VALUE!</v>
      </c>
      <c r="T743" s="113">
        <f t="shared" si="23"/>
        <v>0</v>
      </c>
    </row>
    <row r="744" spans="1:20" s="109" customFormat="1" x14ac:dyDescent="0.2">
      <c r="A744" s="116"/>
      <c r="B744" s="111"/>
      <c r="C744" s="110" t="s">
        <v>3127</v>
      </c>
      <c r="D744" s="110" t="s">
        <v>3128</v>
      </c>
      <c r="E744" s="112" t="s">
        <v>3129</v>
      </c>
      <c r="F744" s="111" t="s">
        <v>126</v>
      </c>
      <c r="G744" s="133">
        <v>125</v>
      </c>
      <c r="H744" s="124"/>
      <c r="I744" s="133" t="str">
        <f>IF(H744&gt;0,(#REF!*H744),"-")</f>
        <v>-</v>
      </c>
      <c r="J744" s="113">
        <v>1587</v>
      </c>
      <c r="K744" s="110" t="s">
        <v>389</v>
      </c>
      <c r="L744" s="110" t="s">
        <v>468</v>
      </c>
      <c r="M744" s="110" t="s">
        <v>129</v>
      </c>
      <c r="N744" s="110" t="s">
        <v>130</v>
      </c>
      <c r="O744" s="110" t="s">
        <v>3130</v>
      </c>
      <c r="P744" s="110" t="s">
        <v>137</v>
      </c>
      <c r="Q744" s="110" t="s">
        <v>96</v>
      </c>
      <c r="R744" s="121">
        <v>0.17799999999999999</v>
      </c>
      <c r="S744" s="113" t="e">
        <f t="shared" si="22"/>
        <v>#VALUE!</v>
      </c>
      <c r="T744" s="113">
        <f t="shared" si="23"/>
        <v>0</v>
      </c>
    </row>
    <row r="745" spans="1:20" s="109" customFormat="1" x14ac:dyDescent="0.2">
      <c r="A745" s="116"/>
      <c r="B745" s="111" t="s">
        <v>1037</v>
      </c>
      <c r="C745" s="110" t="s">
        <v>3131</v>
      </c>
      <c r="D745" s="110" t="s">
        <v>3132</v>
      </c>
      <c r="E745" s="112" t="s">
        <v>3133</v>
      </c>
      <c r="F745" s="111" t="s">
        <v>130</v>
      </c>
      <c r="G745" s="133">
        <v>140</v>
      </c>
      <c r="H745" s="124"/>
      <c r="I745" s="133" t="str">
        <f>IF(H745&gt;0,(#REF!*H745),"-")</f>
        <v>-</v>
      </c>
      <c r="J745" s="113">
        <v>1099</v>
      </c>
      <c r="K745" s="110" t="s">
        <v>389</v>
      </c>
      <c r="L745" s="110" t="s">
        <v>468</v>
      </c>
      <c r="M745" s="110" t="s">
        <v>129</v>
      </c>
      <c r="N745" s="110" t="s">
        <v>130</v>
      </c>
      <c r="O745" s="110" t="s">
        <v>3134</v>
      </c>
      <c r="P745" s="110" t="s">
        <v>137</v>
      </c>
      <c r="Q745" s="110" t="s">
        <v>96</v>
      </c>
      <c r="R745" s="121">
        <v>0.23</v>
      </c>
      <c r="S745" s="113" t="e">
        <f t="shared" si="22"/>
        <v>#VALUE!</v>
      </c>
      <c r="T745" s="113">
        <f t="shared" si="23"/>
        <v>0</v>
      </c>
    </row>
    <row r="746" spans="1:20" s="109" customFormat="1" x14ac:dyDescent="0.2">
      <c r="A746" s="116"/>
      <c r="B746" s="111" t="s">
        <v>959</v>
      </c>
      <c r="C746" s="110" t="s">
        <v>3135</v>
      </c>
      <c r="D746" s="110" t="s">
        <v>3136</v>
      </c>
      <c r="E746" s="112" t="s">
        <v>3137</v>
      </c>
      <c r="F746" s="111" t="s">
        <v>130</v>
      </c>
      <c r="G746" s="133">
        <v>140</v>
      </c>
      <c r="H746" s="124"/>
      <c r="I746" s="133" t="str">
        <f>IF(H746&gt;0,(#REF!*H746),"-")</f>
        <v>-</v>
      </c>
      <c r="J746" s="113">
        <v>1099</v>
      </c>
      <c r="K746" s="110" t="s">
        <v>389</v>
      </c>
      <c r="L746" s="110" t="s">
        <v>468</v>
      </c>
      <c r="M746" s="110" t="s">
        <v>129</v>
      </c>
      <c r="N746" s="110" t="s">
        <v>130</v>
      </c>
      <c r="O746" s="110" t="s">
        <v>3138</v>
      </c>
      <c r="P746" s="110" t="s">
        <v>137</v>
      </c>
      <c r="Q746" s="110" t="s">
        <v>96</v>
      </c>
      <c r="R746" s="121">
        <v>0.23899999999999999</v>
      </c>
      <c r="S746" s="113" t="e">
        <f t="shared" si="22"/>
        <v>#VALUE!</v>
      </c>
      <c r="T746" s="113">
        <f t="shared" si="23"/>
        <v>0</v>
      </c>
    </row>
    <row r="747" spans="1:20" s="109" customFormat="1" x14ac:dyDescent="0.2">
      <c r="A747" s="116"/>
      <c r="B747" s="111" t="s">
        <v>959</v>
      </c>
      <c r="C747" s="110" t="s">
        <v>3139</v>
      </c>
      <c r="D747" s="110" t="s">
        <v>3140</v>
      </c>
      <c r="E747" s="112" t="s">
        <v>3141</v>
      </c>
      <c r="F747" s="111" t="s">
        <v>130</v>
      </c>
      <c r="G747" s="133">
        <v>140</v>
      </c>
      <c r="H747" s="124"/>
      <c r="I747" s="133" t="str">
        <f>IF(H747&gt;0,(#REF!*H747),"-")</f>
        <v>-</v>
      </c>
      <c r="J747" s="113">
        <v>1099</v>
      </c>
      <c r="K747" s="110" t="s">
        <v>389</v>
      </c>
      <c r="L747" s="110" t="s">
        <v>468</v>
      </c>
      <c r="M747" s="110" t="s">
        <v>129</v>
      </c>
      <c r="N747" s="110" t="s">
        <v>130</v>
      </c>
      <c r="O747" s="110" t="s">
        <v>3142</v>
      </c>
      <c r="P747" s="110" t="s">
        <v>137</v>
      </c>
      <c r="Q747" s="110" t="s">
        <v>96</v>
      </c>
      <c r="R747" s="121">
        <v>0.252</v>
      </c>
      <c r="S747" s="113" t="e">
        <f t="shared" si="22"/>
        <v>#VALUE!</v>
      </c>
      <c r="T747" s="113">
        <f t="shared" si="23"/>
        <v>0</v>
      </c>
    </row>
    <row r="748" spans="1:20" s="109" customFormat="1" x14ac:dyDescent="0.2">
      <c r="A748" s="116"/>
      <c r="B748" s="111" t="s">
        <v>959</v>
      </c>
      <c r="C748" s="110" t="s">
        <v>3143</v>
      </c>
      <c r="D748" s="110" t="s">
        <v>3144</v>
      </c>
      <c r="E748" s="112" t="s">
        <v>3145</v>
      </c>
      <c r="F748" s="111" t="s">
        <v>130</v>
      </c>
      <c r="G748" s="133">
        <v>140</v>
      </c>
      <c r="H748" s="124"/>
      <c r="I748" s="133" t="str">
        <f>IF(H748&gt;0,(#REF!*H748),"-")</f>
        <v>-</v>
      </c>
      <c r="J748" s="113">
        <v>1099</v>
      </c>
      <c r="K748" s="110" t="s">
        <v>389</v>
      </c>
      <c r="L748" s="110" t="s">
        <v>468</v>
      </c>
      <c r="M748" s="110" t="s">
        <v>129</v>
      </c>
      <c r="N748" s="110" t="s">
        <v>130</v>
      </c>
      <c r="O748" s="110" t="s">
        <v>3146</v>
      </c>
      <c r="P748" s="110" t="s">
        <v>137</v>
      </c>
      <c r="Q748" s="110" t="s">
        <v>96</v>
      </c>
      <c r="R748" s="121">
        <v>0.24</v>
      </c>
      <c r="S748" s="113" t="e">
        <f t="shared" si="22"/>
        <v>#VALUE!</v>
      </c>
      <c r="T748" s="113">
        <f t="shared" si="23"/>
        <v>0</v>
      </c>
    </row>
    <row r="749" spans="1:20" s="109" customFormat="1" x14ac:dyDescent="0.2">
      <c r="A749" s="116"/>
      <c r="B749" s="111" t="s">
        <v>207</v>
      </c>
      <c r="C749" s="110" t="s">
        <v>3147</v>
      </c>
      <c r="D749" s="110" t="s">
        <v>3148</v>
      </c>
      <c r="E749" s="112" t="s">
        <v>3149</v>
      </c>
      <c r="F749" s="111" t="s">
        <v>130</v>
      </c>
      <c r="G749" s="133">
        <v>590</v>
      </c>
      <c r="H749" s="124"/>
      <c r="I749" s="133" t="str">
        <f>IF(H749&gt;0,(#REF!*H749),"-")</f>
        <v>-</v>
      </c>
      <c r="J749" s="113">
        <v>12173</v>
      </c>
      <c r="K749" s="110" t="s">
        <v>389</v>
      </c>
      <c r="L749" s="110" t="s">
        <v>468</v>
      </c>
      <c r="M749" s="110" t="s">
        <v>129</v>
      </c>
      <c r="N749" s="110" t="s">
        <v>130</v>
      </c>
      <c r="O749" s="110" t="s">
        <v>3150</v>
      </c>
      <c r="P749" s="110" t="s">
        <v>589</v>
      </c>
      <c r="Q749" s="110" t="s">
        <v>96</v>
      </c>
      <c r="R749" s="121">
        <v>3.044</v>
      </c>
      <c r="S749" s="113" t="e">
        <f t="shared" si="22"/>
        <v>#VALUE!</v>
      </c>
      <c r="T749" s="113">
        <f t="shared" si="23"/>
        <v>0</v>
      </c>
    </row>
    <row r="750" spans="1:20" s="109" customFormat="1" x14ac:dyDescent="0.2">
      <c r="A750" s="116"/>
      <c r="B750" s="111" t="s">
        <v>207</v>
      </c>
      <c r="C750" s="110" t="s">
        <v>3151</v>
      </c>
      <c r="D750" s="110" t="s">
        <v>3152</v>
      </c>
      <c r="E750" s="112" t="s">
        <v>3153</v>
      </c>
      <c r="F750" s="111" t="s">
        <v>130</v>
      </c>
      <c r="G750" s="133">
        <v>590</v>
      </c>
      <c r="H750" s="124"/>
      <c r="I750" s="133" t="str">
        <f>IF(H750&gt;0,(#REF!*H750),"-")</f>
        <v>-</v>
      </c>
      <c r="J750" s="113">
        <v>12683</v>
      </c>
      <c r="K750" s="110" t="s">
        <v>389</v>
      </c>
      <c r="L750" s="110" t="s">
        <v>468</v>
      </c>
      <c r="M750" s="110" t="s">
        <v>129</v>
      </c>
      <c r="N750" s="110" t="s">
        <v>130</v>
      </c>
      <c r="O750" s="110" t="s">
        <v>3154</v>
      </c>
      <c r="P750" s="110" t="s">
        <v>589</v>
      </c>
      <c r="Q750" s="110" t="s">
        <v>96</v>
      </c>
      <c r="R750" s="121">
        <v>3.044</v>
      </c>
      <c r="S750" s="113" t="e">
        <f t="shared" si="22"/>
        <v>#VALUE!</v>
      </c>
      <c r="T750" s="113">
        <f t="shared" si="23"/>
        <v>0</v>
      </c>
    </row>
    <row r="751" spans="1:20" s="109" customFormat="1" x14ac:dyDescent="0.2">
      <c r="A751" s="116"/>
      <c r="B751" s="111"/>
      <c r="C751" s="110" t="s">
        <v>3155</v>
      </c>
      <c r="D751" s="110" t="s">
        <v>3156</v>
      </c>
      <c r="E751" s="112" t="s">
        <v>3157</v>
      </c>
      <c r="F751" s="111" t="s">
        <v>126</v>
      </c>
      <c r="G751" s="133">
        <v>215</v>
      </c>
      <c r="H751" s="124"/>
      <c r="I751" s="133" t="str">
        <f>IF(H751&gt;0,(#REF!*H751),"-")</f>
        <v>-</v>
      </c>
      <c r="J751" s="113">
        <v>1670</v>
      </c>
      <c r="K751" s="110" t="s">
        <v>389</v>
      </c>
      <c r="L751" s="110" t="s">
        <v>468</v>
      </c>
      <c r="M751" s="110" t="s">
        <v>129</v>
      </c>
      <c r="N751" s="110" t="s">
        <v>130</v>
      </c>
      <c r="O751" s="110" t="s">
        <v>3158</v>
      </c>
      <c r="P751" s="110" t="s">
        <v>132</v>
      </c>
      <c r="Q751" s="110" t="s">
        <v>97</v>
      </c>
      <c r="R751" s="121">
        <v>1.5</v>
      </c>
      <c r="S751" s="113" t="e">
        <f t="shared" si="22"/>
        <v>#VALUE!</v>
      </c>
      <c r="T751" s="113">
        <f t="shared" si="23"/>
        <v>0</v>
      </c>
    </row>
    <row r="752" spans="1:20" s="109" customFormat="1" x14ac:dyDescent="0.2">
      <c r="A752" s="116"/>
      <c r="B752" s="111"/>
      <c r="C752" s="110" t="s">
        <v>3159</v>
      </c>
      <c r="D752" s="110" t="s">
        <v>3160</v>
      </c>
      <c r="E752" s="112" t="s">
        <v>3161</v>
      </c>
      <c r="F752" s="111" t="s">
        <v>126</v>
      </c>
      <c r="G752" s="133">
        <v>215</v>
      </c>
      <c r="H752" s="124"/>
      <c r="I752" s="133" t="str">
        <f>IF(H752&gt;0,(#REF!*H752),"-")</f>
        <v>-</v>
      </c>
      <c r="J752" s="113">
        <v>1670</v>
      </c>
      <c r="K752" s="110" t="s">
        <v>389</v>
      </c>
      <c r="L752" s="110" t="s">
        <v>468</v>
      </c>
      <c r="M752" s="110" t="s">
        <v>129</v>
      </c>
      <c r="N752" s="110" t="s">
        <v>130</v>
      </c>
      <c r="O752" s="110" t="s">
        <v>3162</v>
      </c>
      <c r="P752" s="110" t="s">
        <v>132</v>
      </c>
      <c r="Q752" s="110" t="s">
        <v>97</v>
      </c>
      <c r="R752" s="121">
        <v>1.5</v>
      </c>
      <c r="S752" s="113" t="e">
        <f t="shared" si="22"/>
        <v>#VALUE!</v>
      </c>
      <c r="T752" s="113">
        <f t="shared" si="23"/>
        <v>0</v>
      </c>
    </row>
    <row r="753" spans="1:20" s="109" customFormat="1" x14ac:dyDescent="0.2">
      <c r="A753" s="116"/>
      <c r="B753" s="111"/>
      <c r="C753" s="110" t="s">
        <v>3163</v>
      </c>
      <c r="D753" s="110" t="s">
        <v>3164</v>
      </c>
      <c r="E753" s="112" t="s">
        <v>3165</v>
      </c>
      <c r="F753" s="111" t="s">
        <v>126</v>
      </c>
      <c r="G753" s="133">
        <v>125</v>
      </c>
      <c r="H753" s="124"/>
      <c r="I753" s="133" t="str">
        <f>IF(H753&gt;0,(#REF!*H753),"-")</f>
        <v>-</v>
      </c>
      <c r="J753" s="113">
        <v>655</v>
      </c>
      <c r="K753" s="110" t="s">
        <v>389</v>
      </c>
      <c r="L753" s="110" t="s">
        <v>468</v>
      </c>
      <c r="M753" s="110" t="s">
        <v>129</v>
      </c>
      <c r="N753" s="110" t="s">
        <v>130</v>
      </c>
      <c r="O753" s="110" t="s">
        <v>3166</v>
      </c>
      <c r="P753" s="110" t="s">
        <v>132</v>
      </c>
      <c r="Q753" s="110" t="s">
        <v>97</v>
      </c>
      <c r="R753" s="121">
        <v>0.63139999999999996</v>
      </c>
      <c r="S753" s="113" t="e">
        <f t="shared" si="22"/>
        <v>#VALUE!</v>
      </c>
      <c r="T753" s="113">
        <f t="shared" si="23"/>
        <v>0</v>
      </c>
    </row>
    <row r="754" spans="1:20" s="109" customFormat="1" x14ac:dyDescent="0.2">
      <c r="A754" s="116"/>
      <c r="B754" s="111"/>
      <c r="C754" s="110" t="s">
        <v>3167</v>
      </c>
      <c r="D754" s="110" t="s">
        <v>3168</v>
      </c>
      <c r="E754" s="112" t="s">
        <v>3169</v>
      </c>
      <c r="F754" s="111" t="s">
        <v>126</v>
      </c>
      <c r="G754" s="133">
        <v>125</v>
      </c>
      <c r="H754" s="124"/>
      <c r="I754" s="133" t="str">
        <f>IF(H754&gt;0,(#REF!*H754),"-")</f>
        <v>-</v>
      </c>
      <c r="J754" s="113">
        <v>655</v>
      </c>
      <c r="K754" s="110" t="s">
        <v>389</v>
      </c>
      <c r="L754" s="110" t="s">
        <v>468</v>
      </c>
      <c r="M754" s="110" t="s">
        <v>129</v>
      </c>
      <c r="N754" s="110" t="s">
        <v>130</v>
      </c>
      <c r="O754" s="110" t="s">
        <v>3170</v>
      </c>
      <c r="P754" s="110" t="s">
        <v>132</v>
      </c>
      <c r="Q754" s="110" t="s">
        <v>97</v>
      </c>
      <c r="R754" s="121">
        <v>0.63139999999999996</v>
      </c>
      <c r="S754" s="113" t="e">
        <f t="shared" si="22"/>
        <v>#VALUE!</v>
      </c>
      <c r="T754" s="113">
        <f t="shared" si="23"/>
        <v>0</v>
      </c>
    </row>
    <row r="755" spans="1:20" s="109" customFormat="1" x14ac:dyDescent="0.2">
      <c r="A755" s="116"/>
      <c r="B755" s="111" t="s">
        <v>289</v>
      </c>
      <c r="C755" s="110" t="s">
        <v>3171</v>
      </c>
      <c r="D755" s="110" t="s">
        <v>3172</v>
      </c>
      <c r="E755" s="112" t="s">
        <v>3173</v>
      </c>
      <c r="F755" s="111" t="s">
        <v>130</v>
      </c>
      <c r="G755" s="133">
        <v>150</v>
      </c>
      <c r="H755" s="124"/>
      <c r="I755" s="133" t="str">
        <f>IF(H755&gt;0,(#REF!*H755),"-")</f>
        <v>-</v>
      </c>
      <c r="J755" s="113">
        <v>4278</v>
      </c>
      <c r="K755" s="110" t="s">
        <v>389</v>
      </c>
      <c r="L755" s="110" t="s">
        <v>468</v>
      </c>
      <c r="M755" s="110" t="s">
        <v>129</v>
      </c>
      <c r="N755" s="110" t="s">
        <v>130</v>
      </c>
      <c r="O755" s="110" t="s">
        <v>3174</v>
      </c>
      <c r="P755" s="110" t="s">
        <v>589</v>
      </c>
      <c r="Q755" s="110" t="s">
        <v>96</v>
      </c>
      <c r="R755" s="121">
        <v>1.0169999999999999</v>
      </c>
      <c r="S755" s="113" t="e">
        <f t="shared" si="22"/>
        <v>#VALUE!</v>
      </c>
      <c r="T755" s="113">
        <f t="shared" si="23"/>
        <v>0</v>
      </c>
    </row>
    <row r="756" spans="1:20" s="109" customFormat="1" x14ac:dyDescent="0.2">
      <c r="A756" s="116"/>
      <c r="B756" s="111" t="s">
        <v>289</v>
      </c>
      <c r="C756" s="110" t="s">
        <v>3175</v>
      </c>
      <c r="D756" s="110" t="s">
        <v>3176</v>
      </c>
      <c r="E756" s="112" t="s">
        <v>3177</v>
      </c>
      <c r="F756" s="111" t="s">
        <v>130</v>
      </c>
      <c r="G756" s="133">
        <v>150</v>
      </c>
      <c r="H756" s="124"/>
      <c r="I756" s="133" t="str">
        <f>IF(H756&gt;0,(#REF!*H756),"-")</f>
        <v>-</v>
      </c>
      <c r="J756" s="113">
        <v>4278</v>
      </c>
      <c r="K756" s="110" t="s">
        <v>389</v>
      </c>
      <c r="L756" s="110" t="s">
        <v>468</v>
      </c>
      <c r="M756" s="110" t="s">
        <v>129</v>
      </c>
      <c r="N756" s="110" t="s">
        <v>130</v>
      </c>
      <c r="O756" s="110" t="s">
        <v>3178</v>
      </c>
      <c r="P756" s="110" t="s">
        <v>589</v>
      </c>
      <c r="Q756" s="110" t="s">
        <v>96</v>
      </c>
      <c r="R756" s="121">
        <v>1.0169999999999999</v>
      </c>
      <c r="S756" s="113" t="e">
        <f t="shared" si="22"/>
        <v>#VALUE!</v>
      </c>
      <c r="T756" s="113">
        <f t="shared" si="23"/>
        <v>0</v>
      </c>
    </row>
    <row r="757" spans="1:20" s="109" customFormat="1" x14ac:dyDescent="0.2">
      <c r="A757" s="116"/>
      <c r="B757" s="111" t="s">
        <v>289</v>
      </c>
      <c r="C757" s="110" t="s">
        <v>3179</v>
      </c>
      <c r="D757" s="110" t="s">
        <v>3180</v>
      </c>
      <c r="E757" s="112" t="s">
        <v>3181</v>
      </c>
      <c r="F757" s="111" t="s">
        <v>130</v>
      </c>
      <c r="G757" s="133">
        <v>30</v>
      </c>
      <c r="H757" s="124"/>
      <c r="I757" s="133" t="str">
        <f>IF(H757&gt;0,(#REF!*H757),"-")</f>
        <v>-</v>
      </c>
      <c r="J757" s="113">
        <v>1637</v>
      </c>
      <c r="K757" s="110" t="s">
        <v>389</v>
      </c>
      <c r="L757" s="110" t="s">
        <v>468</v>
      </c>
      <c r="M757" s="110" t="s">
        <v>129</v>
      </c>
      <c r="N757" s="110" t="s">
        <v>130</v>
      </c>
      <c r="O757" s="110" t="s">
        <v>3182</v>
      </c>
      <c r="P757" s="110" t="s">
        <v>132</v>
      </c>
      <c r="Q757" s="110" t="s">
        <v>96</v>
      </c>
      <c r="R757" s="121">
        <v>0.38900000000000001</v>
      </c>
      <c r="S757" s="113" t="e">
        <f t="shared" si="22"/>
        <v>#VALUE!</v>
      </c>
      <c r="T757" s="113">
        <f t="shared" si="23"/>
        <v>0</v>
      </c>
    </row>
    <row r="758" spans="1:20" s="109" customFormat="1" x14ac:dyDescent="0.2">
      <c r="A758" s="116"/>
      <c r="B758" s="111" t="s">
        <v>289</v>
      </c>
      <c r="C758" s="110" t="s">
        <v>3179</v>
      </c>
      <c r="D758" s="110" t="s">
        <v>3183</v>
      </c>
      <c r="E758" s="112" t="s">
        <v>3184</v>
      </c>
      <c r="F758" s="111" t="s">
        <v>130</v>
      </c>
      <c r="G758" s="133">
        <v>30</v>
      </c>
      <c r="H758" s="124"/>
      <c r="I758" s="133" t="str">
        <f>IF(H758&gt;0,(#REF!*H758),"-")</f>
        <v>-</v>
      </c>
      <c r="J758" s="113">
        <v>1207</v>
      </c>
      <c r="K758" s="110" t="s">
        <v>389</v>
      </c>
      <c r="L758" s="110" t="s">
        <v>468</v>
      </c>
      <c r="M758" s="110" t="s">
        <v>129</v>
      </c>
      <c r="N758" s="110" t="s">
        <v>130</v>
      </c>
      <c r="O758" s="110" t="s">
        <v>3185</v>
      </c>
      <c r="P758" s="110" t="s">
        <v>132</v>
      </c>
      <c r="Q758" s="110" t="s">
        <v>97</v>
      </c>
      <c r="R758" s="121">
        <v>0.46100000000000002</v>
      </c>
      <c r="S758" s="113" t="e">
        <f t="shared" si="22"/>
        <v>#VALUE!</v>
      </c>
      <c r="T758" s="113">
        <f t="shared" si="23"/>
        <v>0</v>
      </c>
    </row>
    <row r="759" spans="1:20" s="109" customFormat="1" x14ac:dyDescent="0.2">
      <c r="A759" s="116"/>
      <c r="B759" s="111" t="s">
        <v>289</v>
      </c>
      <c r="C759" s="110" t="s">
        <v>3186</v>
      </c>
      <c r="D759" s="110" t="s">
        <v>3187</v>
      </c>
      <c r="E759" s="112" t="s">
        <v>3188</v>
      </c>
      <c r="F759" s="111" t="s">
        <v>130</v>
      </c>
      <c r="G759" s="133">
        <v>150</v>
      </c>
      <c r="H759" s="124"/>
      <c r="I759" s="133" t="str">
        <f>IF(H759&gt;0,(#REF!*H759),"-")</f>
        <v>-</v>
      </c>
      <c r="J759" s="113">
        <v>1553</v>
      </c>
      <c r="K759" s="110" t="s">
        <v>389</v>
      </c>
      <c r="L759" s="110" t="s">
        <v>468</v>
      </c>
      <c r="M759" s="110" t="s">
        <v>129</v>
      </c>
      <c r="N759" s="110" t="s">
        <v>130</v>
      </c>
      <c r="O759" s="110" t="s">
        <v>3189</v>
      </c>
      <c r="P759" s="110" t="s">
        <v>958</v>
      </c>
      <c r="Q759" s="110" t="s">
        <v>96</v>
      </c>
      <c r="R759" s="121">
        <v>4.3700000000000003E-2</v>
      </c>
      <c r="S759" s="113" t="e">
        <f t="shared" si="22"/>
        <v>#VALUE!</v>
      </c>
      <c r="T759" s="113">
        <f t="shared" si="23"/>
        <v>0</v>
      </c>
    </row>
    <row r="760" spans="1:20" s="109" customFormat="1" x14ac:dyDescent="0.2">
      <c r="A760" s="116"/>
      <c r="B760" s="111" t="s">
        <v>289</v>
      </c>
      <c r="C760" s="110" t="s">
        <v>3190</v>
      </c>
      <c r="D760" s="110" t="s">
        <v>3191</v>
      </c>
      <c r="E760" s="112" t="s">
        <v>3192</v>
      </c>
      <c r="F760" s="111" t="s">
        <v>130</v>
      </c>
      <c r="G760" s="133">
        <v>150</v>
      </c>
      <c r="H760" s="124"/>
      <c r="I760" s="133" t="str">
        <f>IF(H760&gt;0,(#REF!*H760),"-")</f>
        <v>-</v>
      </c>
      <c r="J760" s="113">
        <v>1553</v>
      </c>
      <c r="K760" s="110" t="s">
        <v>389</v>
      </c>
      <c r="L760" s="110" t="s">
        <v>468</v>
      </c>
      <c r="M760" s="110" t="s">
        <v>129</v>
      </c>
      <c r="N760" s="110" t="s">
        <v>130</v>
      </c>
      <c r="O760" s="110" t="s">
        <v>3193</v>
      </c>
      <c r="P760" s="110" t="s">
        <v>958</v>
      </c>
      <c r="Q760" s="110" t="s">
        <v>96</v>
      </c>
      <c r="R760" s="121">
        <v>0.43</v>
      </c>
      <c r="S760" s="113" t="e">
        <f t="shared" si="22"/>
        <v>#VALUE!</v>
      </c>
      <c r="T760" s="113">
        <f t="shared" si="23"/>
        <v>0</v>
      </c>
    </row>
    <row r="761" spans="1:20" s="109" customFormat="1" x14ac:dyDescent="0.2">
      <c r="A761" s="116"/>
      <c r="B761" s="111" t="s">
        <v>289</v>
      </c>
      <c r="C761" s="110" t="s">
        <v>3194</v>
      </c>
      <c r="D761" s="110" t="s">
        <v>3195</v>
      </c>
      <c r="E761" s="112" t="s">
        <v>3196</v>
      </c>
      <c r="F761" s="111" t="s">
        <v>130</v>
      </c>
      <c r="G761" s="133">
        <v>300</v>
      </c>
      <c r="H761" s="124"/>
      <c r="I761" s="133" t="str">
        <f>IF(H761&gt;0,(#REF!*H761),"-")</f>
        <v>-</v>
      </c>
      <c r="J761" s="113">
        <v>7220</v>
      </c>
      <c r="K761" s="110" t="s">
        <v>389</v>
      </c>
      <c r="L761" s="110" t="s">
        <v>468</v>
      </c>
      <c r="M761" s="110" t="s">
        <v>129</v>
      </c>
      <c r="N761" s="110" t="s">
        <v>130</v>
      </c>
      <c r="O761" s="110" t="s">
        <v>3197</v>
      </c>
      <c r="P761" s="110" t="s">
        <v>589</v>
      </c>
      <c r="Q761" s="110" t="s">
        <v>96</v>
      </c>
      <c r="R761" s="121">
        <v>1.325</v>
      </c>
      <c r="S761" s="113" t="e">
        <f t="shared" si="22"/>
        <v>#VALUE!</v>
      </c>
      <c r="T761" s="113">
        <f t="shared" si="23"/>
        <v>0</v>
      </c>
    </row>
    <row r="762" spans="1:20" s="109" customFormat="1" x14ac:dyDescent="0.2">
      <c r="A762" s="116"/>
      <c r="B762" s="111" t="s">
        <v>289</v>
      </c>
      <c r="C762" s="110" t="s">
        <v>3194</v>
      </c>
      <c r="D762" s="110" t="s">
        <v>3198</v>
      </c>
      <c r="E762" s="112" t="s">
        <v>3199</v>
      </c>
      <c r="F762" s="111" t="s">
        <v>130</v>
      </c>
      <c r="G762" s="133">
        <v>300</v>
      </c>
      <c r="H762" s="124"/>
      <c r="I762" s="133" t="str">
        <f>IF(H762&gt;0,(#REF!*H762),"-")</f>
        <v>-</v>
      </c>
      <c r="J762" s="113">
        <v>7220</v>
      </c>
      <c r="K762" s="110" t="s">
        <v>389</v>
      </c>
      <c r="L762" s="110" t="s">
        <v>468</v>
      </c>
      <c r="M762" s="110" t="s">
        <v>129</v>
      </c>
      <c r="N762" s="110" t="s">
        <v>130</v>
      </c>
      <c r="O762" s="110" t="s">
        <v>3200</v>
      </c>
      <c r="P762" s="110" t="s">
        <v>589</v>
      </c>
      <c r="Q762" s="110" t="s">
        <v>96</v>
      </c>
      <c r="R762" s="121">
        <v>1.325</v>
      </c>
      <c r="S762" s="113" t="e">
        <f t="shared" si="22"/>
        <v>#VALUE!</v>
      </c>
      <c r="T762" s="113">
        <f t="shared" si="23"/>
        <v>0</v>
      </c>
    </row>
    <row r="763" spans="1:20" s="109" customFormat="1" x14ac:dyDescent="0.2">
      <c r="A763" s="116"/>
      <c r="B763" s="111" t="s">
        <v>207</v>
      </c>
      <c r="C763" s="110" t="s">
        <v>3201</v>
      </c>
      <c r="D763" s="110" t="s">
        <v>3202</v>
      </c>
      <c r="E763" s="112" t="s">
        <v>3203</v>
      </c>
      <c r="F763" s="111" t="s">
        <v>130</v>
      </c>
      <c r="G763" s="133">
        <v>280</v>
      </c>
      <c r="H763" s="124"/>
      <c r="I763" s="133" t="str">
        <f>IF(H763&gt;0,(#REF!*H763),"-")</f>
        <v>-</v>
      </c>
      <c r="J763" s="113">
        <v>8556</v>
      </c>
      <c r="K763" s="110" t="s">
        <v>389</v>
      </c>
      <c r="L763" s="110" t="s">
        <v>468</v>
      </c>
      <c r="M763" s="110" t="s">
        <v>129</v>
      </c>
      <c r="N763" s="110" t="s">
        <v>130</v>
      </c>
      <c r="O763" s="110" t="s">
        <v>3204</v>
      </c>
      <c r="P763" s="110" t="s">
        <v>137</v>
      </c>
      <c r="Q763" s="110" t="s">
        <v>97</v>
      </c>
      <c r="R763" s="121">
        <v>1.3</v>
      </c>
      <c r="S763" s="113" t="e">
        <f t="shared" si="22"/>
        <v>#VALUE!</v>
      </c>
      <c r="T763" s="113">
        <f t="shared" si="23"/>
        <v>0</v>
      </c>
    </row>
    <row r="764" spans="1:20" s="109" customFormat="1" x14ac:dyDescent="0.2">
      <c r="A764" s="116"/>
      <c r="B764" s="111" t="s">
        <v>207</v>
      </c>
      <c r="C764" s="110" t="s">
        <v>3205</v>
      </c>
      <c r="D764" s="110" t="s">
        <v>3206</v>
      </c>
      <c r="E764" s="112" t="s">
        <v>3207</v>
      </c>
      <c r="F764" s="111" t="s">
        <v>130</v>
      </c>
      <c r="G764" s="133">
        <v>280</v>
      </c>
      <c r="H764" s="124"/>
      <c r="I764" s="133" t="str">
        <f>IF(H764&gt;0,(#REF!*H764),"-")</f>
        <v>-</v>
      </c>
      <c r="J764" s="113">
        <v>8556</v>
      </c>
      <c r="K764" s="110" t="s">
        <v>389</v>
      </c>
      <c r="L764" s="110" t="s">
        <v>468</v>
      </c>
      <c r="M764" s="110" t="s">
        <v>129</v>
      </c>
      <c r="N764" s="110" t="s">
        <v>130</v>
      </c>
      <c r="O764" s="110" t="s">
        <v>3208</v>
      </c>
      <c r="P764" s="110" t="s">
        <v>137</v>
      </c>
      <c r="Q764" s="110" t="s">
        <v>97</v>
      </c>
      <c r="R764" s="121">
        <v>1.3</v>
      </c>
      <c r="S764" s="113" t="e">
        <f t="shared" si="22"/>
        <v>#VALUE!</v>
      </c>
      <c r="T764" s="113">
        <f t="shared" si="23"/>
        <v>0</v>
      </c>
    </row>
    <row r="765" spans="1:20" s="109" customFormat="1" x14ac:dyDescent="0.2">
      <c r="A765" s="116"/>
      <c r="B765" s="111"/>
      <c r="C765" s="110" t="s">
        <v>3209</v>
      </c>
      <c r="D765" s="110" t="s">
        <v>3210</v>
      </c>
      <c r="E765" s="112" t="s">
        <v>3211</v>
      </c>
      <c r="F765" s="111" t="s">
        <v>126</v>
      </c>
      <c r="G765" s="133">
        <v>340</v>
      </c>
      <c r="H765" s="124"/>
      <c r="I765" s="133" t="str">
        <f>IF(H765&gt;0,(#REF!*H765),"-")</f>
        <v>-</v>
      </c>
      <c r="J765" s="113">
        <v>6903</v>
      </c>
      <c r="K765" s="110" t="s">
        <v>389</v>
      </c>
      <c r="L765" s="110" t="s">
        <v>468</v>
      </c>
      <c r="M765" s="110" t="s">
        <v>129</v>
      </c>
      <c r="N765" s="110" t="s">
        <v>130</v>
      </c>
      <c r="O765" s="110" t="s">
        <v>3212</v>
      </c>
      <c r="P765" s="110" t="s">
        <v>137</v>
      </c>
      <c r="Q765" s="110" t="s">
        <v>97</v>
      </c>
      <c r="R765" s="121">
        <v>1.252</v>
      </c>
      <c r="S765" s="113" t="e">
        <f t="shared" si="22"/>
        <v>#VALUE!</v>
      </c>
      <c r="T765" s="113">
        <f t="shared" si="23"/>
        <v>0</v>
      </c>
    </row>
    <row r="766" spans="1:20" s="109" customFormat="1" x14ac:dyDescent="0.2">
      <c r="A766" s="116"/>
      <c r="B766" s="111"/>
      <c r="C766" s="110" t="s">
        <v>3209</v>
      </c>
      <c r="D766" s="110" t="s">
        <v>3213</v>
      </c>
      <c r="E766" s="112" t="s">
        <v>3214</v>
      </c>
      <c r="F766" s="111" t="s">
        <v>126</v>
      </c>
      <c r="G766" s="133">
        <v>340</v>
      </c>
      <c r="H766" s="124"/>
      <c r="I766" s="133" t="str">
        <f>IF(H766&gt;0,(#REF!*H766),"-")</f>
        <v>-</v>
      </c>
      <c r="J766" s="113">
        <v>6903</v>
      </c>
      <c r="K766" s="110" t="s">
        <v>389</v>
      </c>
      <c r="L766" s="110" t="s">
        <v>468</v>
      </c>
      <c r="M766" s="110" t="s">
        <v>129</v>
      </c>
      <c r="N766" s="110" t="s">
        <v>130</v>
      </c>
      <c r="O766" s="110" t="s">
        <v>3215</v>
      </c>
      <c r="P766" s="110" t="s">
        <v>137</v>
      </c>
      <c r="Q766" s="110" t="s">
        <v>97</v>
      </c>
      <c r="R766" s="121">
        <v>1.252</v>
      </c>
      <c r="S766" s="113" t="e">
        <f t="shared" si="22"/>
        <v>#VALUE!</v>
      </c>
      <c r="T766" s="113">
        <f t="shared" si="23"/>
        <v>0</v>
      </c>
    </row>
    <row r="767" spans="1:20" s="109" customFormat="1" x14ac:dyDescent="0.2">
      <c r="A767" s="116"/>
      <c r="B767" s="111"/>
      <c r="C767" s="110" t="s">
        <v>3216</v>
      </c>
      <c r="D767" s="110" t="s">
        <v>3217</v>
      </c>
      <c r="E767" s="112" t="s">
        <v>3218</v>
      </c>
      <c r="F767" s="111" t="s">
        <v>126</v>
      </c>
      <c r="G767" s="133">
        <v>125</v>
      </c>
      <c r="H767" s="124"/>
      <c r="I767" s="133" t="str">
        <f>IF(H767&gt;0,(#REF!*H767),"-")</f>
        <v>-</v>
      </c>
      <c r="J767" s="113">
        <v>241</v>
      </c>
      <c r="K767" s="110" t="s">
        <v>389</v>
      </c>
      <c r="L767" s="110" t="s">
        <v>468</v>
      </c>
      <c r="M767" s="110" t="s">
        <v>129</v>
      </c>
      <c r="N767" s="110" t="s">
        <v>130</v>
      </c>
      <c r="O767" s="110" t="s">
        <v>3219</v>
      </c>
      <c r="P767" s="110" t="s">
        <v>132</v>
      </c>
      <c r="Q767" s="110" t="s">
        <v>97</v>
      </c>
      <c r="R767" s="121">
        <v>0.217</v>
      </c>
      <c r="S767" s="113" t="e">
        <f t="shared" si="22"/>
        <v>#VALUE!</v>
      </c>
      <c r="T767" s="113">
        <f t="shared" si="23"/>
        <v>0</v>
      </c>
    </row>
    <row r="768" spans="1:20" s="109" customFormat="1" x14ac:dyDescent="0.2">
      <c r="A768" s="116"/>
      <c r="B768" s="111"/>
      <c r="C768" s="110" t="s">
        <v>3220</v>
      </c>
      <c r="D768" s="110" t="s">
        <v>3221</v>
      </c>
      <c r="E768" s="112" t="s">
        <v>3222</v>
      </c>
      <c r="F768" s="111" t="s">
        <v>126</v>
      </c>
      <c r="G768" s="133">
        <v>155</v>
      </c>
      <c r="H768" s="124"/>
      <c r="I768" s="133" t="str">
        <f>IF(H768&gt;0,(#REF!*H768),"-")</f>
        <v>-</v>
      </c>
      <c r="J768" s="113">
        <v>899</v>
      </c>
      <c r="K768" s="110" t="s">
        <v>389</v>
      </c>
      <c r="L768" s="110" t="s">
        <v>468</v>
      </c>
      <c r="M768" s="110" t="s">
        <v>129</v>
      </c>
      <c r="N768" s="110" t="s">
        <v>130</v>
      </c>
      <c r="O768" s="110" t="s">
        <v>3223</v>
      </c>
      <c r="P768" s="110" t="s">
        <v>132</v>
      </c>
      <c r="Q768" s="110" t="s">
        <v>97</v>
      </c>
      <c r="R768" s="121">
        <v>0.755</v>
      </c>
      <c r="S768" s="113" t="e">
        <f t="shared" si="22"/>
        <v>#VALUE!</v>
      </c>
      <c r="T768" s="113">
        <f t="shared" si="23"/>
        <v>0</v>
      </c>
    </row>
    <row r="769" spans="1:20" s="109" customFormat="1" x14ac:dyDescent="0.2">
      <c r="A769" s="116"/>
      <c r="B769" s="111"/>
      <c r="C769" s="110" t="s">
        <v>3224</v>
      </c>
      <c r="D769" s="110" t="s">
        <v>3225</v>
      </c>
      <c r="E769" s="112" t="s">
        <v>3226</v>
      </c>
      <c r="F769" s="111" t="s">
        <v>126</v>
      </c>
      <c r="G769" s="133">
        <v>250</v>
      </c>
      <c r="H769" s="124"/>
      <c r="I769" s="133" t="str">
        <f>IF(H769&gt;0,(#REF!*H769),"-")</f>
        <v>-</v>
      </c>
      <c r="J769" s="113">
        <v>2514</v>
      </c>
      <c r="K769" s="110" t="s">
        <v>389</v>
      </c>
      <c r="L769" s="110" t="s">
        <v>468</v>
      </c>
      <c r="M769" s="110" t="s">
        <v>129</v>
      </c>
      <c r="N769" s="110" t="s">
        <v>130</v>
      </c>
      <c r="O769" s="110" t="s">
        <v>3227</v>
      </c>
      <c r="P769" s="110" t="s">
        <v>137</v>
      </c>
      <c r="Q769" s="110" t="s">
        <v>96</v>
      </c>
      <c r="R769" s="121">
        <v>0.30780000000000002</v>
      </c>
      <c r="S769" s="113" t="e">
        <f t="shared" si="22"/>
        <v>#VALUE!</v>
      </c>
      <c r="T769" s="113">
        <f t="shared" si="23"/>
        <v>0</v>
      </c>
    </row>
    <row r="770" spans="1:20" s="109" customFormat="1" x14ac:dyDescent="0.2">
      <c r="A770" s="116"/>
      <c r="B770" s="111"/>
      <c r="C770" s="110" t="s">
        <v>3228</v>
      </c>
      <c r="D770" s="110" t="s">
        <v>3229</v>
      </c>
      <c r="E770" s="112" t="s">
        <v>3230</v>
      </c>
      <c r="F770" s="111" t="s">
        <v>126</v>
      </c>
      <c r="G770" s="133">
        <v>685</v>
      </c>
      <c r="H770" s="124"/>
      <c r="I770" s="133" t="str">
        <f>IF(H770&gt;0,(#REF!*H770),"-")</f>
        <v>-</v>
      </c>
      <c r="J770" s="113">
        <v>7306</v>
      </c>
      <c r="K770" s="110" t="s">
        <v>389</v>
      </c>
      <c r="L770" s="110" t="s">
        <v>468</v>
      </c>
      <c r="M770" s="110" t="s">
        <v>129</v>
      </c>
      <c r="N770" s="110" t="s">
        <v>130</v>
      </c>
      <c r="O770" s="110" t="s">
        <v>3231</v>
      </c>
      <c r="P770" s="110" t="s">
        <v>137</v>
      </c>
      <c r="Q770" s="110" t="s">
        <v>96</v>
      </c>
      <c r="R770" s="121">
        <v>1.302</v>
      </c>
      <c r="S770" s="113" t="e">
        <f t="shared" ref="S770:S833" si="24">Q770*H770</f>
        <v>#VALUE!</v>
      </c>
      <c r="T770" s="113">
        <f t="shared" ref="T770:T833" si="25">R770*H770</f>
        <v>0</v>
      </c>
    </row>
    <row r="771" spans="1:20" s="109" customFormat="1" x14ac:dyDescent="0.2">
      <c r="A771" s="116"/>
      <c r="B771" s="111"/>
      <c r="C771" s="110" t="s">
        <v>3232</v>
      </c>
      <c r="D771" s="110" t="s">
        <v>3233</v>
      </c>
      <c r="E771" s="112" t="s">
        <v>3234</v>
      </c>
      <c r="F771" s="111" t="s">
        <v>126</v>
      </c>
      <c r="G771" s="133">
        <v>685</v>
      </c>
      <c r="H771" s="124"/>
      <c r="I771" s="133" t="str">
        <f>IF(H771&gt;0,(#REF!*H771),"-")</f>
        <v>-</v>
      </c>
      <c r="J771" s="113">
        <v>7306</v>
      </c>
      <c r="K771" s="110" t="s">
        <v>389</v>
      </c>
      <c r="L771" s="110" t="s">
        <v>468</v>
      </c>
      <c r="M771" s="110" t="s">
        <v>129</v>
      </c>
      <c r="N771" s="110" t="s">
        <v>130</v>
      </c>
      <c r="O771" s="110" t="s">
        <v>3235</v>
      </c>
      <c r="P771" s="110" t="s">
        <v>137</v>
      </c>
      <c r="Q771" s="110" t="s">
        <v>96</v>
      </c>
      <c r="R771" s="121">
        <v>1.302</v>
      </c>
      <c r="S771" s="113" t="e">
        <f t="shared" si="24"/>
        <v>#VALUE!</v>
      </c>
      <c r="T771" s="113">
        <f t="shared" si="25"/>
        <v>0</v>
      </c>
    </row>
    <row r="772" spans="1:20" s="109" customFormat="1" x14ac:dyDescent="0.2">
      <c r="A772" s="116"/>
      <c r="B772" s="111" t="s">
        <v>207</v>
      </c>
      <c r="C772" s="110" t="s">
        <v>3236</v>
      </c>
      <c r="D772" s="110" t="s">
        <v>3237</v>
      </c>
      <c r="E772" s="112" t="s">
        <v>3238</v>
      </c>
      <c r="F772" s="111" t="s">
        <v>130</v>
      </c>
      <c r="G772" s="133">
        <v>185</v>
      </c>
      <c r="H772" s="124"/>
      <c r="I772" s="133" t="str">
        <f>IF(H772&gt;0,(#REF!*H772),"-")</f>
        <v>-</v>
      </c>
      <c r="J772" s="113">
        <v>1372</v>
      </c>
      <c r="K772" s="110" t="s">
        <v>389</v>
      </c>
      <c r="L772" s="110" t="s">
        <v>473</v>
      </c>
      <c r="M772" s="110" t="s">
        <v>129</v>
      </c>
      <c r="N772" s="110" t="s">
        <v>130</v>
      </c>
      <c r="O772" s="110" t="s">
        <v>3239</v>
      </c>
      <c r="P772" s="110" t="s">
        <v>137</v>
      </c>
      <c r="Q772" s="110" t="s">
        <v>96</v>
      </c>
      <c r="R772" s="121">
        <v>0.23039999999999999</v>
      </c>
      <c r="S772" s="113" t="e">
        <f t="shared" si="24"/>
        <v>#VALUE!</v>
      </c>
      <c r="T772" s="113">
        <f t="shared" si="25"/>
        <v>0</v>
      </c>
    </row>
    <row r="773" spans="1:20" s="109" customFormat="1" x14ac:dyDescent="0.2">
      <c r="A773" s="116"/>
      <c r="B773" s="111" t="s">
        <v>207</v>
      </c>
      <c r="C773" s="110" t="s">
        <v>3240</v>
      </c>
      <c r="D773" s="110" t="s">
        <v>3241</v>
      </c>
      <c r="E773" s="112" t="s">
        <v>3242</v>
      </c>
      <c r="F773" s="111" t="s">
        <v>130</v>
      </c>
      <c r="G773" s="133">
        <v>185</v>
      </c>
      <c r="H773" s="124"/>
      <c r="I773" s="133" t="str">
        <f>IF(H773&gt;0,(#REF!*H773),"-")</f>
        <v>-</v>
      </c>
      <c r="J773" s="113">
        <v>1046</v>
      </c>
      <c r="K773" s="110" t="s">
        <v>389</v>
      </c>
      <c r="L773" s="110" t="s">
        <v>473</v>
      </c>
      <c r="M773" s="110" t="s">
        <v>129</v>
      </c>
      <c r="N773" s="110" t="s">
        <v>130</v>
      </c>
      <c r="O773" s="110" t="s">
        <v>3243</v>
      </c>
      <c r="P773" s="110" t="s">
        <v>137</v>
      </c>
      <c r="Q773" s="110" t="s">
        <v>96</v>
      </c>
      <c r="R773" s="121">
        <v>0.21920000000000001</v>
      </c>
      <c r="S773" s="113" t="e">
        <f t="shared" si="24"/>
        <v>#VALUE!</v>
      </c>
      <c r="T773" s="113">
        <f t="shared" si="25"/>
        <v>0</v>
      </c>
    </row>
    <row r="774" spans="1:20" s="109" customFormat="1" x14ac:dyDescent="0.2">
      <c r="A774" s="116"/>
      <c r="B774" s="111"/>
      <c r="C774" s="110" t="s">
        <v>3244</v>
      </c>
      <c r="D774" s="110" t="s">
        <v>3245</v>
      </c>
      <c r="E774" s="112" t="s">
        <v>3246</v>
      </c>
      <c r="F774" s="111" t="s">
        <v>126</v>
      </c>
      <c r="G774" s="133">
        <v>185</v>
      </c>
      <c r="H774" s="124"/>
      <c r="I774" s="133" t="str">
        <f>IF(H774&gt;0,(#REF!*H774),"-")</f>
        <v>-</v>
      </c>
      <c r="J774" s="113">
        <v>1336</v>
      </c>
      <c r="K774" s="110" t="s">
        <v>389</v>
      </c>
      <c r="L774" s="110" t="s">
        <v>473</v>
      </c>
      <c r="M774" s="110" t="s">
        <v>129</v>
      </c>
      <c r="N774" s="110" t="s">
        <v>130</v>
      </c>
      <c r="O774" s="110" t="s">
        <v>3247</v>
      </c>
      <c r="P774" s="110" t="s">
        <v>137</v>
      </c>
      <c r="Q774" s="110" t="s">
        <v>96</v>
      </c>
      <c r="R774" s="121">
        <v>0.22059999999999999</v>
      </c>
      <c r="S774" s="113" t="e">
        <f t="shared" si="24"/>
        <v>#VALUE!</v>
      </c>
      <c r="T774" s="113">
        <f t="shared" si="25"/>
        <v>0</v>
      </c>
    </row>
    <row r="775" spans="1:20" s="109" customFormat="1" x14ac:dyDescent="0.2">
      <c r="A775" s="116"/>
      <c r="B775" s="111"/>
      <c r="C775" s="110" t="s">
        <v>3248</v>
      </c>
      <c r="D775" s="110" t="s">
        <v>3249</v>
      </c>
      <c r="E775" s="112" t="s">
        <v>3250</v>
      </c>
      <c r="F775" s="111" t="s">
        <v>126</v>
      </c>
      <c r="G775" s="133">
        <v>185</v>
      </c>
      <c r="H775" s="124"/>
      <c r="I775" s="133" t="str">
        <f>IF(H775&gt;0,(#REF!*H775),"-")</f>
        <v>-</v>
      </c>
      <c r="J775" s="113">
        <v>1517</v>
      </c>
      <c r="K775" s="110" t="s">
        <v>389</v>
      </c>
      <c r="L775" s="110" t="s">
        <v>473</v>
      </c>
      <c r="M775" s="110" t="s">
        <v>129</v>
      </c>
      <c r="N775" s="110" t="s">
        <v>130</v>
      </c>
      <c r="O775" s="110" t="s">
        <v>3251</v>
      </c>
      <c r="P775" s="110" t="s">
        <v>137</v>
      </c>
      <c r="Q775" s="110" t="s">
        <v>96</v>
      </c>
      <c r="R775" s="121">
        <v>0.23080000000000001</v>
      </c>
      <c r="S775" s="113" t="e">
        <f t="shared" si="24"/>
        <v>#VALUE!</v>
      </c>
      <c r="T775" s="113">
        <f t="shared" si="25"/>
        <v>0</v>
      </c>
    </row>
    <row r="776" spans="1:20" s="109" customFormat="1" x14ac:dyDescent="0.2">
      <c r="A776" s="116"/>
      <c r="B776" s="111" t="s">
        <v>202</v>
      </c>
      <c r="C776" s="110" t="s">
        <v>3252</v>
      </c>
      <c r="D776" s="110" t="s">
        <v>3253</v>
      </c>
      <c r="E776" s="112" t="s">
        <v>3254</v>
      </c>
      <c r="F776" s="111" t="s">
        <v>130</v>
      </c>
      <c r="G776" s="133">
        <v>310</v>
      </c>
      <c r="H776" s="124"/>
      <c r="I776" s="133" t="str">
        <f>IF(H776&gt;0,(#REF!*H776),"-")</f>
        <v>-</v>
      </c>
      <c r="J776" s="113">
        <v>3637</v>
      </c>
      <c r="K776" s="110" t="s">
        <v>389</v>
      </c>
      <c r="L776" s="110" t="s">
        <v>473</v>
      </c>
      <c r="M776" s="110" t="s">
        <v>129</v>
      </c>
      <c r="N776" s="110" t="s">
        <v>130</v>
      </c>
      <c r="O776" s="110" t="s">
        <v>3255</v>
      </c>
      <c r="P776" s="110" t="s">
        <v>137</v>
      </c>
      <c r="Q776" s="110" t="s">
        <v>96</v>
      </c>
      <c r="R776" s="121">
        <v>0.40810000000000002</v>
      </c>
      <c r="S776" s="113" t="e">
        <f t="shared" si="24"/>
        <v>#VALUE!</v>
      </c>
      <c r="T776" s="113">
        <f t="shared" si="25"/>
        <v>0</v>
      </c>
    </row>
    <row r="777" spans="1:20" s="109" customFormat="1" x14ac:dyDescent="0.2">
      <c r="A777" s="116"/>
      <c r="B777" s="111" t="s">
        <v>202</v>
      </c>
      <c r="C777" s="110" t="s">
        <v>3256</v>
      </c>
      <c r="D777" s="110" t="s">
        <v>3257</v>
      </c>
      <c r="E777" s="112" t="s">
        <v>3258</v>
      </c>
      <c r="F777" s="111" t="s">
        <v>130</v>
      </c>
      <c r="G777" s="133">
        <v>370</v>
      </c>
      <c r="H777" s="124"/>
      <c r="I777" s="133" t="str">
        <f>IF(H777&gt;0,(#REF!*H777),"-")</f>
        <v>-</v>
      </c>
      <c r="J777" s="113">
        <v>4050</v>
      </c>
      <c r="K777" s="110" t="s">
        <v>389</v>
      </c>
      <c r="L777" s="110" t="s">
        <v>473</v>
      </c>
      <c r="M777" s="110" t="s">
        <v>129</v>
      </c>
      <c r="N777" s="110" t="s">
        <v>130</v>
      </c>
      <c r="O777" s="110" t="s">
        <v>3259</v>
      </c>
      <c r="P777" s="110" t="s">
        <v>137</v>
      </c>
      <c r="Q777" s="110" t="s">
        <v>96</v>
      </c>
      <c r="R777" s="121">
        <v>0.52880000000000005</v>
      </c>
      <c r="S777" s="113" t="e">
        <f t="shared" si="24"/>
        <v>#VALUE!</v>
      </c>
      <c r="T777" s="113">
        <f t="shared" si="25"/>
        <v>0</v>
      </c>
    </row>
    <row r="778" spans="1:20" s="109" customFormat="1" x14ac:dyDescent="0.2">
      <c r="A778" s="116"/>
      <c r="B778" s="111"/>
      <c r="C778" s="110" t="s">
        <v>3260</v>
      </c>
      <c r="D778" s="110" t="s">
        <v>3261</v>
      </c>
      <c r="E778" s="112" t="s">
        <v>3262</v>
      </c>
      <c r="F778" s="111" t="s">
        <v>126</v>
      </c>
      <c r="G778" s="133">
        <v>155</v>
      </c>
      <c r="H778" s="124"/>
      <c r="I778" s="133" t="str">
        <f>IF(H778&gt;0,(#REF!*H778),"-")</f>
        <v>-</v>
      </c>
      <c r="J778" s="113">
        <v>956</v>
      </c>
      <c r="K778" s="110" t="s">
        <v>389</v>
      </c>
      <c r="L778" s="110" t="s">
        <v>473</v>
      </c>
      <c r="M778" s="110" t="s">
        <v>129</v>
      </c>
      <c r="N778" s="110" t="s">
        <v>130</v>
      </c>
      <c r="O778" s="110" t="s">
        <v>3263</v>
      </c>
      <c r="P778" s="110" t="s">
        <v>132</v>
      </c>
      <c r="Q778" s="110" t="s">
        <v>97</v>
      </c>
      <c r="R778" s="121">
        <v>0.76400000000000001</v>
      </c>
      <c r="S778" s="113" t="e">
        <f t="shared" si="24"/>
        <v>#VALUE!</v>
      </c>
      <c r="T778" s="113">
        <f t="shared" si="25"/>
        <v>0</v>
      </c>
    </row>
    <row r="779" spans="1:20" s="109" customFormat="1" x14ac:dyDescent="0.2">
      <c r="A779" s="116"/>
      <c r="B779" s="111"/>
      <c r="C779" s="110" t="s">
        <v>3264</v>
      </c>
      <c r="D779" s="110" t="s">
        <v>3265</v>
      </c>
      <c r="E779" s="112" t="s">
        <v>3266</v>
      </c>
      <c r="F779" s="111" t="s">
        <v>126</v>
      </c>
      <c r="G779" s="133">
        <v>155</v>
      </c>
      <c r="H779" s="124"/>
      <c r="I779" s="133" t="str">
        <f>IF(H779&gt;0,(#REF!*H779),"-")</f>
        <v>-</v>
      </c>
      <c r="J779" s="113">
        <v>892</v>
      </c>
      <c r="K779" s="110" t="s">
        <v>389</v>
      </c>
      <c r="L779" s="110" t="s">
        <v>473</v>
      </c>
      <c r="M779" s="110" t="s">
        <v>129</v>
      </c>
      <c r="N779" s="110" t="s">
        <v>130</v>
      </c>
      <c r="O779" s="110" t="s">
        <v>3267</v>
      </c>
      <c r="P779" s="110" t="s">
        <v>132</v>
      </c>
      <c r="Q779" s="110" t="s">
        <v>97</v>
      </c>
      <c r="R779" s="121">
        <v>0.74099999999999999</v>
      </c>
      <c r="S779" s="113" t="e">
        <f t="shared" si="24"/>
        <v>#VALUE!</v>
      </c>
      <c r="T779" s="113">
        <f t="shared" si="25"/>
        <v>0</v>
      </c>
    </row>
    <row r="780" spans="1:20" s="109" customFormat="1" x14ac:dyDescent="0.2">
      <c r="A780" s="116"/>
      <c r="B780" s="111"/>
      <c r="C780" s="110" t="s">
        <v>3268</v>
      </c>
      <c r="D780" s="110" t="s">
        <v>3269</v>
      </c>
      <c r="E780" s="112" t="s">
        <v>3270</v>
      </c>
      <c r="F780" s="111" t="s">
        <v>126</v>
      </c>
      <c r="G780" s="133">
        <v>185</v>
      </c>
      <c r="H780" s="124"/>
      <c r="I780" s="133" t="str">
        <f>IF(H780&gt;0,(#REF!*H780),"-")</f>
        <v>-</v>
      </c>
      <c r="J780" s="113">
        <v>2862</v>
      </c>
      <c r="K780" s="110" t="s">
        <v>389</v>
      </c>
      <c r="L780" s="110" t="s">
        <v>473</v>
      </c>
      <c r="M780" s="110" t="s">
        <v>129</v>
      </c>
      <c r="N780" s="110" t="s">
        <v>130</v>
      </c>
      <c r="O780" s="110" t="s">
        <v>3271</v>
      </c>
      <c r="P780" s="110" t="s">
        <v>137</v>
      </c>
      <c r="Q780" s="110" t="s">
        <v>96</v>
      </c>
      <c r="R780" s="121">
        <v>0.32579999999999998</v>
      </c>
      <c r="S780" s="113" t="e">
        <f t="shared" si="24"/>
        <v>#VALUE!</v>
      </c>
      <c r="T780" s="113">
        <f t="shared" si="25"/>
        <v>0</v>
      </c>
    </row>
    <row r="781" spans="1:20" s="109" customFormat="1" x14ac:dyDescent="0.2">
      <c r="A781" s="116"/>
      <c r="B781" s="111" t="s">
        <v>207</v>
      </c>
      <c r="C781" s="110" t="s">
        <v>3272</v>
      </c>
      <c r="D781" s="110" t="s">
        <v>3273</v>
      </c>
      <c r="E781" s="112" t="s">
        <v>3274</v>
      </c>
      <c r="F781" s="111" t="s">
        <v>130</v>
      </c>
      <c r="G781" s="133">
        <v>155</v>
      </c>
      <c r="H781" s="124"/>
      <c r="I781" s="133" t="str">
        <f>IF(H781&gt;0,(#REF!*H781),"-")</f>
        <v>-</v>
      </c>
      <c r="J781" s="113">
        <v>1046</v>
      </c>
      <c r="K781" s="110" t="s">
        <v>389</v>
      </c>
      <c r="L781" s="110" t="s">
        <v>473</v>
      </c>
      <c r="M781" s="110" t="s">
        <v>129</v>
      </c>
      <c r="N781" s="110" t="s">
        <v>130</v>
      </c>
      <c r="O781" s="110" t="s">
        <v>3275</v>
      </c>
      <c r="P781" s="110" t="s">
        <v>137</v>
      </c>
      <c r="Q781" s="110" t="s">
        <v>96</v>
      </c>
      <c r="R781" s="121">
        <v>0.1172</v>
      </c>
      <c r="S781" s="113" t="e">
        <f t="shared" si="24"/>
        <v>#VALUE!</v>
      </c>
      <c r="T781" s="113">
        <f t="shared" si="25"/>
        <v>0</v>
      </c>
    </row>
    <row r="782" spans="1:20" s="109" customFormat="1" x14ac:dyDescent="0.2">
      <c r="A782" s="116"/>
      <c r="B782" s="111"/>
      <c r="C782" s="110" t="s">
        <v>3276</v>
      </c>
      <c r="D782" s="110" t="s">
        <v>3277</v>
      </c>
      <c r="E782" s="112" t="s">
        <v>3278</v>
      </c>
      <c r="F782" s="111" t="s">
        <v>126</v>
      </c>
      <c r="G782" s="133">
        <v>214</v>
      </c>
      <c r="H782" s="124"/>
      <c r="I782" s="133" t="str">
        <f>IF(H782&gt;0,(#REF!*H782),"-")</f>
        <v>-</v>
      </c>
      <c r="J782" s="113">
        <v>1522</v>
      </c>
      <c r="K782" s="110" t="s">
        <v>389</v>
      </c>
      <c r="L782" s="110" t="s">
        <v>473</v>
      </c>
      <c r="M782" s="110" t="s">
        <v>129</v>
      </c>
      <c r="N782" s="110" t="s">
        <v>130</v>
      </c>
      <c r="O782" s="110" t="s">
        <v>3279</v>
      </c>
      <c r="P782" s="110" t="s">
        <v>137</v>
      </c>
      <c r="Q782" s="110" t="s">
        <v>96</v>
      </c>
      <c r="R782" s="121">
        <v>0.187</v>
      </c>
      <c r="S782" s="113" t="e">
        <f t="shared" si="24"/>
        <v>#VALUE!</v>
      </c>
      <c r="T782" s="113">
        <f t="shared" si="25"/>
        <v>0</v>
      </c>
    </row>
    <row r="783" spans="1:20" s="109" customFormat="1" x14ac:dyDescent="0.2">
      <c r="A783" s="116"/>
      <c r="B783" s="111" t="s">
        <v>289</v>
      </c>
      <c r="C783" s="110" t="s">
        <v>3280</v>
      </c>
      <c r="D783" s="110" t="s">
        <v>3281</v>
      </c>
      <c r="E783" s="112" t="s">
        <v>3282</v>
      </c>
      <c r="F783" s="111" t="s">
        <v>130</v>
      </c>
      <c r="G783" s="133">
        <v>155</v>
      </c>
      <c r="H783" s="124"/>
      <c r="I783" s="133" t="str">
        <f>IF(H783&gt;0,(#REF!*H783),"-")</f>
        <v>-</v>
      </c>
      <c r="J783" s="113">
        <v>1522</v>
      </c>
      <c r="K783" s="110" t="s">
        <v>389</v>
      </c>
      <c r="L783" s="110" t="s">
        <v>473</v>
      </c>
      <c r="M783" s="110" t="s">
        <v>129</v>
      </c>
      <c r="N783" s="110" t="s">
        <v>130</v>
      </c>
      <c r="O783" s="110" t="s">
        <v>3283</v>
      </c>
      <c r="P783" s="110" t="s">
        <v>137</v>
      </c>
      <c r="Q783" s="110" t="s">
        <v>96</v>
      </c>
      <c r="R783" s="121">
        <v>0.1434</v>
      </c>
      <c r="S783" s="113" t="e">
        <f t="shared" si="24"/>
        <v>#VALUE!</v>
      </c>
      <c r="T783" s="113">
        <f t="shared" si="25"/>
        <v>0</v>
      </c>
    </row>
    <row r="784" spans="1:20" s="109" customFormat="1" x14ac:dyDescent="0.2">
      <c r="A784" s="116"/>
      <c r="B784" s="111"/>
      <c r="C784" s="110" t="s">
        <v>3284</v>
      </c>
      <c r="D784" s="110" t="s">
        <v>3285</v>
      </c>
      <c r="E784" s="112" t="s">
        <v>3286</v>
      </c>
      <c r="F784" s="111" t="s">
        <v>126</v>
      </c>
      <c r="G784" s="133">
        <v>233</v>
      </c>
      <c r="H784" s="124"/>
      <c r="I784" s="133" t="str">
        <f>IF(H784&gt;0,(#REF!*H784),"-")</f>
        <v>-</v>
      </c>
      <c r="J784" s="113">
        <v>1522</v>
      </c>
      <c r="K784" s="110" t="s">
        <v>389</v>
      </c>
      <c r="L784" s="110" t="s">
        <v>473</v>
      </c>
      <c r="M784" s="110" t="s">
        <v>129</v>
      </c>
      <c r="N784" s="110" t="s">
        <v>130</v>
      </c>
      <c r="O784" s="110" t="s">
        <v>3287</v>
      </c>
      <c r="P784" s="110" t="s">
        <v>137</v>
      </c>
      <c r="Q784" s="110" t="s">
        <v>96</v>
      </c>
      <c r="R784" s="121">
        <v>0.19450000000000001</v>
      </c>
      <c r="S784" s="113" t="e">
        <f t="shared" si="24"/>
        <v>#VALUE!</v>
      </c>
      <c r="T784" s="113">
        <f t="shared" si="25"/>
        <v>0</v>
      </c>
    </row>
    <row r="785" spans="1:20" s="109" customFormat="1" x14ac:dyDescent="0.2">
      <c r="A785" s="116"/>
      <c r="B785" s="111"/>
      <c r="C785" s="110" t="s">
        <v>3288</v>
      </c>
      <c r="D785" s="110" t="s">
        <v>3289</v>
      </c>
      <c r="E785" s="112" t="s">
        <v>3290</v>
      </c>
      <c r="F785" s="111" t="s">
        <v>126</v>
      </c>
      <c r="G785" s="133">
        <v>409</v>
      </c>
      <c r="H785" s="124"/>
      <c r="I785" s="133" t="str">
        <f>IF(H785&gt;0,(#REF!*H785),"-")</f>
        <v>-</v>
      </c>
      <c r="J785" s="113">
        <v>3788</v>
      </c>
      <c r="K785" s="110" t="s">
        <v>389</v>
      </c>
      <c r="L785" s="110" t="s">
        <v>473</v>
      </c>
      <c r="M785" s="110" t="s">
        <v>129</v>
      </c>
      <c r="N785" s="110" t="s">
        <v>130</v>
      </c>
      <c r="O785" s="110" t="s">
        <v>3291</v>
      </c>
      <c r="P785" s="110" t="s">
        <v>137</v>
      </c>
      <c r="Q785" s="110" t="s">
        <v>96</v>
      </c>
      <c r="R785" s="121">
        <v>0.432</v>
      </c>
      <c r="S785" s="113" t="e">
        <f t="shared" si="24"/>
        <v>#VALUE!</v>
      </c>
      <c r="T785" s="113">
        <f t="shared" si="25"/>
        <v>0</v>
      </c>
    </row>
    <row r="786" spans="1:20" s="109" customFormat="1" x14ac:dyDescent="0.2">
      <c r="A786" s="116"/>
      <c r="B786" s="111" t="s">
        <v>289</v>
      </c>
      <c r="C786" s="110" t="s">
        <v>3292</v>
      </c>
      <c r="D786" s="110" t="s">
        <v>3293</v>
      </c>
      <c r="E786" s="112" t="s">
        <v>3294</v>
      </c>
      <c r="F786" s="111" t="s">
        <v>130</v>
      </c>
      <c r="G786" s="133">
        <v>208</v>
      </c>
      <c r="H786" s="124"/>
      <c r="I786" s="133" t="str">
        <f>IF(H786&gt;0,(#REF!*H786),"-")</f>
        <v>-</v>
      </c>
      <c r="J786" s="113">
        <v>1522</v>
      </c>
      <c r="K786" s="110" t="s">
        <v>389</v>
      </c>
      <c r="L786" s="110" t="s">
        <v>473</v>
      </c>
      <c r="M786" s="110" t="s">
        <v>129</v>
      </c>
      <c r="N786" s="110" t="s">
        <v>130</v>
      </c>
      <c r="O786" s="110" t="s">
        <v>3295</v>
      </c>
      <c r="P786" s="110" t="s">
        <v>137</v>
      </c>
      <c r="Q786" s="110" t="s">
        <v>96</v>
      </c>
      <c r="R786" s="121">
        <v>0.18279999999999999</v>
      </c>
      <c r="S786" s="113" t="e">
        <f t="shared" si="24"/>
        <v>#VALUE!</v>
      </c>
      <c r="T786" s="113">
        <f t="shared" si="25"/>
        <v>0</v>
      </c>
    </row>
    <row r="787" spans="1:20" s="109" customFormat="1" x14ac:dyDescent="0.2">
      <c r="A787" s="116"/>
      <c r="B787" s="111"/>
      <c r="C787" s="110" t="s">
        <v>3296</v>
      </c>
      <c r="D787" s="110" t="s">
        <v>3297</v>
      </c>
      <c r="E787" s="112" t="s">
        <v>3298</v>
      </c>
      <c r="F787" s="111" t="s">
        <v>126</v>
      </c>
      <c r="G787" s="133">
        <v>217</v>
      </c>
      <c r="H787" s="124"/>
      <c r="I787" s="133" t="str">
        <f>IF(H787&gt;0,(#REF!*H787),"-")</f>
        <v>-</v>
      </c>
      <c r="J787" s="113">
        <v>1860</v>
      </c>
      <c r="K787" s="110" t="s">
        <v>389</v>
      </c>
      <c r="L787" s="110" t="s">
        <v>473</v>
      </c>
      <c r="M787" s="110" t="s">
        <v>129</v>
      </c>
      <c r="N787" s="110" t="s">
        <v>130</v>
      </c>
      <c r="O787" s="110" t="s">
        <v>3299</v>
      </c>
      <c r="P787" s="110" t="s">
        <v>137</v>
      </c>
      <c r="Q787" s="110" t="s">
        <v>96</v>
      </c>
      <c r="R787" s="121">
        <v>0.248</v>
      </c>
      <c r="S787" s="113" t="e">
        <f t="shared" si="24"/>
        <v>#VALUE!</v>
      </c>
      <c r="T787" s="113">
        <f t="shared" si="25"/>
        <v>0</v>
      </c>
    </row>
    <row r="788" spans="1:20" s="109" customFormat="1" x14ac:dyDescent="0.2">
      <c r="A788" s="116"/>
      <c r="B788" s="111" t="s">
        <v>202</v>
      </c>
      <c r="C788" s="110" t="s">
        <v>3300</v>
      </c>
      <c r="D788" s="110" t="s">
        <v>3301</v>
      </c>
      <c r="E788" s="112" t="s">
        <v>3302</v>
      </c>
      <c r="F788" s="111" t="s">
        <v>130</v>
      </c>
      <c r="G788" s="133">
        <v>60</v>
      </c>
      <c r="H788" s="124"/>
      <c r="I788" s="133" t="str">
        <f>IF(H788&gt;0,(#REF!*H788),"-")</f>
        <v>-</v>
      </c>
      <c r="J788" s="113">
        <v>398</v>
      </c>
      <c r="K788" s="110" t="s">
        <v>389</v>
      </c>
      <c r="L788" s="110" t="s">
        <v>473</v>
      </c>
      <c r="M788" s="110" t="s">
        <v>129</v>
      </c>
      <c r="N788" s="110" t="s">
        <v>130</v>
      </c>
      <c r="O788" s="110" t="s">
        <v>3303</v>
      </c>
      <c r="P788" s="110" t="s">
        <v>137</v>
      </c>
      <c r="Q788" s="110" t="s">
        <v>96</v>
      </c>
      <c r="R788" s="121">
        <v>2.4899999999999999E-2</v>
      </c>
      <c r="S788" s="113" t="e">
        <f t="shared" si="24"/>
        <v>#VALUE!</v>
      </c>
      <c r="T788" s="113">
        <f t="shared" si="25"/>
        <v>0</v>
      </c>
    </row>
    <row r="789" spans="1:20" s="109" customFormat="1" x14ac:dyDescent="0.2">
      <c r="A789" s="116"/>
      <c r="B789" s="111"/>
      <c r="C789" s="110" t="s">
        <v>3304</v>
      </c>
      <c r="D789" s="110" t="s">
        <v>3305</v>
      </c>
      <c r="E789" s="112" t="s">
        <v>3306</v>
      </c>
      <c r="F789" s="111" t="s">
        <v>126</v>
      </c>
      <c r="G789" s="133">
        <v>155</v>
      </c>
      <c r="H789" s="124"/>
      <c r="I789" s="133" t="str">
        <f>IF(H789&gt;0,(#REF!*H789),"-")</f>
        <v>-</v>
      </c>
      <c r="J789" s="113">
        <v>939</v>
      </c>
      <c r="K789" s="110" t="s">
        <v>389</v>
      </c>
      <c r="L789" s="110" t="s">
        <v>473</v>
      </c>
      <c r="M789" s="110" t="s">
        <v>129</v>
      </c>
      <c r="N789" s="110" t="s">
        <v>130</v>
      </c>
      <c r="O789" s="110" t="s">
        <v>3307</v>
      </c>
      <c r="P789" s="110" t="s">
        <v>132</v>
      </c>
      <c r="Q789" s="110" t="s">
        <v>97</v>
      </c>
      <c r="R789" s="121">
        <v>0.73799999999999999</v>
      </c>
      <c r="S789" s="113" t="e">
        <f t="shared" si="24"/>
        <v>#VALUE!</v>
      </c>
      <c r="T789" s="113">
        <f t="shared" si="25"/>
        <v>0</v>
      </c>
    </row>
    <row r="790" spans="1:20" s="109" customFormat="1" x14ac:dyDescent="0.2">
      <c r="A790" s="116"/>
      <c r="B790" s="111"/>
      <c r="C790" s="110" t="s">
        <v>3308</v>
      </c>
      <c r="D790" s="110" t="s">
        <v>3309</v>
      </c>
      <c r="E790" s="112" t="s">
        <v>3310</v>
      </c>
      <c r="F790" s="111" t="s">
        <v>126</v>
      </c>
      <c r="G790" s="133">
        <v>110</v>
      </c>
      <c r="H790" s="124"/>
      <c r="I790" s="133" t="str">
        <f>IF(H790&gt;0,(#REF!*H790),"-")</f>
        <v>-</v>
      </c>
      <c r="J790" s="113">
        <v>348</v>
      </c>
      <c r="K790" s="110" t="s">
        <v>389</v>
      </c>
      <c r="L790" s="110" t="s">
        <v>473</v>
      </c>
      <c r="M790" s="110" t="s">
        <v>129</v>
      </c>
      <c r="N790" s="110" t="s">
        <v>130</v>
      </c>
      <c r="O790" s="110" t="s">
        <v>3311</v>
      </c>
      <c r="P790" s="110" t="s">
        <v>137</v>
      </c>
      <c r="Q790" s="110" t="s">
        <v>96</v>
      </c>
      <c r="R790" s="121">
        <v>2.5000000000000001E-2</v>
      </c>
      <c r="S790" s="113" t="e">
        <f t="shared" si="24"/>
        <v>#VALUE!</v>
      </c>
      <c r="T790" s="113">
        <f t="shared" si="25"/>
        <v>0</v>
      </c>
    </row>
    <row r="791" spans="1:20" s="109" customFormat="1" x14ac:dyDescent="0.2">
      <c r="A791" s="116"/>
      <c r="B791" s="111"/>
      <c r="C791" s="110" t="s">
        <v>3312</v>
      </c>
      <c r="D791" s="110" t="s">
        <v>3313</v>
      </c>
      <c r="E791" s="112" t="s">
        <v>3314</v>
      </c>
      <c r="F791" s="111" t="s">
        <v>126</v>
      </c>
      <c r="G791" s="133">
        <v>620</v>
      </c>
      <c r="H791" s="124"/>
      <c r="I791" s="133" t="str">
        <f>IF(H791&gt;0,(#REF!*H791),"-")</f>
        <v>-</v>
      </c>
      <c r="J791" s="113">
        <v>5164</v>
      </c>
      <c r="K791" s="110" t="s">
        <v>389</v>
      </c>
      <c r="L791" s="110" t="s">
        <v>473</v>
      </c>
      <c r="M791" s="110" t="s">
        <v>129</v>
      </c>
      <c r="N791" s="110" t="s">
        <v>130</v>
      </c>
      <c r="O791" s="110" t="s">
        <v>3315</v>
      </c>
      <c r="P791" s="110" t="s">
        <v>137</v>
      </c>
      <c r="Q791" s="110" t="s">
        <v>96</v>
      </c>
      <c r="R791" s="121">
        <v>0.57399999999999995</v>
      </c>
      <c r="S791" s="113" t="e">
        <f t="shared" si="24"/>
        <v>#VALUE!</v>
      </c>
      <c r="T791" s="113">
        <f t="shared" si="25"/>
        <v>0</v>
      </c>
    </row>
    <row r="792" spans="1:20" s="109" customFormat="1" x14ac:dyDescent="0.2">
      <c r="A792" s="116"/>
      <c r="B792" s="111"/>
      <c r="C792" s="110" t="s">
        <v>3316</v>
      </c>
      <c r="D792" s="110" t="s">
        <v>3317</v>
      </c>
      <c r="E792" s="112" t="s">
        <v>3318</v>
      </c>
      <c r="F792" s="111" t="s">
        <v>126</v>
      </c>
      <c r="G792" s="133">
        <v>372</v>
      </c>
      <c r="H792" s="124"/>
      <c r="I792" s="133" t="str">
        <f>IF(H792&gt;0,(#REF!*H792),"-")</f>
        <v>-</v>
      </c>
      <c r="J792" s="113">
        <v>1860</v>
      </c>
      <c r="K792" s="110" t="s">
        <v>389</v>
      </c>
      <c r="L792" s="110" t="s">
        <v>473</v>
      </c>
      <c r="M792" s="110" t="s">
        <v>129</v>
      </c>
      <c r="N792" s="110" t="s">
        <v>130</v>
      </c>
      <c r="O792" s="110" t="s">
        <v>3319</v>
      </c>
      <c r="P792" s="110" t="s">
        <v>137</v>
      </c>
      <c r="Q792" s="110" t="s">
        <v>96</v>
      </c>
      <c r="R792" s="121">
        <v>0.2079</v>
      </c>
      <c r="S792" s="113" t="e">
        <f t="shared" si="24"/>
        <v>#VALUE!</v>
      </c>
      <c r="T792" s="113">
        <f t="shared" si="25"/>
        <v>0</v>
      </c>
    </row>
    <row r="793" spans="1:20" s="109" customFormat="1" x14ac:dyDescent="0.2">
      <c r="A793" s="116"/>
      <c r="B793" s="111" t="s">
        <v>202</v>
      </c>
      <c r="C793" s="110" t="s">
        <v>3320</v>
      </c>
      <c r="D793" s="110" t="s">
        <v>3321</v>
      </c>
      <c r="E793" s="112" t="s">
        <v>3322</v>
      </c>
      <c r="F793" s="111" t="s">
        <v>130</v>
      </c>
      <c r="G793" s="133">
        <v>370</v>
      </c>
      <c r="H793" s="124"/>
      <c r="I793" s="133" t="str">
        <f>IF(H793&gt;0,(#REF!*H793),"-")</f>
        <v>-</v>
      </c>
      <c r="J793" s="113">
        <v>3689</v>
      </c>
      <c r="K793" s="110" t="s">
        <v>389</v>
      </c>
      <c r="L793" s="110" t="s">
        <v>473</v>
      </c>
      <c r="M793" s="110" t="s">
        <v>129</v>
      </c>
      <c r="N793" s="110" t="s">
        <v>130</v>
      </c>
      <c r="O793" s="110" t="s">
        <v>3323</v>
      </c>
      <c r="P793" s="110" t="s">
        <v>137</v>
      </c>
      <c r="Q793" s="110" t="s">
        <v>96</v>
      </c>
      <c r="R793" s="121">
        <v>0.50700000000000001</v>
      </c>
      <c r="S793" s="113" t="e">
        <f t="shared" si="24"/>
        <v>#VALUE!</v>
      </c>
      <c r="T793" s="113">
        <f t="shared" si="25"/>
        <v>0</v>
      </c>
    </row>
    <row r="794" spans="1:20" s="109" customFormat="1" x14ac:dyDescent="0.2">
      <c r="A794" s="116"/>
      <c r="B794" s="111"/>
      <c r="C794" s="110" t="s">
        <v>3324</v>
      </c>
      <c r="D794" s="110" t="s">
        <v>3325</v>
      </c>
      <c r="E794" s="112" t="s">
        <v>3326</v>
      </c>
      <c r="F794" s="111" t="s">
        <v>126</v>
      </c>
      <c r="G794" s="133">
        <v>125</v>
      </c>
      <c r="H794" s="124"/>
      <c r="I794" s="133" t="str">
        <f>IF(H794&gt;0,(#REF!*H794),"-")</f>
        <v>-</v>
      </c>
      <c r="J794" s="113">
        <v>1484</v>
      </c>
      <c r="K794" s="110" t="s">
        <v>389</v>
      </c>
      <c r="L794" s="110" t="s">
        <v>473</v>
      </c>
      <c r="M794" s="110" t="s">
        <v>129</v>
      </c>
      <c r="N794" s="110" t="s">
        <v>130</v>
      </c>
      <c r="O794" s="110" t="s">
        <v>3327</v>
      </c>
      <c r="P794" s="110" t="s">
        <v>137</v>
      </c>
      <c r="Q794" s="110" t="s">
        <v>97</v>
      </c>
      <c r="R794" s="121">
        <v>0.2175</v>
      </c>
      <c r="S794" s="113" t="e">
        <f t="shared" si="24"/>
        <v>#VALUE!</v>
      </c>
      <c r="T794" s="113">
        <f t="shared" si="25"/>
        <v>0</v>
      </c>
    </row>
    <row r="795" spans="1:20" s="109" customFormat="1" x14ac:dyDescent="0.2">
      <c r="A795" s="116"/>
      <c r="B795" s="111"/>
      <c r="C795" s="110" t="s">
        <v>3328</v>
      </c>
      <c r="D795" s="110" t="s">
        <v>3329</v>
      </c>
      <c r="E795" s="112" t="s">
        <v>3330</v>
      </c>
      <c r="F795" s="111" t="s">
        <v>126</v>
      </c>
      <c r="G795" s="133">
        <v>140</v>
      </c>
      <c r="H795" s="124"/>
      <c r="I795" s="133" t="str">
        <f>IF(H795&gt;0,(#REF!*H795),"-")</f>
        <v>-</v>
      </c>
      <c r="J795" s="113">
        <v>1384</v>
      </c>
      <c r="K795" s="110" t="s">
        <v>389</v>
      </c>
      <c r="L795" s="110" t="s">
        <v>473</v>
      </c>
      <c r="M795" s="110" t="s">
        <v>129</v>
      </c>
      <c r="N795" s="110" t="s">
        <v>130</v>
      </c>
      <c r="O795" s="110" t="s">
        <v>3331</v>
      </c>
      <c r="P795" s="110" t="s">
        <v>137</v>
      </c>
      <c r="Q795" s="110" t="s">
        <v>97</v>
      </c>
      <c r="R795" s="121">
        <v>0.249</v>
      </c>
      <c r="S795" s="113" t="e">
        <f t="shared" si="24"/>
        <v>#VALUE!</v>
      </c>
      <c r="T795" s="113">
        <f t="shared" si="25"/>
        <v>0</v>
      </c>
    </row>
    <row r="796" spans="1:20" s="109" customFormat="1" x14ac:dyDescent="0.2">
      <c r="A796" s="116"/>
      <c r="B796" s="111"/>
      <c r="C796" s="110" t="s">
        <v>3332</v>
      </c>
      <c r="D796" s="110" t="s">
        <v>3333</v>
      </c>
      <c r="E796" s="112" t="s">
        <v>3334</v>
      </c>
      <c r="F796" s="111" t="s">
        <v>126</v>
      </c>
      <c r="G796" s="133">
        <v>155</v>
      </c>
      <c r="H796" s="124"/>
      <c r="I796" s="133" t="str">
        <f>IF(H796&gt;0,(#REF!*H796),"-")</f>
        <v>-</v>
      </c>
      <c r="J796" s="113">
        <v>1092</v>
      </c>
      <c r="K796" s="110" t="s">
        <v>389</v>
      </c>
      <c r="L796" s="110" t="s">
        <v>473</v>
      </c>
      <c r="M796" s="110" t="s">
        <v>129</v>
      </c>
      <c r="N796" s="110" t="s">
        <v>130</v>
      </c>
      <c r="O796" s="110" t="s">
        <v>3335</v>
      </c>
      <c r="P796" s="110" t="s">
        <v>132</v>
      </c>
      <c r="Q796" s="110" t="s">
        <v>97</v>
      </c>
      <c r="R796" s="121">
        <v>0.65700000000000003</v>
      </c>
      <c r="S796" s="113" t="e">
        <f t="shared" si="24"/>
        <v>#VALUE!</v>
      </c>
      <c r="T796" s="113">
        <f t="shared" si="25"/>
        <v>0</v>
      </c>
    </row>
    <row r="797" spans="1:20" s="109" customFormat="1" x14ac:dyDescent="0.2">
      <c r="A797" s="116"/>
      <c r="B797" s="111"/>
      <c r="C797" s="110" t="s">
        <v>3336</v>
      </c>
      <c r="D797" s="110" t="s">
        <v>3337</v>
      </c>
      <c r="E797" s="112" t="s">
        <v>3338</v>
      </c>
      <c r="F797" s="111" t="s">
        <v>126</v>
      </c>
      <c r="G797" s="133">
        <v>140</v>
      </c>
      <c r="H797" s="124"/>
      <c r="I797" s="133" t="str">
        <f>IF(H797&gt;0,(#REF!*H797),"-")</f>
        <v>-</v>
      </c>
      <c r="J797" s="113">
        <v>1181</v>
      </c>
      <c r="K797" s="110" t="s">
        <v>389</v>
      </c>
      <c r="L797" s="110" t="s">
        <v>473</v>
      </c>
      <c r="M797" s="110" t="s">
        <v>129</v>
      </c>
      <c r="N797" s="110" t="s">
        <v>130</v>
      </c>
      <c r="O797" s="110" t="s">
        <v>3339</v>
      </c>
      <c r="P797" s="110" t="s">
        <v>137</v>
      </c>
      <c r="Q797" s="110" t="s">
        <v>97</v>
      </c>
      <c r="R797" s="121">
        <v>0.17699999999999999</v>
      </c>
      <c r="S797" s="113" t="e">
        <f t="shared" si="24"/>
        <v>#VALUE!</v>
      </c>
      <c r="T797" s="113">
        <f t="shared" si="25"/>
        <v>0</v>
      </c>
    </row>
    <row r="798" spans="1:20" s="109" customFormat="1" x14ac:dyDescent="0.2">
      <c r="A798" s="116"/>
      <c r="B798" s="111"/>
      <c r="C798" s="110" t="s">
        <v>3340</v>
      </c>
      <c r="D798" s="110" t="s">
        <v>3341</v>
      </c>
      <c r="E798" s="112" t="s">
        <v>3342</v>
      </c>
      <c r="F798" s="111" t="s">
        <v>126</v>
      </c>
      <c r="G798" s="133">
        <v>155</v>
      </c>
      <c r="H798" s="124"/>
      <c r="I798" s="133" t="str">
        <f>IF(H798&gt;0,(#REF!*H798),"-")</f>
        <v>-</v>
      </c>
      <c r="J798" s="113">
        <v>774</v>
      </c>
      <c r="K798" s="110" t="s">
        <v>389</v>
      </c>
      <c r="L798" s="110" t="s">
        <v>473</v>
      </c>
      <c r="M798" s="110" t="s">
        <v>129</v>
      </c>
      <c r="N798" s="110" t="s">
        <v>130</v>
      </c>
      <c r="O798" s="110" t="s">
        <v>3343</v>
      </c>
      <c r="P798" s="110" t="s">
        <v>132</v>
      </c>
      <c r="Q798" s="110" t="s">
        <v>97</v>
      </c>
      <c r="R798" s="121">
        <v>0.60399999999999998</v>
      </c>
      <c r="S798" s="113" t="e">
        <f t="shared" si="24"/>
        <v>#VALUE!</v>
      </c>
      <c r="T798" s="113">
        <f t="shared" si="25"/>
        <v>0</v>
      </c>
    </row>
    <row r="799" spans="1:20" s="109" customFormat="1" x14ac:dyDescent="0.2">
      <c r="A799" s="116"/>
      <c r="B799" s="111"/>
      <c r="C799" s="110" t="s">
        <v>3344</v>
      </c>
      <c r="D799" s="110" t="s">
        <v>3345</v>
      </c>
      <c r="E799" s="112" t="s">
        <v>3346</v>
      </c>
      <c r="F799" s="111" t="s">
        <v>126</v>
      </c>
      <c r="G799" s="133">
        <v>185</v>
      </c>
      <c r="H799" s="124"/>
      <c r="I799" s="133" t="str">
        <f>IF(H799&gt;0,(#REF!*H799),"-")</f>
        <v>-</v>
      </c>
      <c r="J799" s="113">
        <v>1860</v>
      </c>
      <c r="K799" s="110" t="s">
        <v>389</v>
      </c>
      <c r="L799" s="110" t="s">
        <v>473</v>
      </c>
      <c r="M799" s="110" t="s">
        <v>129</v>
      </c>
      <c r="N799" s="110" t="s">
        <v>130</v>
      </c>
      <c r="O799" s="110" t="s">
        <v>3347</v>
      </c>
      <c r="P799" s="110" t="s">
        <v>137</v>
      </c>
      <c r="Q799" s="110" t="s">
        <v>96</v>
      </c>
      <c r="R799" s="121">
        <v>0.22900000000000001</v>
      </c>
      <c r="S799" s="113" t="e">
        <f t="shared" si="24"/>
        <v>#VALUE!</v>
      </c>
      <c r="T799" s="113">
        <f t="shared" si="25"/>
        <v>0</v>
      </c>
    </row>
    <row r="800" spans="1:20" s="109" customFormat="1" x14ac:dyDescent="0.2">
      <c r="A800" s="116"/>
      <c r="B800" s="111" t="s">
        <v>289</v>
      </c>
      <c r="C800" s="110" t="s">
        <v>3348</v>
      </c>
      <c r="D800" s="110" t="s">
        <v>3349</v>
      </c>
      <c r="E800" s="112" t="s">
        <v>3350</v>
      </c>
      <c r="F800" s="111" t="s">
        <v>130</v>
      </c>
      <c r="G800" s="133">
        <v>155</v>
      </c>
      <c r="H800" s="124"/>
      <c r="I800" s="133" t="str">
        <f>IF(H800&gt;0,(#REF!*H800),"-")</f>
        <v>-</v>
      </c>
      <c r="J800" s="113">
        <v>1046</v>
      </c>
      <c r="K800" s="110" t="s">
        <v>389</v>
      </c>
      <c r="L800" s="110" t="s">
        <v>473</v>
      </c>
      <c r="M800" s="110" t="s">
        <v>129</v>
      </c>
      <c r="N800" s="110" t="s">
        <v>130</v>
      </c>
      <c r="O800" s="110" t="s">
        <v>3351</v>
      </c>
      <c r="P800" s="110" t="s">
        <v>137</v>
      </c>
      <c r="Q800" s="110" t="s">
        <v>96</v>
      </c>
      <c r="R800" s="121">
        <v>0.14610000000000001</v>
      </c>
      <c r="S800" s="113" t="e">
        <f t="shared" si="24"/>
        <v>#VALUE!</v>
      </c>
      <c r="T800" s="113">
        <f t="shared" si="25"/>
        <v>0</v>
      </c>
    </row>
    <row r="801" spans="1:20" s="109" customFormat="1" x14ac:dyDescent="0.2">
      <c r="A801" s="116"/>
      <c r="B801" s="111" t="s">
        <v>207</v>
      </c>
      <c r="C801" s="110" t="s">
        <v>3352</v>
      </c>
      <c r="D801" s="110" t="s">
        <v>3353</v>
      </c>
      <c r="E801" s="112" t="s">
        <v>3354</v>
      </c>
      <c r="F801" s="111" t="s">
        <v>130</v>
      </c>
      <c r="G801" s="133">
        <v>155</v>
      </c>
      <c r="H801" s="124"/>
      <c r="I801" s="133" t="str">
        <f>IF(H801&gt;0,(#REF!*H801),"-")</f>
        <v>-</v>
      </c>
      <c r="J801" s="113">
        <v>1860</v>
      </c>
      <c r="K801" s="110" t="s">
        <v>389</v>
      </c>
      <c r="L801" s="110" t="s">
        <v>473</v>
      </c>
      <c r="M801" s="110" t="s">
        <v>129</v>
      </c>
      <c r="N801" s="110" t="s">
        <v>130</v>
      </c>
      <c r="O801" s="110" t="s">
        <v>3355</v>
      </c>
      <c r="P801" s="110" t="s">
        <v>137</v>
      </c>
      <c r="Q801" s="110" t="s">
        <v>96</v>
      </c>
      <c r="R801" s="121">
        <v>0.22</v>
      </c>
      <c r="S801" s="113" t="e">
        <f t="shared" si="24"/>
        <v>#VALUE!</v>
      </c>
      <c r="T801" s="113">
        <f t="shared" si="25"/>
        <v>0</v>
      </c>
    </row>
    <row r="802" spans="1:20" s="109" customFormat="1" x14ac:dyDescent="0.2">
      <c r="A802" s="116"/>
      <c r="B802" s="111"/>
      <c r="C802" s="110" t="s">
        <v>3356</v>
      </c>
      <c r="D802" s="110" t="s">
        <v>3357</v>
      </c>
      <c r="E802" s="112" t="s">
        <v>3358</v>
      </c>
      <c r="F802" s="111" t="s">
        <v>126</v>
      </c>
      <c r="G802" s="133">
        <v>125</v>
      </c>
      <c r="H802" s="124"/>
      <c r="I802" s="133" t="str">
        <f>IF(H802&gt;0,(#REF!*H802),"-")</f>
        <v>-</v>
      </c>
      <c r="J802" s="113">
        <v>540</v>
      </c>
      <c r="K802" s="110" t="s">
        <v>389</v>
      </c>
      <c r="L802" s="110" t="s">
        <v>473</v>
      </c>
      <c r="M802" s="110" t="s">
        <v>129</v>
      </c>
      <c r="N802" s="110" t="s">
        <v>130</v>
      </c>
      <c r="O802" s="110" t="s">
        <v>3359</v>
      </c>
      <c r="P802" s="110" t="s">
        <v>137</v>
      </c>
      <c r="Q802" s="110" t="s">
        <v>96</v>
      </c>
      <c r="R802" s="121">
        <v>3.5099999999999999E-2</v>
      </c>
      <c r="S802" s="113" t="e">
        <f t="shared" si="24"/>
        <v>#VALUE!</v>
      </c>
      <c r="T802" s="113">
        <f t="shared" si="25"/>
        <v>0</v>
      </c>
    </row>
    <row r="803" spans="1:20" s="109" customFormat="1" x14ac:dyDescent="0.2">
      <c r="A803" s="116"/>
      <c r="B803" s="111"/>
      <c r="C803" s="110" t="s">
        <v>3360</v>
      </c>
      <c r="D803" s="110" t="s">
        <v>3361</v>
      </c>
      <c r="E803" s="112" t="s">
        <v>3362</v>
      </c>
      <c r="F803" s="111" t="s">
        <v>126</v>
      </c>
      <c r="G803" s="133">
        <v>125</v>
      </c>
      <c r="H803" s="124"/>
      <c r="I803" s="133" t="str">
        <f>IF(H803&gt;0,(#REF!*H803),"-")</f>
        <v>-</v>
      </c>
      <c r="J803" s="113">
        <v>531</v>
      </c>
      <c r="K803" s="110" t="s">
        <v>389</v>
      </c>
      <c r="L803" s="110" t="s">
        <v>473</v>
      </c>
      <c r="M803" s="110" t="s">
        <v>129</v>
      </c>
      <c r="N803" s="110" t="s">
        <v>130</v>
      </c>
      <c r="O803" s="110" t="s">
        <v>3363</v>
      </c>
      <c r="P803" s="110" t="s">
        <v>137</v>
      </c>
      <c r="Q803" s="110" t="s">
        <v>96</v>
      </c>
      <c r="R803" s="121">
        <v>5.5E-2</v>
      </c>
      <c r="S803" s="113" t="e">
        <f t="shared" si="24"/>
        <v>#VALUE!</v>
      </c>
      <c r="T803" s="113">
        <f t="shared" si="25"/>
        <v>0</v>
      </c>
    </row>
    <row r="804" spans="1:20" s="109" customFormat="1" x14ac:dyDescent="0.2">
      <c r="A804" s="116"/>
      <c r="B804" s="111"/>
      <c r="C804" s="110" t="s">
        <v>3364</v>
      </c>
      <c r="D804" s="110" t="s">
        <v>3365</v>
      </c>
      <c r="E804" s="112" t="s">
        <v>3366</v>
      </c>
      <c r="F804" s="111" t="s">
        <v>126</v>
      </c>
      <c r="G804" s="133">
        <v>140</v>
      </c>
      <c r="H804" s="124"/>
      <c r="I804" s="133" t="str">
        <f>IF(H804&gt;0,(#REF!*H804),"-")</f>
        <v>-</v>
      </c>
      <c r="J804" s="113">
        <v>1632</v>
      </c>
      <c r="K804" s="110" t="s">
        <v>389</v>
      </c>
      <c r="L804" s="110" t="s">
        <v>473</v>
      </c>
      <c r="M804" s="110" t="s">
        <v>129</v>
      </c>
      <c r="N804" s="110" t="s">
        <v>130</v>
      </c>
      <c r="O804" s="110" t="s">
        <v>3367</v>
      </c>
      <c r="P804" s="110" t="s">
        <v>137</v>
      </c>
      <c r="Q804" s="110" t="s">
        <v>97</v>
      </c>
      <c r="R804" s="121">
        <v>0.17449999999999999</v>
      </c>
      <c r="S804" s="113" t="e">
        <f t="shared" si="24"/>
        <v>#VALUE!</v>
      </c>
      <c r="T804" s="113">
        <f t="shared" si="25"/>
        <v>0</v>
      </c>
    </row>
    <row r="805" spans="1:20" s="109" customFormat="1" x14ac:dyDescent="0.2">
      <c r="A805" s="116"/>
      <c r="B805" s="111" t="s">
        <v>289</v>
      </c>
      <c r="C805" s="110" t="s">
        <v>3368</v>
      </c>
      <c r="D805" s="110" t="s">
        <v>3369</v>
      </c>
      <c r="E805" s="112" t="s">
        <v>3370</v>
      </c>
      <c r="F805" s="111" t="s">
        <v>130</v>
      </c>
      <c r="G805" s="133">
        <v>340</v>
      </c>
      <c r="H805" s="124"/>
      <c r="I805" s="133" t="str">
        <f>IF(H805&gt;0,(#REF!*H805),"-")</f>
        <v>-</v>
      </c>
      <c r="J805" s="113">
        <v>5720</v>
      </c>
      <c r="K805" s="110" t="s">
        <v>389</v>
      </c>
      <c r="L805" s="110" t="s">
        <v>502</v>
      </c>
      <c r="M805" s="110" t="s">
        <v>129</v>
      </c>
      <c r="N805" s="110" t="s">
        <v>130</v>
      </c>
      <c r="O805" s="110" t="s">
        <v>3371</v>
      </c>
      <c r="P805" s="110" t="s">
        <v>137</v>
      </c>
      <c r="Q805" s="110" t="s">
        <v>96</v>
      </c>
      <c r="R805" s="121">
        <v>0.65200000000000002</v>
      </c>
      <c r="S805" s="113" t="e">
        <f t="shared" si="24"/>
        <v>#VALUE!</v>
      </c>
      <c r="T805" s="113">
        <f t="shared" si="25"/>
        <v>0</v>
      </c>
    </row>
    <row r="806" spans="1:20" s="109" customFormat="1" x14ac:dyDescent="0.2">
      <c r="A806" s="116"/>
      <c r="B806" s="111"/>
      <c r="C806" s="110" t="s">
        <v>3372</v>
      </c>
      <c r="D806" s="110" t="s">
        <v>3373</v>
      </c>
      <c r="E806" s="112" t="s">
        <v>3374</v>
      </c>
      <c r="F806" s="111" t="s">
        <v>126</v>
      </c>
      <c r="G806" s="133">
        <v>155</v>
      </c>
      <c r="H806" s="124"/>
      <c r="I806" s="133" t="str">
        <f>IF(H806&gt;0,(#REF!*H806),"-")</f>
        <v>-</v>
      </c>
      <c r="J806" s="113">
        <v>839</v>
      </c>
      <c r="K806" s="110" t="s">
        <v>389</v>
      </c>
      <c r="L806" s="110" t="s">
        <v>502</v>
      </c>
      <c r="M806" s="110" t="s">
        <v>129</v>
      </c>
      <c r="N806" s="110" t="s">
        <v>130</v>
      </c>
      <c r="O806" s="110" t="s">
        <v>3375</v>
      </c>
      <c r="P806" s="110" t="s">
        <v>132</v>
      </c>
      <c r="Q806" s="110" t="s">
        <v>97</v>
      </c>
      <c r="R806" s="121">
        <v>0.63500000000000001</v>
      </c>
      <c r="S806" s="113" t="e">
        <f t="shared" si="24"/>
        <v>#VALUE!</v>
      </c>
      <c r="T806" s="113">
        <f t="shared" si="25"/>
        <v>0</v>
      </c>
    </row>
    <row r="807" spans="1:20" s="109" customFormat="1" x14ac:dyDescent="0.2">
      <c r="A807" s="116"/>
      <c r="B807" s="111"/>
      <c r="C807" s="110" t="s">
        <v>3376</v>
      </c>
      <c r="D807" s="110" t="s">
        <v>3377</v>
      </c>
      <c r="E807" s="112" t="s">
        <v>3378</v>
      </c>
      <c r="F807" s="111" t="s">
        <v>126</v>
      </c>
      <c r="G807" s="133">
        <v>155</v>
      </c>
      <c r="H807" s="124"/>
      <c r="I807" s="133" t="str">
        <f>IF(H807&gt;0,(#REF!*H807),"-")</f>
        <v>-</v>
      </c>
      <c r="J807" s="113">
        <v>2862</v>
      </c>
      <c r="K807" s="110" t="s">
        <v>389</v>
      </c>
      <c r="L807" s="110" t="s">
        <v>502</v>
      </c>
      <c r="M807" s="110" t="s">
        <v>129</v>
      </c>
      <c r="N807" s="110" t="s">
        <v>130</v>
      </c>
      <c r="O807" s="110" t="s">
        <v>3379</v>
      </c>
      <c r="P807" s="110" t="s">
        <v>137</v>
      </c>
      <c r="Q807" s="110" t="s">
        <v>96</v>
      </c>
      <c r="R807" s="121">
        <v>0.2878</v>
      </c>
      <c r="S807" s="113" t="e">
        <f t="shared" si="24"/>
        <v>#VALUE!</v>
      </c>
      <c r="T807" s="113">
        <f t="shared" si="25"/>
        <v>0</v>
      </c>
    </row>
    <row r="808" spans="1:20" s="109" customFormat="1" x14ac:dyDescent="0.2">
      <c r="A808" s="116"/>
      <c r="B808" s="111"/>
      <c r="C808" s="110" t="s">
        <v>3380</v>
      </c>
      <c r="D808" s="110" t="s">
        <v>3381</v>
      </c>
      <c r="E808" s="112" t="s">
        <v>3382</v>
      </c>
      <c r="F808" s="111" t="s">
        <v>126</v>
      </c>
      <c r="G808" s="133">
        <v>229</v>
      </c>
      <c r="H808" s="124"/>
      <c r="I808" s="133" t="str">
        <f>IF(H808&gt;0,(#REF!*H808),"-")</f>
        <v>-</v>
      </c>
      <c r="J808" s="113">
        <v>4150</v>
      </c>
      <c r="K808" s="110" t="s">
        <v>389</v>
      </c>
      <c r="L808" s="110" t="s">
        <v>502</v>
      </c>
      <c r="M808" s="110" t="s">
        <v>129</v>
      </c>
      <c r="N808" s="110" t="s">
        <v>130</v>
      </c>
      <c r="O808" s="110" t="s">
        <v>3383</v>
      </c>
      <c r="P808" s="110" t="s">
        <v>137</v>
      </c>
      <c r="Q808" s="110" t="s">
        <v>96</v>
      </c>
      <c r="R808" s="121">
        <v>0.36899999999999999</v>
      </c>
      <c r="S808" s="113" t="e">
        <f t="shared" si="24"/>
        <v>#VALUE!</v>
      </c>
      <c r="T808" s="113">
        <f t="shared" si="25"/>
        <v>0</v>
      </c>
    </row>
    <row r="809" spans="1:20" s="109" customFormat="1" x14ac:dyDescent="0.2">
      <c r="A809" s="116"/>
      <c r="B809" s="111"/>
      <c r="C809" s="110" t="s">
        <v>3384</v>
      </c>
      <c r="D809" s="110" t="s">
        <v>3385</v>
      </c>
      <c r="E809" s="112" t="s">
        <v>3386</v>
      </c>
      <c r="F809" s="111" t="s">
        <v>126</v>
      </c>
      <c r="G809" s="133">
        <v>495</v>
      </c>
      <c r="H809" s="124"/>
      <c r="I809" s="133" t="str">
        <f>IF(H809&gt;0,(#REF!*H809),"-")</f>
        <v>-</v>
      </c>
      <c r="J809" s="113">
        <v>4520</v>
      </c>
      <c r="K809" s="110" t="s">
        <v>389</v>
      </c>
      <c r="L809" s="110" t="s">
        <v>502</v>
      </c>
      <c r="M809" s="110" t="s">
        <v>129</v>
      </c>
      <c r="N809" s="110" t="s">
        <v>130</v>
      </c>
      <c r="O809" s="110" t="s">
        <v>3387</v>
      </c>
      <c r="P809" s="110" t="s">
        <v>137</v>
      </c>
      <c r="Q809" s="110" t="s">
        <v>96</v>
      </c>
      <c r="R809" s="121">
        <v>0.49199999999999999</v>
      </c>
      <c r="S809" s="113" t="e">
        <f t="shared" si="24"/>
        <v>#VALUE!</v>
      </c>
      <c r="T809" s="113">
        <f t="shared" si="25"/>
        <v>0</v>
      </c>
    </row>
    <row r="810" spans="1:20" s="109" customFormat="1" x14ac:dyDescent="0.2">
      <c r="A810" s="116"/>
      <c r="B810" s="111" t="s">
        <v>202</v>
      </c>
      <c r="C810" s="110" t="s">
        <v>3388</v>
      </c>
      <c r="D810" s="110" t="s">
        <v>3389</v>
      </c>
      <c r="E810" s="112" t="s">
        <v>3390</v>
      </c>
      <c r="F810" s="111" t="s">
        <v>130</v>
      </c>
      <c r="G810" s="133">
        <v>215</v>
      </c>
      <c r="H810" s="124"/>
      <c r="I810" s="133" t="str">
        <f>IF(H810&gt;0,(#REF!*H810),"-")</f>
        <v>-</v>
      </c>
      <c r="J810" s="113">
        <v>1522</v>
      </c>
      <c r="K810" s="110" t="s">
        <v>389</v>
      </c>
      <c r="L810" s="110" t="s">
        <v>502</v>
      </c>
      <c r="M810" s="110" t="s">
        <v>129</v>
      </c>
      <c r="N810" s="110" t="s">
        <v>130</v>
      </c>
      <c r="O810" s="110" t="s">
        <v>3391</v>
      </c>
      <c r="P810" s="110" t="s">
        <v>137</v>
      </c>
      <c r="Q810" s="110" t="s">
        <v>96</v>
      </c>
      <c r="R810" s="121">
        <v>0.184</v>
      </c>
      <c r="S810" s="113" t="e">
        <f t="shared" si="24"/>
        <v>#VALUE!</v>
      </c>
      <c r="T810" s="113">
        <f t="shared" si="25"/>
        <v>0</v>
      </c>
    </row>
    <row r="811" spans="1:20" s="109" customFormat="1" x14ac:dyDescent="0.2">
      <c r="A811" s="116"/>
      <c r="B811" s="111" t="s">
        <v>207</v>
      </c>
      <c r="C811" s="110" t="s">
        <v>3392</v>
      </c>
      <c r="D811" s="110" t="s">
        <v>3393</v>
      </c>
      <c r="E811" s="112" t="s">
        <v>3394</v>
      </c>
      <c r="F811" s="111" t="s">
        <v>130</v>
      </c>
      <c r="G811" s="133">
        <v>155</v>
      </c>
      <c r="H811" s="124"/>
      <c r="I811" s="133" t="str">
        <f>IF(H811&gt;0,(#REF!*H811),"-")</f>
        <v>-</v>
      </c>
      <c r="J811" s="113">
        <v>1046</v>
      </c>
      <c r="K811" s="110" t="s">
        <v>389</v>
      </c>
      <c r="L811" s="110" t="s">
        <v>502</v>
      </c>
      <c r="M811" s="110" t="s">
        <v>129</v>
      </c>
      <c r="N811" s="110" t="s">
        <v>130</v>
      </c>
      <c r="O811" s="110" t="s">
        <v>3395</v>
      </c>
      <c r="P811" s="110" t="s">
        <v>137</v>
      </c>
      <c r="Q811" s="110" t="s">
        <v>96</v>
      </c>
      <c r="R811" s="121">
        <v>0.1416</v>
      </c>
      <c r="S811" s="113" t="e">
        <f t="shared" si="24"/>
        <v>#VALUE!</v>
      </c>
      <c r="T811" s="113">
        <f t="shared" si="25"/>
        <v>0</v>
      </c>
    </row>
    <row r="812" spans="1:20" s="109" customFormat="1" x14ac:dyDescent="0.2">
      <c r="A812" s="116"/>
      <c r="B812" s="111"/>
      <c r="C812" s="110" t="s">
        <v>3396</v>
      </c>
      <c r="D812" s="110" t="s">
        <v>3397</v>
      </c>
      <c r="E812" s="112" t="s">
        <v>3398</v>
      </c>
      <c r="F812" s="111" t="s">
        <v>126</v>
      </c>
      <c r="G812" s="133">
        <v>215</v>
      </c>
      <c r="H812" s="124"/>
      <c r="I812" s="133" t="str">
        <f>IF(H812&gt;0,(#REF!*H812),"-")</f>
        <v>-</v>
      </c>
      <c r="J812" s="113">
        <v>1046</v>
      </c>
      <c r="K812" s="110" t="s">
        <v>389</v>
      </c>
      <c r="L812" s="110" t="s">
        <v>502</v>
      </c>
      <c r="M812" s="110" t="s">
        <v>129</v>
      </c>
      <c r="N812" s="110" t="s">
        <v>130</v>
      </c>
      <c r="O812" s="110" t="s">
        <v>3399</v>
      </c>
      <c r="P812" s="110" t="s">
        <v>137</v>
      </c>
      <c r="Q812" s="110" t="s">
        <v>96</v>
      </c>
      <c r="R812" s="121">
        <v>0.1205</v>
      </c>
      <c r="S812" s="113" t="e">
        <f t="shared" si="24"/>
        <v>#VALUE!</v>
      </c>
      <c r="T812" s="113">
        <f t="shared" si="25"/>
        <v>0</v>
      </c>
    </row>
    <row r="813" spans="1:20" s="109" customFormat="1" x14ac:dyDescent="0.2">
      <c r="A813" s="116"/>
      <c r="B813" s="111" t="s">
        <v>207</v>
      </c>
      <c r="C813" s="110" t="s">
        <v>3400</v>
      </c>
      <c r="D813" s="110" t="s">
        <v>3401</v>
      </c>
      <c r="E813" s="112" t="s">
        <v>3402</v>
      </c>
      <c r="F813" s="111" t="s">
        <v>130</v>
      </c>
      <c r="G813" s="133">
        <v>185</v>
      </c>
      <c r="H813" s="124"/>
      <c r="I813" s="133" t="str">
        <f>IF(H813&gt;0,(#REF!*H813),"-")</f>
        <v>-</v>
      </c>
      <c r="J813" s="113">
        <v>4599</v>
      </c>
      <c r="K813" s="110" t="s">
        <v>389</v>
      </c>
      <c r="L813" s="110" t="s">
        <v>502</v>
      </c>
      <c r="M813" s="110" t="s">
        <v>129</v>
      </c>
      <c r="N813" s="110" t="s">
        <v>130</v>
      </c>
      <c r="O813" s="110" t="s">
        <v>3403</v>
      </c>
      <c r="P813" s="110" t="s">
        <v>137</v>
      </c>
      <c r="Q813" s="110" t="s">
        <v>97</v>
      </c>
      <c r="R813" s="121">
        <v>0.53700000000000003</v>
      </c>
      <c r="S813" s="113" t="e">
        <f t="shared" si="24"/>
        <v>#VALUE!</v>
      </c>
      <c r="T813" s="113">
        <f t="shared" si="25"/>
        <v>0</v>
      </c>
    </row>
    <row r="814" spans="1:20" s="109" customFormat="1" x14ac:dyDescent="0.2">
      <c r="A814" s="116"/>
      <c r="B814" s="111"/>
      <c r="C814" s="110" t="s">
        <v>3404</v>
      </c>
      <c r="D814" s="110" t="s">
        <v>3405</v>
      </c>
      <c r="E814" s="112" t="s">
        <v>3406</v>
      </c>
      <c r="F814" s="111" t="s">
        <v>126</v>
      </c>
      <c r="G814" s="133">
        <v>140</v>
      </c>
      <c r="H814" s="124"/>
      <c r="I814" s="133" t="str">
        <f>IF(H814&gt;0,(#REF!*H814),"-")</f>
        <v>-</v>
      </c>
      <c r="J814" s="113">
        <v>1928</v>
      </c>
      <c r="K814" s="110" t="s">
        <v>389</v>
      </c>
      <c r="L814" s="110" t="s">
        <v>502</v>
      </c>
      <c r="M814" s="110" t="s">
        <v>129</v>
      </c>
      <c r="N814" s="110" t="s">
        <v>130</v>
      </c>
      <c r="O814" s="110" t="s">
        <v>3407</v>
      </c>
      <c r="P814" s="110" t="s">
        <v>137</v>
      </c>
      <c r="Q814" s="110" t="s">
        <v>97</v>
      </c>
      <c r="R814" s="121">
        <v>0.219</v>
      </c>
      <c r="S814" s="113" t="e">
        <f t="shared" si="24"/>
        <v>#VALUE!</v>
      </c>
      <c r="T814" s="113">
        <f t="shared" si="25"/>
        <v>0</v>
      </c>
    </row>
    <row r="815" spans="1:20" s="109" customFormat="1" x14ac:dyDescent="0.2">
      <c r="A815" s="116"/>
      <c r="B815" s="111" t="s">
        <v>202</v>
      </c>
      <c r="C815" s="110" t="s">
        <v>3408</v>
      </c>
      <c r="D815" s="110" t="s">
        <v>3409</v>
      </c>
      <c r="E815" s="112" t="s">
        <v>3410</v>
      </c>
      <c r="F815" s="111" t="s">
        <v>130</v>
      </c>
      <c r="G815" s="133">
        <v>370</v>
      </c>
      <c r="H815" s="124"/>
      <c r="I815" s="133" t="str">
        <f>IF(H815&gt;0,(#REF!*H815),"-")</f>
        <v>-</v>
      </c>
      <c r="J815" s="113">
        <v>3533</v>
      </c>
      <c r="K815" s="110" t="s">
        <v>389</v>
      </c>
      <c r="L815" s="110" t="s">
        <v>667</v>
      </c>
      <c r="M815" s="110" t="s">
        <v>129</v>
      </c>
      <c r="N815" s="110" t="s">
        <v>130</v>
      </c>
      <c r="O815" s="110" t="s">
        <v>3411</v>
      </c>
      <c r="P815" s="110" t="s">
        <v>137</v>
      </c>
      <c r="Q815" s="110" t="s">
        <v>96</v>
      </c>
      <c r="R815" s="121">
        <v>0.4</v>
      </c>
      <c r="S815" s="113" t="e">
        <f t="shared" si="24"/>
        <v>#VALUE!</v>
      </c>
      <c r="T815" s="113">
        <f t="shared" si="25"/>
        <v>0</v>
      </c>
    </row>
    <row r="816" spans="1:20" s="109" customFormat="1" x14ac:dyDescent="0.2">
      <c r="A816" s="116"/>
      <c r="B816" s="111" t="s">
        <v>202</v>
      </c>
      <c r="C816" s="110" t="s">
        <v>3412</v>
      </c>
      <c r="D816" s="110" t="s">
        <v>3413</v>
      </c>
      <c r="E816" s="112" t="s">
        <v>3414</v>
      </c>
      <c r="F816" s="111" t="s">
        <v>130</v>
      </c>
      <c r="G816" s="133">
        <v>370</v>
      </c>
      <c r="H816" s="124"/>
      <c r="I816" s="133" t="str">
        <f>IF(H816&gt;0,(#REF!*H816),"-")</f>
        <v>-</v>
      </c>
      <c r="J816" s="113">
        <v>4050</v>
      </c>
      <c r="K816" s="110" t="s">
        <v>389</v>
      </c>
      <c r="L816" s="110" t="s">
        <v>667</v>
      </c>
      <c r="M816" s="110" t="s">
        <v>129</v>
      </c>
      <c r="N816" s="110" t="s">
        <v>130</v>
      </c>
      <c r="O816" s="110" t="s">
        <v>3415</v>
      </c>
      <c r="P816" s="110" t="s">
        <v>137</v>
      </c>
      <c r="Q816" s="110" t="s">
        <v>96</v>
      </c>
      <c r="R816" s="121">
        <v>0.53</v>
      </c>
      <c r="S816" s="113" t="e">
        <f t="shared" si="24"/>
        <v>#VALUE!</v>
      </c>
      <c r="T816" s="113">
        <f t="shared" si="25"/>
        <v>0</v>
      </c>
    </row>
    <row r="817" spans="1:20" s="109" customFormat="1" x14ac:dyDescent="0.2">
      <c r="A817" s="116"/>
      <c r="B817" s="111" t="s">
        <v>202</v>
      </c>
      <c r="C817" s="110" t="s">
        <v>3416</v>
      </c>
      <c r="D817" s="110" t="s">
        <v>3417</v>
      </c>
      <c r="E817" s="112" t="s">
        <v>3418</v>
      </c>
      <c r="F817" s="111" t="s">
        <v>130</v>
      </c>
      <c r="G817" s="133">
        <v>370</v>
      </c>
      <c r="H817" s="124"/>
      <c r="I817" s="133" t="str">
        <f>IF(H817&gt;0,(#REF!*H817),"-")</f>
        <v>-</v>
      </c>
      <c r="J817" s="113">
        <v>3375</v>
      </c>
      <c r="K817" s="110" t="s">
        <v>389</v>
      </c>
      <c r="L817" s="110" t="s">
        <v>667</v>
      </c>
      <c r="M817" s="110" t="s">
        <v>129</v>
      </c>
      <c r="N817" s="110" t="s">
        <v>130</v>
      </c>
      <c r="O817" s="110" t="s">
        <v>3419</v>
      </c>
      <c r="P817" s="110" t="s">
        <v>137</v>
      </c>
      <c r="Q817" s="110" t="s">
        <v>96</v>
      </c>
      <c r="R817" s="121">
        <v>0.51600000000000001</v>
      </c>
      <c r="S817" s="113" t="e">
        <f t="shared" si="24"/>
        <v>#VALUE!</v>
      </c>
      <c r="T817" s="113">
        <f t="shared" si="25"/>
        <v>0</v>
      </c>
    </row>
    <row r="818" spans="1:20" s="109" customFormat="1" x14ac:dyDescent="0.2">
      <c r="A818" s="116"/>
      <c r="B818" s="111"/>
      <c r="C818" s="110" t="s">
        <v>3420</v>
      </c>
      <c r="D818" s="110" t="s">
        <v>3421</v>
      </c>
      <c r="E818" s="112" t="s">
        <v>3422</v>
      </c>
      <c r="F818" s="111" t="s">
        <v>126</v>
      </c>
      <c r="G818" s="133">
        <v>155</v>
      </c>
      <c r="H818" s="124"/>
      <c r="I818" s="133" t="str">
        <f>IF(H818&gt;0,(#REF!*H818),"-")</f>
        <v>-</v>
      </c>
      <c r="J818" s="113">
        <v>747</v>
      </c>
      <c r="K818" s="110" t="s">
        <v>389</v>
      </c>
      <c r="L818" s="110" t="s">
        <v>667</v>
      </c>
      <c r="M818" s="110" t="s">
        <v>129</v>
      </c>
      <c r="N818" s="110" t="s">
        <v>130</v>
      </c>
      <c r="O818" s="110" t="s">
        <v>3423</v>
      </c>
      <c r="P818" s="110" t="s">
        <v>132</v>
      </c>
      <c r="Q818" s="110" t="s">
        <v>97</v>
      </c>
      <c r="R818" s="121">
        <v>0.57999999999999996</v>
      </c>
      <c r="S818" s="113" t="e">
        <f t="shared" si="24"/>
        <v>#VALUE!</v>
      </c>
      <c r="T818" s="113">
        <f t="shared" si="25"/>
        <v>0</v>
      </c>
    </row>
    <row r="819" spans="1:20" s="109" customFormat="1" x14ac:dyDescent="0.2">
      <c r="A819" s="116"/>
      <c r="B819" s="111"/>
      <c r="C819" s="110" t="s">
        <v>3424</v>
      </c>
      <c r="D819" s="110" t="s">
        <v>3425</v>
      </c>
      <c r="E819" s="112" t="s">
        <v>3426</v>
      </c>
      <c r="F819" s="111" t="s">
        <v>126</v>
      </c>
      <c r="G819" s="133">
        <v>155</v>
      </c>
      <c r="H819" s="124"/>
      <c r="I819" s="133" t="str">
        <f>IF(H819&gt;0,(#REF!*H819),"-")</f>
        <v>-</v>
      </c>
      <c r="J819" s="113">
        <v>765</v>
      </c>
      <c r="K819" s="110" t="s">
        <v>389</v>
      </c>
      <c r="L819" s="110" t="s">
        <v>667</v>
      </c>
      <c r="M819" s="110" t="s">
        <v>129</v>
      </c>
      <c r="N819" s="110" t="s">
        <v>130</v>
      </c>
      <c r="O819" s="110" t="s">
        <v>3427</v>
      </c>
      <c r="P819" s="110" t="s">
        <v>132</v>
      </c>
      <c r="Q819" s="110" t="s">
        <v>97</v>
      </c>
      <c r="R819" s="121">
        <v>0.64500000000000002</v>
      </c>
      <c r="S819" s="113" t="e">
        <f t="shared" si="24"/>
        <v>#VALUE!</v>
      </c>
      <c r="T819" s="113">
        <f t="shared" si="25"/>
        <v>0</v>
      </c>
    </row>
    <row r="820" spans="1:20" s="109" customFormat="1" x14ac:dyDescent="0.2">
      <c r="A820" s="116"/>
      <c r="B820" s="111" t="s">
        <v>202</v>
      </c>
      <c r="C820" s="110" t="s">
        <v>3428</v>
      </c>
      <c r="D820" s="110" t="s">
        <v>3429</v>
      </c>
      <c r="E820" s="112" t="s">
        <v>3430</v>
      </c>
      <c r="F820" s="111" t="s">
        <v>130</v>
      </c>
      <c r="G820" s="133">
        <v>170</v>
      </c>
      <c r="H820" s="124"/>
      <c r="I820" s="133" t="str">
        <f>IF(H820&gt;0,(#REF!*H820),"-")</f>
        <v>-</v>
      </c>
      <c r="J820" s="113">
        <v>1046</v>
      </c>
      <c r="K820" s="110" t="s">
        <v>389</v>
      </c>
      <c r="L820" s="110" t="s">
        <v>667</v>
      </c>
      <c r="M820" s="110" t="s">
        <v>129</v>
      </c>
      <c r="N820" s="110" t="s">
        <v>130</v>
      </c>
      <c r="O820" s="110" t="s">
        <v>3431</v>
      </c>
      <c r="P820" s="110" t="s">
        <v>137</v>
      </c>
      <c r="Q820" s="110" t="s">
        <v>96</v>
      </c>
      <c r="R820" s="121">
        <v>0.11799999999999999</v>
      </c>
      <c r="S820" s="113" t="e">
        <f t="shared" si="24"/>
        <v>#VALUE!</v>
      </c>
      <c r="T820" s="113">
        <f t="shared" si="25"/>
        <v>0</v>
      </c>
    </row>
    <row r="821" spans="1:20" s="109" customFormat="1" x14ac:dyDescent="0.2">
      <c r="A821" s="116"/>
      <c r="B821" s="111"/>
      <c r="C821" s="110" t="s">
        <v>3432</v>
      </c>
      <c r="D821" s="110" t="s">
        <v>3433</v>
      </c>
      <c r="E821" s="112" t="s">
        <v>3434</v>
      </c>
      <c r="F821" s="111" t="s">
        <v>126</v>
      </c>
      <c r="G821" s="133">
        <v>215</v>
      </c>
      <c r="H821" s="124"/>
      <c r="I821" s="133" t="str">
        <f>IF(H821&gt;0,(#REF!*H821),"-")</f>
        <v>-</v>
      </c>
      <c r="J821" s="113">
        <v>1522</v>
      </c>
      <c r="K821" s="110" t="s">
        <v>389</v>
      </c>
      <c r="L821" s="110" t="s">
        <v>667</v>
      </c>
      <c r="M821" s="110" t="s">
        <v>129</v>
      </c>
      <c r="N821" s="110" t="s">
        <v>130</v>
      </c>
      <c r="O821" s="110" t="s">
        <v>3435</v>
      </c>
      <c r="P821" s="110" t="s">
        <v>137</v>
      </c>
      <c r="Q821" s="110" t="s">
        <v>96</v>
      </c>
      <c r="R821" s="121">
        <v>0.17699999999999999</v>
      </c>
      <c r="S821" s="113" t="e">
        <f t="shared" si="24"/>
        <v>#VALUE!</v>
      </c>
      <c r="T821" s="113">
        <f t="shared" si="25"/>
        <v>0</v>
      </c>
    </row>
    <row r="822" spans="1:20" s="109" customFormat="1" x14ac:dyDescent="0.2">
      <c r="A822" s="116"/>
      <c r="B822" s="111"/>
      <c r="C822" s="110" t="s">
        <v>3436</v>
      </c>
      <c r="D822" s="110" t="s">
        <v>3437</v>
      </c>
      <c r="E822" s="112" t="s">
        <v>3438</v>
      </c>
      <c r="F822" s="111" t="s">
        <v>126</v>
      </c>
      <c r="G822" s="133">
        <v>125</v>
      </c>
      <c r="H822" s="124"/>
      <c r="I822" s="133" t="str">
        <f>IF(H822&gt;0,(#REF!*H822),"-")</f>
        <v>-</v>
      </c>
      <c r="J822" s="113">
        <v>1556</v>
      </c>
      <c r="K822" s="110" t="s">
        <v>389</v>
      </c>
      <c r="L822" s="110" t="s">
        <v>667</v>
      </c>
      <c r="M822" s="110" t="s">
        <v>129</v>
      </c>
      <c r="N822" s="110" t="s">
        <v>130</v>
      </c>
      <c r="O822" s="110" t="s">
        <v>3439</v>
      </c>
      <c r="P822" s="110" t="s">
        <v>137</v>
      </c>
      <c r="Q822" s="110" t="s">
        <v>97</v>
      </c>
      <c r="R822" s="121">
        <v>0.22500000000000001</v>
      </c>
      <c r="S822" s="113" t="e">
        <f t="shared" si="24"/>
        <v>#VALUE!</v>
      </c>
      <c r="T822" s="113">
        <f t="shared" si="25"/>
        <v>0</v>
      </c>
    </row>
    <row r="823" spans="1:20" s="109" customFormat="1" x14ac:dyDescent="0.2">
      <c r="A823" s="116"/>
      <c r="B823" s="111"/>
      <c r="C823" s="110" t="s">
        <v>3440</v>
      </c>
      <c r="D823" s="110" t="s">
        <v>3441</v>
      </c>
      <c r="E823" s="112" t="s">
        <v>3442</v>
      </c>
      <c r="F823" s="111" t="s">
        <v>126</v>
      </c>
      <c r="G823" s="133">
        <v>155</v>
      </c>
      <c r="H823" s="124"/>
      <c r="I823" s="133" t="str">
        <f>IF(H823&gt;0,(#REF!*H823),"-")</f>
        <v>-</v>
      </c>
      <c r="J823" s="113">
        <v>756</v>
      </c>
      <c r="K823" s="110" t="s">
        <v>389</v>
      </c>
      <c r="L823" s="110" t="s">
        <v>667</v>
      </c>
      <c r="M823" s="110" t="s">
        <v>129</v>
      </c>
      <c r="N823" s="110" t="s">
        <v>130</v>
      </c>
      <c r="O823" s="110" t="s">
        <v>3443</v>
      </c>
      <c r="P823" s="110" t="s">
        <v>137</v>
      </c>
      <c r="Q823" s="110" t="s">
        <v>96</v>
      </c>
      <c r="R823" s="121">
        <v>8.4000000000000005E-2</v>
      </c>
      <c r="S823" s="113" t="e">
        <f t="shared" si="24"/>
        <v>#VALUE!</v>
      </c>
      <c r="T823" s="113">
        <f t="shared" si="25"/>
        <v>0</v>
      </c>
    </row>
    <row r="824" spans="1:20" s="109" customFormat="1" x14ac:dyDescent="0.2">
      <c r="A824" s="116"/>
      <c r="B824" s="111" t="s">
        <v>289</v>
      </c>
      <c r="C824" s="110" t="s">
        <v>3444</v>
      </c>
      <c r="D824" s="110" t="s">
        <v>3445</v>
      </c>
      <c r="E824" s="112" t="s">
        <v>3446</v>
      </c>
      <c r="F824" s="111" t="s">
        <v>130</v>
      </c>
      <c r="G824" s="133">
        <v>185</v>
      </c>
      <c r="H824" s="124"/>
      <c r="I824" s="133" t="str">
        <f>IF(H824&gt;0,(#REF!*H824),"-")</f>
        <v>-</v>
      </c>
      <c r="J824" s="113">
        <v>1046</v>
      </c>
      <c r="K824" s="110" t="s">
        <v>389</v>
      </c>
      <c r="L824" s="110" t="s">
        <v>667</v>
      </c>
      <c r="M824" s="110" t="s">
        <v>129</v>
      </c>
      <c r="N824" s="110" t="s">
        <v>130</v>
      </c>
      <c r="O824" s="110" t="s">
        <v>3447</v>
      </c>
      <c r="P824" s="110" t="s">
        <v>137</v>
      </c>
      <c r="Q824" s="110" t="s">
        <v>96</v>
      </c>
      <c r="R824" s="121">
        <v>0.14000000000000001</v>
      </c>
      <c r="S824" s="113" t="e">
        <f t="shared" si="24"/>
        <v>#VALUE!</v>
      </c>
      <c r="T824" s="113">
        <f t="shared" si="25"/>
        <v>0</v>
      </c>
    </row>
    <row r="825" spans="1:20" s="109" customFormat="1" x14ac:dyDescent="0.2">
      <c r="A825" s="116"/>
      <c r="B825" s="111"/>
      <c r="C825" s="110" t="s">
        <v>3448</v>
      </c>
      <c r="D825" s="110" t="s">
        <v>3449</v>
      </c>
      <c r="E825" s="112" t="s">
        <v>3450</v>
      </c>
      <c r="F825" s="111" t="s">
        <v>126</v>
      </c>
      <c r="G825" s="133">
        <v>155</v>
      </c>
      <c r="H825" s="124"/>
      <c r="I825" s="133" t="str">
        <f>IF(H825&gt;0,(#REF!*H825),"-")</f>
        <v>-</v>
      </c>
      <c r="J825" s="113">
        <v>1046</v>
      </c>
      <c r="K825" s="110" t="s">
        <v>389</v>
      </c>
      <c r="L825" s="110" t="s">
        <v>667</v>
      </c>
      <c r="M825" s="110" t="s">
        <v>129</v>
      </c>
      <c r="N825" s="110" t="s">
        <v>130</v>
      </c>
      <c r="O825" s="110" t="s">
        <v>3451</v>
      </c>
      <c r="P825" s="110" t="s">
        <v>137</v>
      </c>
      <c r="Q825" s="110" t="s">
        <v>96</v>
      </c>
      <c r="R825" s="121">
        <v>0.151</v>
      </c>
      <c r="S825" s="113" t="e">
        <f t="shared" si="24"/>
        <v>#VALUE!</v>
      </c>
      <c r="T825" s="113">
        <f t="shared" si="25"/>
        <v>0</v>
      </c>
    </row>
    <row r="826" spans="1:20" s="109" customFormat="1" x14ac:dyDescent="0.2">
      <c r="A826" s="116"/>
      <c r="B826" s="111"/>
      <c r="C826" s="110" t="s">
        <v>3452</v>
      </c>
      <c r="D826" s="110" t="s">
        <v>3453</v>
      </c>
      <c r="E826" s="112" t="s">
        <v>3454</v>
      </c>
      <c r="F826" s="111" t="s">
        <v>126</v>
      </c>
      <c r="G826" s="133">
        <v>155</v>
      </c>
      <c r="H826" s="124"/>
      <c r="I826" s="133" t="str">
        <f>IF(H826&gt;0,(#REF!*H826),"-")</f>
        <v>-</v>
      </c>
      <c r="J826" s="113">
        <v>1046</v>
      </c>
      <c r="K826" s="110" t="s">
        <v>389</v>
      </c>
      <c r="L826" s="110" t="s">
        <v>667</v>
      </c>
      <c r="M826" s="110" t="s">
        <v>129</v>
      </c>
      <c r="N826" s="110" t="s">
        <v>130</v>
      </c>
      <c r="O826" s="110" t="s">
        <v>3455</v>
      </c>
      <c r="P826" s="110" t="s">
        <v>137</v>
      </c>
      <c r="Q826" s="110" t="s">
        <v>96</v>
      </c>
      <c r="R826" s="121">
        <v>0.13589999999999999</v>
      </c>
      <c r="S826" s="113" t="e">
        <f t="shared" si="24"/>
        <v>#VALUE!</v>
      </c>
      <c r="T826" s="113">
        <f t="shared" si="25"/>
        <v>0</v>
      </c>
    </row>
    <row r="827" spans="1:20" s="109" customFormat="1" x14ac:dyDescent="0.2">
      <c r="A827" s="116"/>
      <c r="B827" s="111"/>
      <c r="C827" s="110" t="s">
        <v>3456</v>
      </c>
      <c r="D827" s="110" t="s">
        <v>3457</v>
      </c>
      <c r="E827" s="112" t="s">
        <v>3458</v>
      </c>
      <c r="F827" s="111" t="s">
        <v>126</v>
      </c>
      <c r="G827" s="133">
        <v>310</v>
      </c>
      <c r="H827" s="124"/>
      <c r="I827" s="133" t="str">
        <f>IF(H827&gt;0,(#REF!*H827),"-")</f>
        <v>-</v>
      </c>
      <c r="J827" s="113">
        <v>4050</v>
      </c>
      <c r="K827" s="110" t="s">
        <v>389</v>
      </c>
      <c r="L827" s="110" t="s">
        <v>667</v>
      </c>
      <c r="M827" s="110" t="s">
        <v>129</v>
      </c>
      <c r="N827" s="110" t="s">
        <v>130</v>
      </c>
      <c r="O827" s="110" t="s">
        <v>3459</v>
      </c>
      <c r="P827" s="110" t="s">
        <v>137</v>
      </c>
      <c r="Q827" s="110" t="s">
        <v>96</v>
      </c>
      <c r="R827" s="121">
        <v>0.41099999999999998</v>
      </c>
      <c r="S827" s="113" t="e">
        <f t="shared" si="24"/>
        <v>#VALUE!</v>
      </c>
      <c r="T827" s="113">
        <f t="shared" si="25"/>
        <v>0</v>
      </c>
    </row>
    <row r="828" spans="1:20" s="109" customFormat="1" x14ac:dyDescent="0.2">
      <c r="A828" s="116"/>
      <c r="B828" s="111"/>
      <c r="C828" s="110" t="s">
        <v>3460</v>
      </c>
      <c r="D828" s="110" t="s">
        <v>3461</v>
      </c>
      <c r="E828" s="112" t="s">
        <v>3462</v>
      </c>
      <c r="F828" s="111" t="s">
        <v>126</v>
      </c>
      <c r="G828" s="133">
        <v>435</v>
      </c>
      <c r="H828" s="124"/>
      <c r="I828" s="133" t="str">
        <f>IF(H828&gt;0,(#REF!*H828),"-")</f>
        <v>-</v>
      </c>
      <c r="J828" s="113">
        <v>6490</v>
      </c>
      <c r="K828" s="110" t="s">
        <v>389</v>
      </c>
      <c r="L828" s="110" t="s">
        <v>667</v>
      </c>
      <c r="M828" s="110" t="s">
        <v>129</v>
      </c>
      <c r="N828" s="110" t="s">
        <v>130</v>
      </c>
      <c r="O828" s="110" t="s">
        <v>3463</v>
      </c>
      <c r="P828" s="110" t="s">
        <v>137</v>
      </c>
      <c r="Q828" s="110" t="s">
        <v>96</v>
      </c>
      <c r="R828" s="121">
        <v>0.58799999999999997</v>
      </c>
      <c r="S828" s="113" t="e">
        <f t="shared" si="24"/>
        <v>#VALUE!</v>
      </c>
      <c r="T828" s="113">
        <f t="shared" si="25"/>
        <v>0</v>
      </c>
    </row>
    <row r="829" spans="1:20" s="109" customFormat="1" x14ac:dyDescent="0.2">
      <c r="A829" s="116"/>
      <c r="B829" s="111"/>
      <c r="C829" s="110" t="s">
        <v>3464</v>
      </c>
      <c r="D829" s="110" t="s">
        <v>3465</v>
      </c>
      <c r="E829" s="112" t="s">
        <v>3466</v>
      </c>
      <c r="F829" s="111" t="s">
        <v>126</v>
      </c>
      <c r="G829" s="133">
        <v>340</v>
      </c>
      <c r="H829" s="124"/>
      <c r="I829" s="133" t="str">
        <f>IF(H829&gt;0,(#REF!*H829),"-")</f>
        <v>-</v>
      </c>
      <c r="J829" s="113">
        <v>5063</v>
      </c>
      <c r="K829" s="110" t="s">
        <v>389</v>
      </c>
      <c r="L829" s="110" t="s">
        <v>511</v>
      </c>
      <c r="M829" s="110" t="s">
        <v>129</v>
      </c>
      <c r="N829" s="110" t="s">
        <v>130</v>
      </c>
      <c r="O829" s="110" t="s">
        <v>3467</v>
      </c>
      <c r="P829" s="110" t="s">
        <v>137</v>
      </c>
      <c r="Q829" s="110" t="s">
        <v>96</v>
      </c>
      <c r="R829" s="121">
        <v>0.74829999999999997</v>
      </c>
      <c r="S829" s="113" t="e">
        <f t="shared" si="24"/>
        <v>#VALUE!</v>
      </c>
      <c r="T829" s="113">
        <f t="shared" si="25"/>
        <v>0</v>
      </c>
    </row>
    <row r="830" spans="1:20" s="109" customFormat="1" x14ac:dyDescent="0.2">
      <c r="A830" s="116"/>
      <c r="B830" s="111"/>
      <c r="C830" s="110" t="s">
        <v>3468</v>
      </c>
      <c r="D830" s="110" t="s">
        <v>3469</v>
      </c>
      <c r="E830" s="112" t="s">
        <v>3470</v>
      </c>
      <c r="F830" s="111" t="s">
        <v>126</v>
      </c>
      <c r="G830" s="133">
        <v>730</v>
      </c>
      <c r="H830" s="124"/>
      <c r="I830" s="133" t="str">
        <f>IF(H830&gt;0,(#REF!*H830),"-")</f>
        <v>-</v>
      </c>
      <c r="J830" s="113">
        <v>11511</v>
      </c>
      <c r="K830" s="110" t="s">
        <v>389</v>
      </c>
      <c r="L830" s="110" t="s">
        <v>511</v>
      </c>
      <c r="M830" s="110" t="s">
        <v>129</v>
      </c>
      <c r="N830" s="110" t="s">
        <v>130</v>
      </c>
      <c r="O830" s="110" t="s">
        <v>3471</v>
      </c>
      <c r="P830" s="110" t="s">
        <v>137</v>
      </c>
      <c r="Q830" s="110" t="s">
        <v>96</v>
      </c>
      <c r="R830" s="121">
        <v>1.2615000000000001</v>
      </c>
      <c r="S830" s="113" t="e">
        <f t="shared" si="24"/>
        <v>#VALUE!</v>
      </c>
      <c r="T830" s="113">
        <f t="shared" si="25"/>
        <v>0</v>
      </c>
    </row>
    <row r="831" spans="1:20" s="109" customFormat="1" x14ac:dyDescent="0.2">
      <c r="A831" s="116"/>
      <c r="B831" s="111" t="s">
        <v>202</v>
      </c>
      <c r="C831" s="110" t="s">
        <v>3472</v>
      </c>
      <c r="D831" s="110" t="s">
        <v>3473</v>
      </c>
      <c r="E831" s="112" t="s">
        <v>3474</v>
      </c>
      <c r="F831" s="111" t="s">
        <v>130</v>
      </c>
      <c r="G831" s="133">
        <v>140</v>
      </c>
      <c r="H831" s="124"/>
      <c r="I831" s="133" t="str">
        <f>IF(H831&gt;0,(#REF!*H831),"-")</f>
        <v>-</v>
      </c>
      <c r="J831" s="113">
        <v>1046</v>
      </c>
      <c r="K831" s="110" t="s">
        <v>389</v>
      </c>
      <c r="L831" s="110" t="s">
        <v>511</v>
      </c>
      <c r="M831" s="110" t="s">
        <v>129</v>
      </c>
      <c r="N831" s="110" t="s">
        <v>130</v>
      </c>
      <c r="O831" s="110" t="s">
        <v>3475</v>
      </c>
      <c r="P831" s="110" t="s">
        <v>137</v>
      </c>
      <c r="Q831" s="110" t="s">
        <v>96</v>
      </c>
      <c r="R831" s="121">
        <v>0.13100000000000001</v>
      </c>
      <c r="S831" s="113" t="e">
        <f t="shared" si="24"/>
        <v>#VALUE!</v>
      </c>
      <c r="T831" s="113">
        <f t="shared" si="25"/>
        <v>0</v>
      </c>
    </row>
    <row r="832" spans="1:20" s="109" customFormat="1" x14ac:dyDescent="0.2">
      <c r="A832" s="116"/>
      <c r="B832" s="111"/>
      <c r="C832" s="110" t="s">
        <v>3476</v>
      </c>
      <c r="D832" s="110" t="s">
        <v>3477</v>
      </c>
      <c r="E832" s="112" t="s">
        <v>3478</v>
      </c>
      <c r="F832" s="111" t="s">
        <v>126</v>
      </c>
      <c r="G832" s="133">
        <v>140</v>
      </c>
      <c r="H832" s="124"/>
      <c r="I832" s="133" t="str">
        <f>IF(H832&gt;0,(#REF!*H832),"-")</f>
        <v>-</v>
      </c>
      <c r="J832" s="113">
        <v>2189</v>
      </c>
      <c r="K832" s="110" t="s">
        <v>389</v>
      </c>
      <c r="L832" s="110" t="s">
        <v>511</v>
      </c>
      <c r="M832" s="110" t="s">
        <v>129</v>
      </c>
      <c r="N832" s="110" t="s">
        <v>130</v>
      </c>
      <c r="O832" s="110" t="s">
        <v>3479</v>
      </c>
      <c r="P832" s="110" t="s">
        <v>137</v>
      </c>
      <c r="Q832" s="110" t="s">
        <v>96</v>
      </c>
      <c r="R832" s="121">
        <v>0.28870000000000001</v>
      </c>
      <c r="S832" s="113" t="e">
        <f t="shared" si="24"/>
        <v>#VALUE!</v>
      </c>
      <c r="T832" s="113">
        <f t="shared" si="25"/>
        <v>0</v>
      </c>
    </row>
    <row r="833" spans="1:20" s="109" customFormat="1" x14ac:dyDescent="0.2">
      <c r="A833" s="116"/>
      <c r="B833" s="111" t="s">
        <v>207</v>
      </c>
      <c r="C833" s="110" t="s">
        <v>3480</v>
      </c>
      <c r="D833" s="110" t="s">
        <v>3481</v>
      </c>
      <c r="E833" s="112" t="s">
        <v>3482</v>
      </c>
      <c r="F833" s="111" t="s">
        <v>130</v>
      </c>
      <c r="G833" s="133">
        <v>250</v>
      </c>
      <c r="H833" s="124"/>
      <c r="I833" s="133" t="str">
        <f>IF(H833&gt;0,(#REF!*H833),"-")</f>
        <v>-</v>
      </c>
      <c r="J833" s="113">
        <v>1522</v>
      </c>
      <c r="K833" s="110" t="s">
        <v>389</v>
      </c>
      <c r="L833" s="110" t="s">
        <v>511</v>
      </c>
      <c r="M833" s="110" t="s">
        <v>129</v>
      </c>
      <c r="N833" s="110" t="s">
        <v>130</v>
      </c>
      <c r="O833" s="110" t="s">
        <v>3483</v>
      </c>
      <c r="P833" s="110" t="s">
        <v>137</v>
      </c>
      <c r="Q833" s="110" t="s">
        <v>96</v>
      </c>
      <c r="R833" s="121">
        <v>0.218</v>
      </c>
      <c r="S833" s="113" t="e">
        <f t="shared" si="24"/>
        <v>#VALUE!</v>
      </c>
      <c r="T833" s="113">
        <f t="shared" si="25"/>
        <v>0</v>
      </c>
    </row>
    <row r="834" spans="1:20" s="109" customFormat="1" x14ac:dyDescent="0.2">
      <c r="A834" s="116"/>
      <c r="B834" s="111"/>
      <c r="C834" s="110" t="s">
        <v>3484</v>
      </c>
      <c r="D834" s="110" t="s">
        <v>3485</v>
      </c>
      <c r="E834" s="112" t="s">
        <v>3486</v>
      </c>
      <c r="F834" s="111" t="s">
        <v>126</v>
      </c>
      <c r="G834" s="133">
        <v>370</v>
      </c>
      <c r="H834" s="124"/>
      <c r="I834" s="133" t="str">
        <f>IF(H834&gt;0,(#REF!*H834),"-")</f>
        <v>-</v>
      </c>
      <c r="J834" s="113">
        <v>3375</v>
      </c>
      <c r="K834" s="110" t="s">
        <v>389</v>
      </c>
      <c r="L834" s="110" t="s">
        <v>511</v>
      </c>
      <c r="M834" s="110" t="s">
        <v>129</v>
      </c>
      <c r="N834" s="110" t="s">
        <v>130</v>
      </c>
      <c r="O834" s="110" t="s">
        <v>3487</v>
      </c>
      <c r="P834" s="110" t="s">
        <v>137</v>
      </c>
      <c r="Q834" s="110" t="s">
        <v>96</v>
      </c>
      <c r="R834" s="121">
        <v>0.38300000000000001</v>
      </c>
      <c r="S834" s="113" t="e">
        <f t="shared" ref="S834:S897" si="26">Q834*H834</f>
        <v>#VALUE!</v>
      </c>
      <c r="T834" s="113">
        <f t="shared" ref="T834:T897" si="27">R834*H834</f>
        <v>0</v>
      </c>
    </row>
    <row r="835" spans="1:20" s="109" customFormat="1" x14ac:dyDescent="0.2">
      <c r="A835" s="116"/>
      <c r="B835" s="111"/>
      <c r="C835" s="110" t="s">
        <v>3488</v>
      </c>
      <c r="D835" s="110" t="s">
        <v>3489</v>
      </c>
      <c r="E835" s="112" t="s">
        <v>3490</v>
      </c>
      <c r="F835" s="111" t="s">
        <v>126</v>
      </c>
      <c r="G835" s="133">
        <v>155</v>
      </c>
      <c r="H835" s="124"/>
      <c r="I835" s="133" t="str">
        <f>IF(H835&gt;0,(#REF!*H835),"-")</f>
        <v>-</v>
      </c>
      <c r="J835" s="113">
        <v>895</v>
      </c>
      <c r="K835" s="110" t="s">
        <v>389</v>
      </c>
      <c r="L835" s="110" t="s">
        <v>511</v>
      </c>
      <c r="M835" s="110" t="s">
        <v>129</v>
      </c>
      <c r="N835" s="110" t="s">
        <v>130</v>
      </c>
      <c r="O835" s="110" t="s">
        <v>3491</v>
      </c>
      <c r="P835" s="110" t="s">
        <v>132</v>
      </c>
      <c r="Q835" s="110" t="s">
        <v>97</v>
      </c>
      <c r="R835" s="121">
        <v>0.73799999999999999</v>
      </c>
      <c r="S835" s="113" t="e">
        <f t="shared" si="26"/>
        <v>#VALUE!</v>
      </c>
      <c r="T835" s="113">
        <f t="shared" si="27"/>
        <v>0</v>
      </c>
    </row>
    <row r="836" spans="1:20" s="109" customFormat="1" x14ac:dyDescent="0.2">
      <c r="A836" s="116"/>
      <c r="B836" s="111"/>
      <c r="C836" s="110" t="s">
        <v>3492</v>
      </c>
      <c r="D836" s="110" t="s">
        <v>3493</v>
      </c>
      <c r="E836" s="112" t="s">
        <v>3494</v>
      </c>
      <c r="F836" s="111" t="s">
        <v>126</v>
      </c>
      <c r="G836" s="133">
        <v>200</v>
      </c>
      <c r="H836" s="124"/>
      <c r="I836" s="133" t="str">
        <f>IF(H836&gt;0,(#REF!*H836),"-")</f>
        <v>-</v>
      </c>
      <c r="J836" s="113">
        <v>3725</v>
      </c>
      <c r="K836" s="110" t="s">
        <v>389</v>
      </c>
      <c r="L836" s="110" t="s">
        <v>511</v>
      </c>
      <c r="M836" s="110" t="s">
        <v>129</v>
      </c>
      <c r="N836" s="110" t="s">
        <v>130</v>
      </c>
      <c r="O836" s="110" t="s">
        <v>3495</v>
      </c>
      <c r="P836" s="110" t="s">
        <v>137</v>
      </c>
      <c r="Q836" s="110" t="s">
        <v>97</v>
      </c>
      <c r="R836" s="121">
        <v>0.58199999999999996</v>
      </c>
      <c r="S836" s="113" t="e">
        <f t="shared" si="26"/>
        <v>#VALUE!</v>
      </c>
      <c r="T836" s="113">
        <f t="shared" si="27"/>
        <v>0</v>
      </c>
    </row>
    <row r="837" spans="1:20" s="109" customFormat="1" x14ac:dyDescent="0.2">
      <c r="A837" s="116"/>
      <c r="B837" s="111"/>
      <c r="C837" s="110" t="s">
        <v>3496</v>
      </c>
      <c r="D837" s="110" t="s">
        <v>3497</v>
      </c>
      <c r="E837" s="112" t="s">
        <v>3498</v>
      </c>
      <c r="F837" s="111" t="s">
        <v>126</v>
      </c>
      <c r="G837" s="133">
        <v>125</v>
      </c>
      <c r="H837" s="124"/>
      <c r="I837" s="133" t="str">
        <f>IF(H837&gt;0,(#REF!*H837),"-")</f>
        <v>-</v>
      </c>
      <c r="J837" s="113">
        <v>1622</v>
      </c>
      <c r="K837" s="110" t="s">
        <v>389</v>
      </c>
      <c r="L837" s="110" t="s">
        <v>511</v>
      </c>
      <c r="M837" s="110" t="s">
        <v>129</v>
      </c>
      <c r="N837" s="110" t="s">
        <v>130</v>
      </c>
      <c r="O837" s="110" t="s">
        <v>3499</v>
      </c>
      <c r="P837" s="110" t="s">
        <v>137</v>
      </c>
      <c r="Q837" s="110" t="s">
        <v>97</v>
      </c>
      <c r="R837" s="121">
        <v>0.20730000000000001</v>
      </c>
      <c r="S837" s="113" t="e">
        <f t="shared" si="26"/>
        <v>#VALUE!</v>
      </c>
      <c r="T837" s="113">
        <f t="shared" si="27"/>
        <v>0</v>
      </c>
    </row>
    <row r="838" spans="1:20" s="109" customFormat="1" x14ac:dyDescent="0.2">
      <c r="A838" s="116"/>
      <c r="B838" s="111" t="s">
        <v>289</v>
      </c>
      <c r="C838" s="110" t="s">
        <v>3500</v>
      </c>
      <c r="D838" s="110" t="s">
        <v>3501</v>
      </c>
      <c r="E838" s="112" t="s">
        <v>3502</v>
      </c>
      <c r="F838" s="111" t="s">
        <v>130</v>
      </c>
      <c r="G838" s="133">
        <v>120</v>
      </c>
      <c r="H838" s="124"/>
      <c r="I838" s="133" t="str">
        <f>IF(H838&gt;0,(#REF!*H838),"-")</f>
        <v>-</v>
      </c>
      <c r="J838" s="113">
        <v>1631</v>
      </c>
      <c r="K838" s="110" t="s">
        <v>389</v>
      </c>
      <c r="L838" s="110" t="s">
        <v>516</v>
      </c>
      <c r="M838" s="110" t="s">
        <v>129</v>
      </c>
      <c r="N838" s="110" t="s">
        <v>130</v>
      </c>
      <c r="O838" s="110" t="s">
        <v>3503</v>
      </c>
      <c r="P838" s="110" t="s">
        <v>958</v>
      </c>
      <c r="Q838" s="110" t="s">
        <v>96</v>
      </c>
      <c r="R838" s="121">
        <v>2.58E-2</v>
      </c>
      <c r="S838" s="113" t="e">
        <f t="shared" si="26"/>
        <v>#VALUE!</v>
      </c>
      <c r="T838" s="113">
        <f t="shared" si="27"/>
        <v>0</v>
      </c>
    </row>
    <row r="839" spans="1:20" s="109" customFormat="1" x14ac:dyDescent="0.2">
      <c r="A839" s="116"/>
      <c r="B839" s="111" t="s">
        <v>289</v>
      </c>
      <c r="C839" s="110" t="s">
        <v>3504</v>
      </c>
      <c r="D839" s="110" t="s">
        <v>3505</v>
      </c>
      <c r="E839" s="112" t="s">
        <v>3506</v>
      </c>
      <c r="F839" s="111" t="s">
        <v>130</v>
      </c>
      <c r="G839" s="133">
        <v>120</v>
      </c>
      <c r="H839" s="124"/>
      <c r="I839" s="133" t="str">
        <f>IF(H839&gt;0,(#REF!*H839),"-")</f>
        <v>-</v>
      </c>
      <c r="J839" s="113">
        <v>1553</v>
      </c>
      <c r="K839" s="110" t="s">
        <v>389</v>
      </c>
      <c r="L839" s="110" t="s">
        <v>516</v>
      </c>
      <c r="M839" s="110" t="s">
        <v>129</v>
      </c>
      <c r="N839" s="110" t="s">
        <v>130</v>
      </c>
      <c r="O839" s="110" t="s">
        <v>3507</v>
      </c>
      <c r="P839" s="110" t="s">
        <v>958</v>
      </c>
      <c r="Q839" s="110" t="s">
        <v>96</v>
      </c>
      <c r="R839" s="121">
        <v>0.25</v>
      </c>
      <c r="S839" s="113" t="e">
        <f t="shared" si="26"/>
        <v>#VALUE!</v>
      </c>
      <c r="T839" s="113">
        <f t="shared" si="27"/>
        <v>0</v>
      </c>
    </row>
    <row r="840" spans="1:20" s="109" customFormat="1" x14ac:dyDescent="0.2">
      <c r="A840" s="116"/>
      <c r="B840" s="111"/>
      <c r="C840" s="110" t="s">
        <v>3508</v>
      </c>
      <c r="D840" s="110" t="s">
        <v>3509</v>
      </c>
      <c r="E840" s="112" t="s">
        <v>3510</v>
      </c>
      <c r="F840" s="111" t="s">
        <v>126</v>
      </c>
      <c r="G840" s="133">
        <v>340</v>
      </c>
      <c r="H840" s="124"/>
      <c r="I840" s="133" t="str">
        <f>IF(H840&gt;0,(#REF!*H840),"-")</f>
        <v>-</v>
      </c>
      <c r="J840" s="113">
        <v>5400</v>
      </c>
      <c r="K840" s="110" t="s">
        <v>389</v>
      </c>
      <c r="L840" s="110" t="s">
        <v>516</v>
      </c>
      <c r="M840" s="110" t="s">
        <v>129</v>
      </c>
      <c r="N840" s="110" t="s">
        <v>130</v>
      </c>
      <c r="O840" s="110" t="s">
        <v>3511</v>
      </c>
      <c r="P840" s="110" t="s">
        <v>137</v>
      </c>
      <c r="Q840" s="110" t="s">
        <v>96</v>
      </c>
      <c r="R840" s="121">
        <v>0.63380000000000003</v>
      </c>
      <c r="S840" s="113" t="e">
        <f t="shared" si="26"/>
        <v>#VALUE!</v>
      </c>
      <c r="T840" s="113">
        <f t="shared" si="27"/>
        <v>0</v>
      </c>
    </row>
    <row r="841" spans="1:20" s="109" customFormat="1" x14ac:dyDescent="0.2">
      <c r="A841" s="116"/>
      <c r="B841" s="111" t="s">
        <v>202</v>
      </c>
      <c r="C841" s="110" t="s">
        <v>3512</v>
      </c>
      <c r="D841" s="110" t="s">
        <v>3513</v>
      </c>
      <c r="E841" s="112" t="s">
        <v>3514</v>
      </c>
      <c r="F841" s="111" t="s">
        <v>130</v>
      </c>
      <c r="G841" s="133">
        <v>340</v>
      </c>
      <c r="H841" s="124"/>
      <c r="I841" s="133" t="str">
        <f>IF(H841&gt;0,(#REF!*H841),"-")</f>
        <v>-</v>
      </c>
      <c r="J841" s="113">
        <v>5063</v>
      </c>
      <c r="K841" s="110" t="s">
        <v>389</v>
      </c>
      <c r="L841" s="110" t="s">
        <v>516</v>
      </c>
      <c r="M841" s="110" t="s">
        <v>129</v>
      </c>
      <c r="N841" s="110" t="s">
        <v>130</v>
      </c>
      <c r="O841" s="110" t="s">
        <v>3515</v>
      </c>
      <c r="P841" s="110" t="s">
        <v>137</v>
      </c>
      <c r="Q841" s="110" t="s">
        <v>96</v>
      </c>
      <c r="R841" s="121">
        <v>0.58289999999999997</v>
      </c>
      <c r="S841" s="113" t="e">
        <f t="shared" si="26"/>
        <v>#VALUE!</v>
      </c>
      <c r="T841" s="113">
        <f t="shared" si="27"/>
        <v>0</v>
      </c>
    </row>
    <row r="842" spans="1:20" s="109" customFormat="1" x14ac:dyDescent="0.2">
      <c r="A842" s="116"/>
      <c r="B842" s="111" t="s">
        <v>202</v>
      </c>
      <c r="C842" s="110" t="s">
        <v>3516</v>
      </c>
      <c r="D842" s="110" t="s">
        <v>3517</v>
      </c>
      <c r="E842" s="112" t="s">
        <v>3518</v>
      </c>
      <c r="F842" s="111" t="s">
        <v>130</v>
      </c>
      <c r="G842" s="133">
        <v>340</v>
      </c>
      <c r="H842" s="124"/>
      <c r="I842" s="133" t="str">
        <f>IF(H842&gt;0,(#REF!*H842),"-")</f>
        <v>-</v>
      </c>
      <c r="J842" s="113">
        <v>4358</v>
      </c>
      <c r="K842" s="110" t="s">
        <v>389</v>
      </c>
      <c r="L842" s="110" t="s">
        <v>516</v>
      </c>
      <c r="M842" s="110" t="s">
        <v>129</v>
      </c>
      <c r="N842" s="110" t="s">
        <v>130</v>
      </c>
      <c r="O842" s="110" t="s">
        <v>3519</v>
      </c>
      <c r="P842" s="110" t="s">
        <v>137</v>
      </c>
      <c r="Q842" s="110" t="s">
        <v>96</v>
      </c>
      <c r="R842" s="121">
        <v>0.58799999999999997</v>
      </c>
      <c r="S842" s="113" t="e">
        <f t="shared" si="26"/>
        <v>#VALUE!</v>
      </c>
      <c r="T842" s="113">
        <f t="shared" si="27"/>
        <v>0</v>
      </c>
    </row>
    <row r="843" spans="1:20" s="109" customFormat="1" x14ac:dyDescent="0.2">
      <c r="A843" s="116"/>
      <c r="B843" s="111"/>
      <c r="C843" s="110" t="s">
        <v>3520</v>
      </c>
      <c r="D843" s="110" t="s">
        <v>3521</v>
      </c>
      <c r="E843" s="112" t="s">
        <v>3522</v>
      </c>
      <c r="F843" s="111" t="s">
        <v>126</v>
      </c>
      <c r="G843" s="133">
        <v>60</v>
      </c>
      <c r="H843" s="124"/>
      <c r="I843" s="133" t="str">
        <f>IF(H843&gt;0,(#REF!*H843),"-")</f>
        <v>-</v>
      </c>
      <c r="J843" s="113">
        <v>504</v>
      </c>
      <c r="K843" s="110" t="s">
        <v>389</v>
      </c>
      <c r="L843" s="110" t="s">
        <v>516</v>
      </c>
      <c r="M843" s="110" t="s">
        <v>129</v>
      </c>
      <c r="N843" s="110" t="s">
        <v>130</v>
      </c>
      <c r="O843" s="110" t="s">
        <v>3523</v>
      </c>
      <c r="P843" s="110" t="s">
        <v>137</v>
      </c>
      <c r="Q843" s="110" t="s">
        <v>96</v>
      </c>
      <c r="R843" s="121">
        <v>7.4999999999999997E-2</v>
      </c>
      <c r="S843" s="113" t="e">
        <f t="shared" si="26"/>
        <v>#VALUE!</v>
      </c>
      <c r="T843" s="113">
        <f t="shared" si="27"/>
        <v>0</v>
      </c>
    </row>
    <row r="844" spans="1:20" s="109" customFormat="1" x14ac:dyDescent="0.2">
      <c r="A844" s="116"/>
      <c r="B844" s="111" t="s">
        <v>289</v>
      </c>
      <c r="C844" s="110" t="s">
        <v>3524</v>
      </c>
      <c r="D844" s="110" t="s">
        <v>3525</v>
      </c>
      <c r="E844" s="112" t="s">
        <v>3526</v>
      </c>
      <c r="F844" s="111" t="s">
        <v>130</v>
      </c>
      <c r="G844" s="133">
        <v>60</v>
      </c>
      <c r="H844" s="124"/>
      <c r="I844" s="133" t="str">
        <f>IF(H844&gt;0,(#REF!*H844),"-")</f>
        <v>-</v>
      </c>
      <c r="J844" s="113">
        <v>766</v>
      </c>
      <c r="K844" s="110" t="s">
        <v>389</v>
      </c>
      <c r="L844" s="110" t="s">
        <v>516</v>
      </c>
      <c r="M844" s="110" t="s">
        <v>129</v>
      </c>
      <c r="N844" s="110" t="s">
        <v>130</v>
      </c>
      <c r="O844" s="110" t="s">
        <v>3527</v>
      </c>
      <c r="P844" s="110" t="s">
        <v>137</v>
      </c>
      <c r="Q844" s="110" t="s">
        <v>96</v>
      </c>
      <c r="R844" s="121">
        <v>7.8E-2</v>
      </c>
      <c r="S844" s="113" t="e">
        <f t="shared" si="26"/>
        <v>#VALUE!</v>
      </c>
      <c r="T844" s="113">
        <f t="shared" si="27"/>
        <v>0</v>
      </c>
    </row>
    <row r="845" spans="1:20" s="109" customFormat="1" x14ac:dyDescent="0.2">
      <c r="A845" s="116"/>
      <c r="B845" s="111"/>
      <c r="C845" s="110" t="s">
        <v>3528</v>
      </c>
      <c r="D845" s="110" t="s">
        <v>3529</v>
      </c>
      <c r="E845" s="112" t="s">
        <v>3530</v>
      </c>
      <c r="F845" s="111" t="s">
        <v>126</v>
      </c>
      <c r="G845" s="133">
        <v>150</v>
      </c>
      <c r="H845" s="124"/>
      <c r="I845" s="133" t="str">
        <f>IF(H845&gt;0,(#REF!*H845),"-")</f>
        <v>-</v>
      </c>
      <c r="J845" s="113">
        <v>1046</v>
      </c>
      <c r="K845" s="110" t="s">
        <v>389</v>
      </c>
      <c r="L845" s="110" t="s">
        <v>516</v>
      </c>
      <c r="M845" s="110" t="s">
        <v>129</v>
      </c>
      <c r="N845" s="110" t="s">
        <v>130</v>
      </c>
      <c r="O845" s="110" t="s">
        <v>3531</v>
      </c>
      <c r="P845" s="110" t="s">
        <v>137</v>
      </c>
      <c r="Q845" s="110" t="s">
        <v>96</v>
      </c>
      <c r="R845" s="121">
        <v>0.11700000000000001</v>
      </c>
      <c r="S845" s="113" t="e">
        <f t="shared" si="26"/>
        <v>#VALUE!</v>
      </c>
      <c r="T845" s="113">
        <f t="shared" si="27"/>
        <v>0</v>
      </c>
    </row>
    <row r="846" spans="1:20" s="109" customFormat="1" x14ac:dyDescent="0.2">
      <c r="A846" s="116"/>
      <c r="B846" s="111"/>
      <c r="C846" s="110" t="s">
        <v>3532</v>
      </c>
      <c r="D846" s="110" t="s">
        <v>3533</v>
      </c>
      <c r="E846" s="112" t="s">
        <v>3534</v>
      </c>
      <c r="F846" s="111" t="s">
        <v>126</v>
      </c>
      <c r="G846" s="133">
        <v>155</v>
      </c>
      <c r="H846" s="124"/>
      <c r="I846" s="133" t="str">
        <f>IF(H846&gt;0,(#REF!*H846),"-")</f>
        <v>-</v>
      </c>
      <c r="J846" s="113">
        <v>1046</v>
      </c>
      <c r="K846" s="110" t="s">
        <v>389</v>
      </c>
      <c r="L846" s="110" t="s">
        <v>516</v>
      </c>
      <c r="M846" s="110" t="s">
        <v>129</v>
      </c>
      <c r="N846" s="110" t="s">
        <v>130</v>
      </c>
      <c r="O846" s="110" t="s">
        <v>3535</v>
      </c>
      <c r="P846" s="110" t="s">
        <v>137</v>
      </c>
      <c r="Q846" s="110" t="s">
        <v>96</v>
      </c>
      <c r="R846" s="121">
        <v>9.3700000000000006E-2</v>
      </c>
      <c r="S846" s="113" t="e">
        <f t="shared" si="26"/>
        <v>#VALUE!</v>
      </c>
      <c r="T846" s="113">
        <f t="shared" si="27"/>
        <v>0</v>
      </c>
    </row>
    <row r="847" spans="1:20" s="109" customFormat="1" x14ac:dyDescent="0.2">
      <c r="A847" s="116"/>
      <c r="B847" s="111"/>
      <c r="C847" s="110" t="s">
        <v>3536</v>
      </c>
      <c r="D847" s="110" t="s">
        <v>3537</v>
      </c>
      <c r="E847" s="112" t="s">
        <v>3538</v>
      </c>
      <c r="F847" s="111" t="s">
        <v>126</v>
      </c>
      <c r="G847" s="133">
        <v>90</v>
      </c>
      <c r="H847" s="124"/>
      <c r="I847" s="133" t="str">
        <f>IF(H847&gt;0,(#REF!*H847),"-")</f>
        <v>-</v>
      </c>
      <c r="J847" s="113">
        <v>1106</v>
      </c>
      <c r="K847" s="110" t="s">
        <v>389</v>
      </c>
      <c r="L847" s="110" t="s">
        <v>516</v>
      </c>
      <c r="M847" s="110" t="s">
        <v>129</v>
      </c>
      <c r="N847" s="110" t="s">
        <v>130</v>
      </c>
      <c r="O847" s="110" t="s">
        <v>3539</v>
      </c>
      <c r="P847" s="110" t="s">
        <v>137</v>
      </c>
      <c r="Q847" s="110" t="s">
        <v>96</v>
      </c>
      <c r="R847" s="121">
        <v>0.1</v>
      </c>
      <c r="S847" s="113" t="e">
        <f t="shared" si="26"/>
        <v>#VALUE!</v>
      </c>
      <c r="T847" s="113">
        <f t="shared" si="27"/>
        <v>0</v>
      </c>
    </row>
    <row r="848" spans="1:20" s="109" customFormat="1" x14ac:dyDescent="0.2">
      <c r="A848" s="116"/>
      <c r="B848" s="111"/>
      <c r="C848" s="110" t="s">
        <v>3540</v>
      </c>
      <c r="D848" s="110" t="s">
        <v>3541</v>
      </c>
      <c r="E848" s="112" t="s">
        <v>3542</v>
      </c>
      <c r="F848" s="111" t="s">
        <v>126</v>
      </c>
      <c r="G848" s="133">
        <v>685</v>
      </c>
      <c r="H848" s="124"/>
      <c r="I848" s="133" t="str">
        <f>IF(H848&gt;0,(#REF!*H848),"-")</f>
        <v>-</v>
      </c>
      <c r="J848" s="113">
        <v>11203</v>
      </c>
      <c r="K848" s="110" t="s">
        <v>389</v>
      </c>
      <c r="L848" s="110" t="s">
        <v>516</v>
      </c>
      <c r="M848" s="110" t="s">
        <v>129</v>
      </c>
      <c r="N848" s="110" t="s">
        <v>130</v>
      </c>
      <c r="O848" s="110" t="s">
        <v>3543</v>
      </c>
      <c r="P848" s="110" t="s">
        <v>137</v>
      </c>
      <c r="Q848" s="110" t="s">
        <v>96</v>
      </c>
      <c r="R848" s="121">
        <v>0.99199999999999999</v>
      </c>
      <c r="S848" s="113" t="e">
        <f t="shared" si="26"/>
        <v>#VALUE!</v>
      </c>
      <c r="T848" s="113">
        <f t="shared" si="27"/>
        <v>0</v>
      </c>
    </row>
    <row r="849" spans="1:20" s="109" customFormat="1" x14ac:dyDescent="0.2">
      <c r="A849" s="116"/>
      <c r="B849" s="111"/>
      <c r="C849" s="110" t="s">
        <v>3544</v>
      </c>
      <c r="D849" s="110" t="s">
        <v>3545</v>
      </c>
      <c r="E849" s="112" t="s">
        <v>3546</v>
      </c>
      <c r="F849" s="111" t="s">
        <v>126</v>
      </c>
      <c r="G849" s="133">
        <v>155</v>
      </c>
      <c r="H849" s="124"/>
      <c r="I849" s="133" t="str">
        <f>IF(H849&gt;0,(#REF!*H849),"-")</f>
        <v>-</v>
      </c>
      <c r="J849" s="113">
        <v>1572</v>
      </c>
      <c r="K849" s="110" t="s">
        <v>389</v>
      </c>
      <c r="L849" s="110" t="s">
        <v>516</v>
      </c>
      <c r="M849" s="110" t="s">
        <v>129</v>
      </c>
      <c r="N849" s="110" t="s">
        <v>130</v>
      </c>
      <c r="O849" s="110" t="s">
        <v>3547</v>
      </c>
      <c r="P849" s="110" t="s">
        <v>132</v>
      </c>
      <c r="Q849" s="110" t="s">
        <v>97</v>
      </c>
      <c r="R849" s="121">
        <v>0.71699999999999997</v>
      </c>
      <c r="S849" s="113" t="e">
        <f t="shared" si="26"/>
        <v>#VALUE!</v>
      </c>
      <c r="T849" s="113">
        <f t="shared" si="27"/>
        <v>0</v>
      </c>
    </row>
    <row r="850" spans="1:20" s="109" customFormat="1" x14ac:dyDescent="0.2">
      <c r="A850" s="116"/>
      <c r="B850" s="111" t="s">
        <v>289</v>
      </c>
      <c r="C850" s="110" t="s">
        <v>3548</v>
      </c>
      <c r="D850" s="110" t="s">
        <v>3549</v>
      </c>
      <c r="E850" s="112" t="s">
        <v>3550</v>
      </c>
      <c r="F850" s="111" t="s">
        <v>130</v>
      </c>
      <c r="G850" s="133">
        <v>110</v>
      </c>
      <c r="H850" s="124"/>
      <c r="I850" s="133" t="str">
        <f>IF(H850&gt;0,(#REF!*H850),"-")</f>
        <v>-</v>
      </c>
      <c r="J850" s="113">
        <v>1046</v>
      </c>
      <c r="K850" s="110" t="s">
        <v>389</v>
      </c>
      <c r="L850" s="110" t="s">
        <v>516</v>
      </c>
      <c r="M850" s="110" t="s">
        <v>129</v>
      </c>
      <c r="N850" s="110" t="s">
        <v>130</v>
      </c>
      <c r="O850" s="110" t="s">
        <v>3551</v>
      </c>
      <c r="P850" s="110" t="s">
        <v>137</v>
      </c>
      <c r="Q850" s="110" t="s">
        <v>96</v>
      </c>
      <c r="R850" s="121">
        <v>0.104</v>
      </c>
      <c r="S850" s="113" t="e">
        <f t="shared" si="26"/>
        <v>#VALUE!</v>
      </c>
      <c r="T850" s="113">
        <f t="shared" si="27"/>
        <v>0</v>
      </c>
    </row>
    <row r="851" spans="1:20" s="109" customFormat="1" x14ac:dyDescent="0.2">
      <c r="A851" s="116"/>
      <c r="B851" s="111"/>
      <c r="C851" s="110" t="s">
        <v>3552</v>
      </c>
      <c r="D851" s="110" t="s">
        <v>3553</v>
      </c>
      <c r="E851" s="112" t="s">
        <v>3554</v>
      </c>
      <c r="F851" s="111" t="s">
        <v>126</v>
      </c>
      <c r="G851" s="133">
        <v>140</v>
      </c>
      <c r="H851" s="124"/>
      <c r="I851" s="133" t="str">
        <f>IF(H851&gt;0,(#REF!*H851),"-")</f>
        <v>-</v>
      </c>
      <c r="J851" s="113">
        <v>2189</v>
      </c>
      <c r="K851" s="110" t="s">
        <v>389</v>
      </c>
      <c r="L851" s="110" t="s">
        <v>516</v>
      </c>
      <c r="M851" s="110" t="s">
        <v>129</v>
      </c>
      <c r="N851" s="110" t="s">
        <v>130</v>
      </c>
      <c r="O851" s="110" t="s">
        <v>3555</v>
      </c>
      <c r="P851" s="110" t="s">
        <v>137</v>
      </c>
      <c r="Q851" s="110" t="s">
        <v>96</v>
      </c>
      <c r="R851" s="121">
        <v>0.22600000000000001</v>
      </c>
      <c r="S851" s="113" t="e">
        <f t="shared" si="26"/>
        <v>#VALUE!</v>
      </c>
      <c r="T851" s="113">
        <f t="shared" si="27"/>
        <v>0</v>
      </c>
    </row>
    <row r="852" spans="1:20" s="109" customFormat="1" x14ac:dyDescent="0.2">
      <c r="A852" s="116"/>
      <c r="B852" s="111"/>
      <c r="C852" s="110" t="s">
        <v>3556</v>
      </c>
      <c r="D852" s="110" t="s">
        <v>3557</v>
      </c>
      <c r="E852" s="112" t="s">
        <v>3558</v>
      </c>
      <c r="F852" s="111" t="s">
        <v>126</v>
      </c>
      <c r="G852" s="133">
        <v>140</v>
      </c>
      <c r="H852" s="124"/>
      <c r="I852" s="133" t="str">
        <f>IF(H852&gt;0,(#REF!*H852),"-")</f>
        <v>-</v>
      </c>
      <c r="J852" s="113">
        <v>1594</v>
      </c>
      <c r="K852" s="110" t="s">
        <v>389</v>
      </c>
      <c r="L852" s="110" t="s">
        <v>516</v>
      </c>
      <c r="M852" s="110" t="s">
        <v>129</v>
      </c>
      <c r="N852" s="110" t="s">
        <v>130</v>
      </c>
      <c r="O852" s="110" t="s">
        <v>3559</v>
      </c>
      <c r="P852" s="110" t="s">
        <v>137</v>
      </c>
      <c r="Q852" s="110" t="s">
        <v>96</v>
      </c>
      <c r="R852" s="121">
        <v>0.184</v>
      </c>
      <c r="S852" s="113" t="e">
        <f t="shared" si="26"/>
        <v>#VALUE!</v>
      </c>
      <c r="T852" s="113">
        <f t="shared" si="27"/>
        <v>0</v>
      </c>
    </row>
    <row r="853" spans="1:20" s="109" customFormat="1" x14ac:dyDescent="0.2">
      <c r="A853" s="116"/>
      <c r="B853" s="111"/>
      <c r="C853" s="110" t="s">
        <v>3560</v>
      </c>
      <c r="D853" s="110" t="s">
        <v>3561</v>
      </c>
      <c r="E853" s="112" t="s">
        <v>3562</v>
      </c>
      <c r="F853" s="111" t="s">
        <v>126</v>
      </c>
      <c r="G853" s="133">
        <v>155</v>
      </c>
      <c r="H853" s="124"/>
      <c r="I853" s="133" t="str">
        <f>IF(H853&gt;0,(#REF!*H853),"-")</f>
        <v>-</v>
      </c>
      <c r="J853" s="113">
        <v>1046</v>
      </c>
      <c r="K853" s="110" t="s">
        <v>389</v>
      </c>
      <c r="L853" s="110" t="s">
        <v>516</v>
      </c>
      <c r="M853" s="110" t="s">
        <v>129</v>
      </c>
      <c r="N853" s="110" t="s">
        <v>130</v>
      </c>
      <c r="O853" s="110" t="s">
        <v>3563</v>
      </c>
      <c r="P853" s="110" t="s">
        <v>137</v>
      </c>
      <c r="Q853" s="110" t="s">
        <v>96</v>
      </c>
      <c r="R853" s="121">
        <v>0.13700000000000001</v>
      </c>
      <c r="S853" s="113" t="e">
        <f t="shared" si="26"/>
        <v>#VALUE!</v>
      </c>
      <c r="T853" s="113">
        <f t="shared" si="27"/>
        <v>0</v>
      </c>
    </row>
    <row r="854" spans="1:20" s="109" customFormat="1" x14ac:dyDescent="0.2">
      <c r="A854" s="116"/>
      <c r="B854" s="111"/>
      <c r="C854" s="110" t="s">
        <v>3564</v>
      </c>
      <c r="D854" s="110" t="s">
        <v>3565</v>
      </c>
      <c r="E854" s="112" t="s">
        <v>3566</v>
      </c>
      <c r="F854" s="111" t="s">
        <v>126</v>
      </c>
      <c r="G854" s="133">
        <v>155</v>
      </c>
      <c r="H854" s="124"/>
      <c r="I854" s="133" t="str">
        <f>IF(H854&gt;0,(#REF!*H854),"-")</f>
        <v>-</v>
      </c>
      <c r="J854" s="113">
        <v>1522</v>
      </c>
      <c r="K854" s="110" t="s">
        <v>389</v>
      </c>
      <c r="L854" s="110" t="s">
        <v>516</v>
      </c>
      <c r="M854" s="110" t="s">
        <v>129</v>
      </c>
      <c r="N854" s="110" t="s">
        <v>130</v>
      </c>
      <c r="O854" s="110" t="s">
        <v>3567</v>
      </c>
      <c r="P854" s="110" t="s">
        <v>137</v>
      </c>
      <c r="Q854" s="110" t="s">
        <v>96</v>
      </c>
      <c r="R854" s="121">
        <v>0.1694</v>
      </c>
      <c r="S854" s="113" t="e">
        <f t="shared" si="26"/>
        <v>#VALUE!</v>
      </c>
      <c r="T854" s="113">
        <f t="shared" si="27"/>
        <v>0</v>
      </c>
    </row>
    <row r="855" spans="1:20" s="109" customFormat="1" x14ac:dyDescent="0.2">
      <c r="A855" s="116"/>
      <c r="B855" s="111"/>
      <c r="C855" s="110" t="s">
        <v>3568</v>
      </c>
      <c r="D855" s="110" t="s">
        <v>3569</v>
      </c>
      <c r="E855" s="112" t="s">
        <v>3570</v>
      </c>
      <c r="F855" s="111" t="s">
        <v>126</v>
      </c>
      <c r="G855" s="133">
        <v>185</v>
      </c>
      <c r="H855" s="124"/>
      <c r="I855" s="133" t="str">
        <f>IF(H855&gt;0,(#REF!*H855),"-")</f>
        <v>-</v>
      </c>
      <c r="J855" s="113">
        <v>1860</v>
      </c>
      <c r="K855" s="110" t="s">
        <v>389</v>
      </c>
      <c r="L855" s="110" t="s">
        <v>516</v>
      </c>
      <c r="M855" s="110" t="s">
        <v>129</v>
      </c>
      <c r="N855" s="110" t="s">
        <v>130</v>
      </c>
      <c r="O855" s="110" t="s">
        <v>3571</v>
      </c>
      <c r="P855" s="110" t="s">
        <v>137</v>
      </c>
      <c r="Q855" s="110" t="s">
        <v>96</v>
      </c>
      <c r="R855" s="121">
        <v>0.17119999999999999</v>
      </c>
      <c r="S855" s="113" t="e">
        <f t="shared" si="26"/>
        <v>#VALUE!</v>
      </c>
      <c r="T855" s="113">
        <f t="shared" si="27"/>
        <v>0</v>
      </c>
    </row>
    <row r="856" spans="1:20" s="109" customFormat="1" x14ac:dyDescent="0.2">
      <c r="A856" s="116"/>
      <c r="B856" s="111" t="s">
        <v>207</v>
      </c>
      <c r="C856" s="110" t="s">
        <v>3572</v>
      </c>
      <c r="D856" s="110" t="s">
        <v>3573</v>
      </c>
      <c r="E856" s="112" t="s">
        <v>3574</v>
      </c>
      <c r="F856" s="111" t="s">
        <v>130</v>
      </c>
      <c r="G856" s="133">
        <v>155</v>
      </c>
      <c r="H856" s="124"/>
      <c r="I856" s="133" t="str">
        <f>IF(H856&gt;0,(#REF!*H856),"-")</f>
        <v>-</v>
      </c>
      <c r="J856" s="113">
        <v>764</v>
      </c>
      <c r="K856" s="110" t="s">
        <v>389</v>
      </c>
      <c r="L856" s="110" t="s">
        <v>516</v>
      </c>
      <c r="M856" s="110" t="s">
        <v>129</v>
      </c>
      <c r="N856" s="110" t="s">
        <v>130</v>
      </c>
      <c r="O856" s="110" t="s">
        <v>3575</v>
      </c>
      <c r="P856" s="110" t="s">
        <v>132</v>
      </c>
      <c r="Q856" s="110" t="s">
        <v>97</v>
      </c>
      <c r="R856" s="121">
        <v>0.59699999999999998</v>
      </c>
      <c r="S856" s="113" t="e">
        <f t="shared" si="26"/>
        <v>#VALUE!</v>
      </c>
      <c r="T856" s="113">
        <f t="shared" si="27"/>
        <v>0</v>
      </c>
    </row>
    <row r="857" spans="1:20" s="109" customFormat="1" x14ac:dyDescent="0.2">
      <c r="A857" s="116"/>
      <c r="B857" s="111"/>
      <c r="C857" s="110" t="s">
        <v>3576</v>
      </c>
      <c r="D857" s="110" t="s">
        <v>3577</v>
      </c>
      <c r="E857" s="112" t="s">
        <v>3578</v>
      </c>
      <c r="F857" s="111" t="s">
        <v>126</v>
      </c>
      <c r="G857" s="133">
        <v>125</v>
      </c>
      <c r="H857" s="124"/>
      <c r="I857" s="133" t="str">
        <f>IF(H857&gt;0,(#REF!*H857),"-")</f>
        <v>-</v>
      </c>
      <c r="J857" s="113">
        <v>545</v>
      </c>
      <c r="K857" s="110" t="s">
        <v>389</v>
      </c>
      <c r="L857" s="110" t="s">
        <v>516</v>
      </c>
      <c r="M857" s="110" t="s">
        <v>129</v>
      </c>
      <c r="N857" s="110" t="s">
        <v>130</v>
      </c>
      <c r="O857" s="110" t="s">
        <v>3579</v>
      </c>
      <c r="P857" s="110" t="s">
        <v>137</v>
      </c>
      <c r="Q857" s="110" t="s">
        <v>96</v>
      </c>
      <c r="R857" s="121">
        <v>5.3999999999999999E-2</v>
      </c>
      <c r="S857" s="113" t="e">
        <f t="shared" si="26"/>
        <v>#VALUE!</v>
      </c>
      <c r="T857" s="113">
        <f t="shared" si="27"/>
        <v>0</v>
      </c>
    </row>
    <row r="858" spans="1:20" s="109" customFormat="1" x14ac:dyDescent="0.2">
      <c r="A858" s="116"/>
      <c r="B858" s="111"/>
      <c r="C858" s="110" t="s">
        <v>3580</v>
      </c>
      <c r="D858" s="110" t="s">
        <v>3581</v>
      </c>
      <c r="E858" s="112" t="s">
        <v>3582</v>
      </c>
      <c r="F858" s="111" t="s">
        <v>126</v>
      </c>
      <c r="G858" s="133">
        <v>125</v>
      </c>
      <c r="H858" s="124"/>
      <c r="I858" s="133" t="str">
        <f>IF(H858&gt;0,(#REF!*H858),"-")</f>
        <v>-</v>
      </c>
      <c r="J858" s="113">
        <v>1080</v>
      </c>
      <c r="K858" s="110" t="s">
        <v>389</v>
      </c>
      <c r="L858" s="110" t="s">
        <v>516</v>
      </c>
      <c r="M858" s="110" t="s">
        <v>129</v>
      </c>
      <c r="N858" s="110" t="s">
        <v>130</v>
      </c>
      <c r="O858" s="110" t="s">
        <v>3583</v>
      </c>
      <c r="P858" s="110" t="s">
        <v>137</v>
      </c>
      <c r="Q858" s="110" t="s">
        <v>97</v>
      </c>
      <c r="R858" s="121">
        <v>0.16200000000000001</v>
      </c>
      <c r="S858" s="113" t="e">
        <f t="shared" si="26"/>
        <v>#VALUE!</v>
      </c>
      <c r="T858" s="113">
        <f t="shared" si="27"/>
        <v>0</v>
      </c>
    </row>
    <row r="859" spans="1:20" s="109" customFormat="1" x14ac:dyDescent="0.2">
      <c r="A859" s="116"/>
      <c r="B859" s="111"/>
      <c r="C859" s="110" t="s">
        <v>3584</v>
      </c>
      <c r="D859" s="110" t="s">
        <v>3585</v>
      </c>
      <c r="E859" s="112" t="s">
        <v>3586</v>
      </c>
      <c r="F859" s="111" t="s">
        <v>126</v>
      </c>
      <c r="G859" s="133">
        <v>435</v>
      </c>
      <c r="H859" s="124"/>
      <c r="I859" s="133" t="str">
        <f>IF(H859&gt;0,(#REF!*H859),"-")</f>
        <v>-</v>
      </c>
      <c r="J859" s="113">
        <v>3375</v>
      </c>
      <c r="K859" s="110" t="s">
        <v>389</v>
      </c>
      <c r="L859" s="110" t="s">
        <v>516</v>
      </c>
      <c r="M859" s="110" t="s">
        <v>129</v>
      </c>
      <c r="N859" s="110" t="s">
        <v>130</v>
      </c>
      <c r="O859" s="110" t="s">
        <v>3587</v>
      </c>
      <c r="P859" s="110" t="s">
        <v>137</v>
      </c>
      <c r="Q859" s="110" t="s">
        <v>96</v>
      </c>
      <c r="R859" s="121">
        <v>0.41899999999999998</v>
      </c>
      <c r="S859" s="113" t="e">
        <f t="shared" si="26"/>
        <v>#VALUE!</v>
      </c>
      <c r="T859" s="113">
        <f t="shared" si="27"/>
        <v>0</v>
      </c>
    </row>
    <row r="860" spans="1:20" s="109" customFormat="1" x14ac:dyDescent="0.2">
      <c r="A860" s="116"/>
      <c r="B860" s="111"/>
      <c r="C860" s="110" t="s">
        <v>3588</v>
      </c>
      <c r="D860" s="110" t="s">
        <v>3589</v>
      </c>
      <c r="E860" s="112" t="s">
        <v>3590</v>
      </c>
      <c r="F860" s="111" t="s">
        <v>126</v>
      </c>
      <c r="G860" s="133">
        <v>155</v>
      </c>
      <c r="H860" s="124"/>
      <c r="I860" s="133" t="str">
        <f>IF(H860&gt;0,(#REF!*H860),"-")</f>
        <v>-</v>
      </c>
      <c r="J860" s="113">
        <v>504</v>
      </c>
      <c r="K860" s="110" t="s">
        <v>389</v>
      </c>
      <c r="L860" s="110" t="s">
        <v>516</v>
      </c>
      <c r="M860" s="110" t="s">
        <v>129</v>
      </c>
      <c r="N860" s="110" t="s">
        <v>130</v>
      </c>
      <c r="O860" s="110" t="s">
        <v>3591</v>
      </c>
      <c r="P860" s="110" t="s">
        <v>137</v>
      </c>
      <c r="Q860" s="110" t="s">
        <v>96</v>
      </c>
      <c r="R860" s="121">
        <v>7.2999999999999995E-2</v>
      </c>
      <c r="S860" s="113" t="e">
        <f t="shared" si="26"/>
        <v>#VALUE!</v>
      </c>
      <c r="T860" s="113">
        <f t="shared" si="27"/>
        <v>0</v>
      </c>
    </row>
    <row r="861" spans="1:20" s="109" customFormat="1" x14ac:dyDescent="0.2">
      <c r="A861" s="116"/>
      <c r="B861" s="111" t="s">
        <v>202</v>
      </c>
      <c r="C861" s="110" t="s">
        <v>3592</v>
      </c>
      <c r="D861" s="110" t="s">
        <v>3593</v>
      </c>
      <c r="E861" s="112" t="s">
        <v>3594</v>
      </c>
      <c r="F861" s="111" t="s">
        <v>130</v>
      </c>
      <c r="G861" s="133">
        <v>170</v>
      </c>
      <c r="H861" s="124"/>
      <c r="I861" s="133" t="str">
        <f>IF(H861&gt;0,(#REF!*H861),"-")</f>
        <v>-</v>
      </c>
      <c r="J861" s="113">
        <v>1046</v>
      </c>
      <c r="K861" s="110" t="s">
        <v>389</v>
      </c>
      <c r="L861" s="110" t="s">
        <v>516</v>
      </c>
      <c r="M861" s="110" t="s">
        <v>129</v>
      </c>
      <c r="N861" s="110" t="s">
        <v>130</v>
      </c>
      <c r="O861" s="110" t="s">
        <v>3595</v>
      </c>
      <c r="P861" s="110" t="s">
        <v>137</v>
      </c>
      <c r="Q861" s="110" t="s">
        <v>96</v>
      </c>
      <c r="R861" s="121">
        <v>0.121</v>
      </c>
      <c r="S861" s="113" t="e">
        <f t="shared" si="26"/>
        <v>#VALUE!</v>
      </c>
      <c r="T861" s="113">
        <f t="shared" si="27"/>
        <v>0</v>
      </c>
    </row>
    <row r="862" spans="1:20" s="109" customFormat="1" x14ac:dyDescent="0.2">
      <c r="A862" s="116"/>
      <c r="B862" s="111" t="s">
        <v>289</v>
      </c>
      <c r="C862" s="110" t="s">
        <v>3596</v>
      </c>
      <c r="D862" s="110" t="s">
        <v>3597</v>
      </c>
      <c r="E862" s="112" t="s">
        <v>3598</v>
      </c>
      <c r="F862" s="111" t="s">
        <v>130</v>
      </c>
      <c r="G862" s="133">
        <v>170</v>
      </c>
      <c r="H862" s="124"/>
      <c r="I862" s="133" t="str">
        <f>IF(H862&gt;0,(#REF!*H862),"-")</f>
        <v>-</v>
      </c>
      <c r="J862" s="113">
        <v>1213</v>
      </c>
      <c r="K862" s="110" t="s">
        <v>389</v>
      </c>
      <c r="L862" s="110" t="s">
        <v>516</v>
      </c>
      <c r="M862" s="110" t="s">
        <v>129</v>
      </c>
      <c r="N862" s="110" t="s">
        <v>130</v>
      </c>
      <c r="O862" s="110" t="s">
        <v>3599</v>
      </c>
      <c r="P862" s="110" t="s">
        <v>137</v>
      </c>
      <c r="Q862" s="110" t="s">
        <v>96</v>
      </c>
      <c r="R862" s="121">
        <v>0.111</v>
      </c>
      <c r="S862" s="113" t="e">
        <f t="shared" si="26"/>
        <v>#VALUE!</v>
      </c>
      <c r="T862" s="113">
        <f t="shared" si="27"/>
        <v>0</v>
      </c>
    </row>
    <row r="863" spans="1:20" s="109" customFormat="1" x14ac:dyDescent="0.2">
      <c r="A863" s="116"/>
      <c r="B863" s="111" t="s">
        <v>202</v>
      </c>
      <c r="C863" s="110" t="s">
        <v>3600</v>
      </c>
      <c r="D863" s="110" t="s">
        <v>3601</v>
      </c>
      <c r="E863" s="112" t="s">
        <v>3602</v>
      </c>
      <c r="F863" s="111" t="s">
        <v>130</v>
      </c>
      <c r="G863" s="133">
        <v>170</v>
      </c>
      <c r="H863" s="124"/>
      <c r="I863" s="133" t="str">
        <f>IF(H863&gt;0,(#REF!*H863),"-")</f>
        <v>-</v>
      </c>
      <c r="J863" s="113">
        <v>1522</v>
      </c>
      <c r="K863" s="110" t="s">
        <v>389</v>
      </c>
      <c r="L863" s="110" t="s">
        <v>516</v>
      </c>
      <c r="M863" s="110" t="s">
        <v>129</v>
      </c>
      <c r="N863" s="110" t="s">
        <v>130</v>
      </c>
      <c r="O863" s="110" t="s">
        <v>3603</v>
      </c>
      <c r="P863" s="110" t="s">
        <v>137</v>
      </c>
      <c r="Q863" s="110" t="s">
        <v>96</v>
      </c>
      <c r="R863" s="121">
        <v>0.158</v>
      </c>
      <c r="S863" s="113" t="e">
        <f t="shared" si="26"/>
        <v>#VALUE!</v>
      </c>
      <c r="T863" s="113">
        <f t="shared" si="27"/>
        <v>0</v>
      </c>
    </row>
    <row r="864" spans="1:20" s="109" customFormat="1" x14ac:dyDescent="0.2">
      <c r="A864" s="116"/>
      <c r="B864" s="111"/>
      <c r="C864" s="110" t="s">
        <v>3604</v>
      </c>
      <c r="D864" s="110" t="s">
        <v>3605</v>
      </c>
      <c r="E864" s="112" t="s">
        <v>3606</v>
      </c>
      <c r="F864" s="111" t="s">
        <v>126</v>
      </c>
      <c r="G864" s="133">
        <v>170</v>
      </c>
      <c r="H864" s="124"/>
      <c r="I864" s="133" t="str">
        <f>IF(H864&gt;0,(#REF!*H864),"-")</f>
        <v>-</v>
      </c>
      <c r="J864" s="113">
        <v>1580</v>
      </c>
      <c r="K864" s="110" t="s">
        <v>389</v>
      </c>
      <c r="L864" s="110" t="s">
        <v>516</v>
      </c>
      <c r="M864" s="110" t="s">
        <v>129</v>
      </c>
      <c r="N864" s="110" t="s">
        <v>130</v>
      </c>
      <c r="O864" s="110" t="s">
        <v>3607</v>
      </c>
      <c r="P864" s="110" t="s">
        <v>137</v>
      </c>
      <c r="Q864" s="110" t="s">
        <v>96</v>
      </c>
      <c r="R864" s="121">
        <v>0.14380000000000001</v>
      </c>
      <c r="S864" s="113" t="e">
        <f t="shared" si="26"/>
        <v>#VALUE!</v>
      </c>
      <c r="T864" s="113">
        <f t="shared" si="27"/>
        <v>0</v>
      </c>
    </row>
    <row r="865" spans="1:20" s="109" customFormat="1" x14ac:dyDescent="0.2">
      <c r="A865" s="116"/>
      <c r="B865" s="111"/>
      <c r="C865" s="110" t="s">
        <v>3608</v>
      </c>
      <c r="D865" s="110" t="s">
        <v>3609</v>
      </c>
      <c r="E865" s="112" t="s">
        <v>3610</v>
      </c>
      <c r="F865" s="111" t="s">
        <v>126</v>
      </c>
      <c r="G865" s="133">
        <v>170</v>
      </c>
      <c r="H865" s="124"/>
      <c r="I865" s="133" t="str">
        <f>IF(H865&gt;0,(#REF!*H865),"-")</f>
        <v>-</v>
      </c>
      <c r="J865" s="113">
        <v>1384</v>
      </c>
      <c r="K865" s="110" t="s">
        <v>389</v>
      </c>
      <c r="L865" s="110" t="s">
        <v>516</v>
      </c>
      <c r="M865" s="110" t="s">
        <v>129</v>
      </c>
      <c r="N865" s="110" t="s">
        <v>130</v>
      </c>
      <c r="O865" s="110" t="s">
        <v>3611</v>
      </c>
      <c r="P865" s="110" t="s">
        <v>137</v>
      </c>
      <c r="Q865" s="110" t="s">
        <v>96</v>
      </c>
      <c r="R865" s="121">
        <v>0.13600000000000001</v>
      </c>
      <c r="S865" s="113" t="e">
        <f t="shared" si="26"/>
        <v>#VALUE!</v>
      </c>
      <c r="T865" s="113">
        <f t="shared" si="27"/>
        <v>0</v>
      </c>
    </row>
    <row r="866" spans="1:20" s="109" customFormat="1" x14ac:dyDescent="0.2">
      <c r="A866" s="116"/>
      <c r="B866" s="111"/>
      <c r="C866" s="110" t="s">
        <v>3612</v>
      </c>
      <c r="D866" s="110" t="s">
        <v>3613</v>
      </c>
      <c r="E866" s="112" t="s">
        <v>3614</v>
      </c>
      <c r="F866" s="111" t="s">
        <v>126</v>
      </c>
      <c r="G866" s="133">
        <v>155</v>
      </c>
      <c r="H866" s="124"/>
      <c r="I866" s="133" t="str">
        <f>IF(H866&gt;0,(#REF!*H866),"-")</f>
        <v>-</v>
      </c>
      <c r="J866" s="113">
        <v>737</v>
      </c>
      <c r="K866" s="110" t="s">
        <v>389</v>
      </c>
      <c r="L866" s="110" t="s">
        <v>516</v>
      </c>
      <c r="M866" s="110" t="s">
        <v>129</v>
      </c>
      <c r="N866" s="110" t="s">
        <v>130</v>
      </c>
      <c r="O866" s="110" t="s">
        <v>3615</v>
      </c>
      <c r="P866" s="110" t="s">
        <v>132</v>
      </c>
      <c r="Q866" s="110" t="s">
        <v>97</v>
      </c>
      <c r="R866" s="121">
        <v>0.58899999999999997</v>
      </c>
      <c r="S866" s="113" t="e">
        <f t="shared" si="26"/>
        <v>#VALUE!</v>
      </c>
      <c r="T866" s="113">
        <f t="shared" si="27"/>
        <v>0</v>
      </c>
    </row>
    <row r="867" spans="1:20" s="109" customFormat="1" x14ac:dyDescent="0.2">
      <c r="A867" s="116"/>
      <c r="B867" s="111" t="s">
        <v>202</v>
      </c>
      <c r="C867" s="110" t="s">
        <v>3616</v>
      </c>
      <c r="D867" s="110" t="s">
        <v>3617</v>
      </c>
      <c r="E867" s="112" t="s">
        <v>3618</v>
      </c>
      <c r="F867" s="111" t="s">
        <v>130</v>
      </c>
      <c r="G867" s="133">
        <v>60</v>
      </c>
      <c r="H867" s="124"/>
      <c r="I867" s="133" t="str">
        <f>IF(H867&gt;0,(#REF!*H867),"-")</f>
        <v>-</v>
      </c>
      <c r="J867" s="113">
        <v>398</v>
      </c>
      <c r="K867" s="110" t="s">
        <v>389</v>
      </c>
      <c r="L867" s="110" t="s">
        <v>516</v>
      </c>
      <c r="M867" s="110" t="s">
        <v>129</v>
      </c>
      <c r="N867" s="110" t="s">
        <v>130</v>
      </c>
      <c r="O867" s="110" t="s">
        <v>3619</v>
      </c>
      <c r="P867" s="110" t="s">
        <v>137</v>
      </c>
      <c r="Q867" s="110" t="s">
        <v>96</v>
      </c>
      <c r="R867" s="121">
        <v>2.3699999999999999E-2</v>
      </c>
      <c r="S867" s="113" t="e">
        <f t="shared" si="26"/>
        <v>#VALUE!</v>
      </c>
      <c r="T867" s="113">
        <f t="shared" si="27"/>
        <v>0</v>
      </c>
    </row>
    <row r="868" spans="1:20" s="109" customFormat="1" x14ac:dyDescent="0.2">
      <c r="A868" s="116"/>
      <c r="B868" s="111" t="s">
        <v>202</v>
      </c>
      <c r="C868" s="110" t="s">
        <v>3620</v>
      </c>
      <c r="D868" s="110" t="s">
        <v>3621</v>
      </c>
      <c r="E868" s="112" t="s">
        <v>3622</v>
      </c>
      <c r="F868" s="111" t="s">
        <v>130</v>
      </c>
      <c r="G868" s="133">
        <v>60</v>
      </c>
      <c r="H868" s="124"/>
      <c r="I868" s="133" t="str">
        <f>IF(H868&gt;0,(#REF!*H868),"-")</f>
        <v>-</v>
      </c>
      <c r="J868" s="113">
        <v>398</v>
      </c>
      <c r="K868" s="110" t="s">
        <v>389</v>
      </c>
      <c r="L868" s="110" t="s">
        <v>516</v>
      </c>
      <c r="M868" s="110" t="s">
        <v>129</v>
      </c>
      <c r="N868" s="110" t="s">
        <v>130</v>
      </c>
      <c r="O868" s="110" t="s">
        <v>3623</v>
      </c>
      <c r="P868" s="110" t="s">
        <v>137</v>
      </c>
      <c r="Q868" s="110" t="s">
        <v>96</v>
      </c>
      <c r="R868" s="121">
        <v>2.1999999999999999E-2</v>
      </c>
      <c r="S868" s="113" t="e">
        <f t="shared" si="26"/>
        <v>#VALUE!</v>
      </c>
      <c r="T868" s="113">
        <f t="shared" si="27"/>
        <v>0</v>
      </c>
    </row>
    <row r="869" spans="1:20" s="109" customFormat="1" x14ac:dyDescent="0.2">
      <c r="A869" s="116"/>
      <c r="B869" s="111" t="s">
        <v>202</v>
      </c>
      <c r="C869" s="110" t="s">
        <v>3624</v>
      </c>
      <c r="D869" s="110" t="s">
        <v>3625</v>
      </c>
      <c r="E869" s="112" t="s">
        <v>3626</v>
      </c>
      <c r="F869" s="111" t="s">
        <v>130</v>
      </c>
      <c r="G869" s="133">
        <v>60</v>
      </c>
      <c r="H869" s="124"/>
      <c r="I869" s="133" t="str">
        <f>IF(H869&gt;0,(#REF!*H869),"-")</f>
        <v>-</v>
      </c>
      <c r="J869" s="113">
        <v>398</v>
      </c>
      <c r="K869" s="110" t="s">
        <v>389</v>
      </c>
      <c r="L869" s="110" t="s">
        <v>516</v>
      </c>
      <c r="M869" s="110" t="s">
        <v>129</v>
      </c>
      <c r="N869" s="110" t="s">
        <v>130</v>
      </c>
      <c r="O869" s="110" t="s">
        <v>3627</v>
      </c>
      <c r="P869" s="110" t="s">
        <v>3628</v>
      </c>
      <c r="Q869" s="110" t="s">
        <v>96</v>
      </c>
      <c r="R869" s="121">
        <v>2.12E-2</v>
      </c>
      <c r="S869" s="113" t="e">
        <f t="shared" si="26"/>
        <v>#VALUE!</v>
      </c>
      <c r="T869" s="113">
        <f t="shared" si="27"/>
        <v>0</v>
      </c>
    </row>
    <row r="870" spans="1:20" s="109" customFormat="1" x14ac:dyDescent="0.2">
      <c r="A870" s="116"/>
      <c r="B870" s="111" t="s">
        <v>202</v>
      </c>
      <c r="C870" s="110" t="s">
        <v>3629</v>
      </c>
      <c r="D870" s="110" t="s">
        <v>3630</v>
      </c>
      <c r="E870" s="112" t="s">
        <v>3631</v>
      </c>
      <c r="F870" s="111" t="s">
        <v>130</v>
      </c>
      <c r="G870" s="133">
        <v>60</v>
      </c>
      <c r="H870" s="124"/>
      <c r="I870" s="133" t="str">
        <f>IF(H870&gt;0,(#REF!*H870),"-")</f>
        <v>-</v>
      </c>
      <c r="J870" s="113">
        <v>398</v>
      </c>
      <c r="K870" s="110" t="s">
        <v>389</v>
      </c>
      <c r="L870" s="110" t="s">
        <v>516</v>
      </c>
      <c r="M870" s="110" t="s">
        <v>129</v>
      </c>
      <c r="N870" s="110" t="s">
        <v>130</v>
      </c>
      <c r="O870" s="110" t="s">
        <v>3632</v>
      </c>
      <c r="P870" s="110" t="s">
        <v>137</v>
      </c>
      <c r="Q870" s="110" t="s">
        <v>96</v>
      </c>
      <c r="R870" s="121">
        <v>2.3699999999999999E-2</v>
      </c>
      <c r="S870" s="113" t="e">
        <f t="shared" si="26"/>
        <v>#VALUE!</v>
      </c>
      <c r="T870" s="113">
        <f t="shared" si="27"/>
        <v>0</v>
      </c>
    </row>
    <row r="871" spans="1:20" s="109" customFormat="1" x14ac:dyDescent="0.2">
      <c r="A871" s="116"/>
      <c r="B871" s="111"/>
      <c r="C871" s="110" t="s">
        <v>3633</v>
      </c>
      <c r="D871" s="110" t="s">
        <v>3634</v>
      </c>
      <c r="E871" s="112" t="s">
        <v>3635</v>
      </c>
      <c r="F871" s="111" t="s">
        <v>126</v>
      </c>
      <c r="G871" s="133">
        <v>110</v>
      </c>
      <c r="H871" s="124"/>
      <c r="I871" s="133" t="str">
        <f>IF(H871&gt;0,(#REF!*H871),"-")</f>
        <v>-</v>
      </c>
      <c r="J871" s="113">
        <v>398</v>
      </c>
      <c r="K871" s="110" t="s">
        <v>389</v>
      </c>
      <c r="L871" s="110" t="s">
        <v>516</v>
      </c>
      <c r="M871" s="110" t="s">
        <v>129</v>
      </c>
      <c r="N871" s="110" t="s">
        <v>130</v>
      </c>
      <c r="O871" s="110" t="s">
        <v>3636</v>
      </c>
      <c r="P871" s="110" t="s">
        <v>137</v>
      </c>
      <c r="Q871" s="110" t="s">
        <v>96</v>
      </c>
      <c r="R871" s="121">
        <v>2.1899999999999999E-2</v>
      </c>
      <c r="S871" s="113" t="e">
        <f t="shared" si="26"/>
        <v>#VALUE!</v>
      </c>
      <c r="T871" s="113">
        <f t="shared" si="27"/>
        <v>0</v>
      </c>
    </row>
    <row r="872" spans="1:20" s="109" customFormat="1" x14ac:dyDescent="0.2">
      <c r="A872" s="116"/>
      <c r="B872" s="111"/>
      <c r="C872" s="110" t="s">
        <v>3637</v>
      </c>
      <c r="D872" s="110" t="s">
        <v>3638</v>
      </c>
      <c r="E872" s="112" t="s">
        <v>3639</v>
      </c>
      <c r="F872" s="111" t="s">
        <v>126</v>
      </c>
      <c r="G872" s="133">
        <v>140</v>
      </c>
      <c r="H872" s="124"/>
      <c r="I872" s="133" t="str">
        <f>IF(H872&gt;0,(#REF!*H872),"-")</f>
        <v>-</v>
      </c>
      <c r="J872" s="113">
        <v>1022</v>
      </c>
      <c r="K872" s="110" t="s">
        <v>389</v>
      </c>
      <c r="L872" s="110" t="s">
        <v>516</v>
      </c>
      <c r="M872" s="110" t="s">
        <v>129</v>
      </c>
      <c r="N872" s="110" t="s">
        <v>130</v>
      </c>
      <c r="O872" s="110" t="s">
        <v>3640</v>
      </c>
      <c r="P872" s="110" t="s">
        <v>137</v>
      </c>
      <c r="Q872" s="110" t="s">
        <v>97</v>
      </c>
      <c r="R872" s="121">
        <v>0.23200000000000001</v>
      </c>
      <c r="S872" s="113" t="e">
        <f t="shared" si="26"/>
        <v>#VALUE!</v>
      </c>
      <c r="T872" s="113">
        <f t="shared" si="27"/>
        <v>0</v>
      </c>
    </row>
    <row r="873" spans="1:20" s="109" customFormat="1" x14ac:dyDescent="0.2">
      <c r="A873" s="116"/>
      <c r="B873" s="111"/>
      <c r="C873" s="110" t="s">
        <v>3641</v>
      </c>
      <c r="D873" s="110" t="s">
        <v>3642</v>
      </c>
      <c r="E873" s="112" t="s">
        <v>3643</v>
      </c>
      <c r="F873" s="111" t="s">
        <v>126</v>
      </c>
      <c r="G873" s="133">
        <v>125</v>
      </c>
      <c r="H873" s="124"/>
      <c r="I873" s="133" t="str">
        <f>IF(H873&gt;0,(#REF!*H873),"-")</f>
        <v>-</v>
      </c>
      <c r="J873" s="113">
        <v>1443</v>
      </c>
      <c r="K873" s="110" t="s">
        <v>389</v>
      </c>
      <c r="L873" s="110" t="s">
        <v>516</v>
      </c>
      <c r="M873" s="110" t="s">
        <v>129</v>
      </c>
      <c r="N873" s="110" t="s">
        <v>130</v>
      </c>
      <c r="O873" s="110" t="s">
        <v>3644</v>
      </c>
      <c r="P873" s="110" t="s">
        <v>137</v>
      </c>
      <c r="Q873" s="110" t="s">
        <v>97</v>
      </c>
      <c r="R873" s="121">
        <v>0.2114</v>
      </c>
      <c r="S873" s="113" t="e">
        <f t="shared" si="26"/>
        <v>#VALUE!</v>
      </c>
      <c r="T873" s="113">
        <f t="shared" si="27"/>
        <v>0</v>
      </c>
    </row>
    <row r="874" spans="1:20" s="109" customFormat="1" x14ac:dyDescent="0.2">
      <c r="A874" s="116"/>
      <c r="B874" s="111"/>
      <c r="C874" s="110" t="s">
        <v>3645</v>
      </c>
      <c r="D874" s="110" t="s">
        <v>3646</v>
      </c>
      <c r="E874" s="112" t="s">
        <v>3647</v>
      </c>
      <c r="F874" s="111" t="s">
        <v>126</v>
      </c>
      <c r="G874" s="133">
        <v>405</v>
      </c>
      <c r="H874" s="124"/>
      <c r="I874" s="133" t="str">
        <f>IF(H874&gt;0,(#REF!*H874),"-")</f>
        <v>-</v>
      </c>
      <c r="J874" s="113">
        <v>3375</v>
      </c>
      <c r="K874" s="110" t="s">
        <v>389</v>
      </c>
      <c r="L874" s="110" t="s">
        <v>516</v>
      </c>
      <c r="M874" s="110" t="s">
        <v>129</v>
      </c>
      <c r="N874" s="110" t="s">
        <v>130</v>
      </c>
      <c r="O874" s="110" t="s">
        <v>3648</v>
      </c>
      <c r="P874" s="110" t="s">
        <v>137</v>
      </c>
      <c r="Q874" s="110" t="s">
        <v>96</v>
      </c>
      <c r="R874" s="121">
        <v>0.34899999999999998</v>
      </c>
      <c r="S874" s="113" t="e">
        <f t="shared" si="26"/>
        <v>#VALUE!</v>
      </c>
      <c r="T874" s="113">
        <f t="shared" si="27"/>
        <v>0</v>
      </c>
    </row>
    <row r="875" spans="1:20" s="109" customFormat="1" x14ac:dyDescent="0.2">
      <c r="A875" s="116"/>
      <c r="B875" s="111"/>
      <c r="C875" s="110" t="s">
        <v>3649</v>
      </c>
      <c r="D875" s="110" t="s">
        <v>3650</v>
      </c>
      <c r="E875" s="112" t="s">
        <v>3651</v>
      </c>
      <c r="F875" s="111" t="s">
        <v>126</v>
      </c>
      <c r="G875" s="133">
        <v>225</v>
      </c>
      <c r="H875" s="124"/>
      <c r="I875" s="133" t="str">
        <f>IF(H875&gt;0,(#REF!*H875),"-")</f>
        <v>-</v>
      </c>
      <c r="J875" s="113">
        <v>1522</v>
      </c>
      <c r="K875" s="110" t="s">
        <v>389</v>
      </c>
      <c r="L875" s="110" t="s">
        <v>516</v>
      </c>
      <c r="M875" s="110" t="s">
        <v>129</v>
      </c>
      <c r="N875" s="110" t="s">
        <v>130</v>
      </c>
      <c r="O875" s="110" t="s">
        <v>3652</v>
      </c>
      <c r="P875" s="110" t="s">
        <v>137</v>
      </c>
      <c r="Q875" s="110" t="s">
        <v>96</v>
      </c>
      <c r="R875" s="121">
        <v>0.17730000000000001</v>
      </c>
      <c r="S875" s="113" t="e">
        <f t="shared" si="26"/>
        <v>#VALUE!</v>
      </c>
      <c r="T875" s="113">
        <f t="shared" si="27"/>
        <v>0</v>
      </c>
    </row>
    <row r="876" spans="1:20" s="109" customFormat="1" x14ac:dyDescent="0.2">
      <c r="A876" s="116"/>
      <c r="B876" s="111" t="s">
        <v>289</v>
      </c>
      <c r="C876" s="110" t="s">
        <v>3653</v>
      </c>
      <c r="D876" s="110" t="s">
        <v>3654</v>
      </c>
      <c r="E876" s="112" t="s">
        <v>3655</v>
      </c>
      <c r="F876" s="111" t="s">
        <v>130</v>
      </c>
      <c r="G876" s="133">
        <v>100</v>
      </c>
      <c r="H876" s="124"/>
      <c r="I876" s="133" t="str">
        <f>IF(H876&gt;0,(#REF!*H876),"-")</f>
        <v>-</v>
      </c>
      <c r="J876" s="113">
        <v>756</v>
      </c>
      <c r="K876" s="110" t="s">
        <v>389</v>
      </c>
      <c r="L876" s="110" t="s">
        <v>516</v>
      </c>
      <c r="M876" s="110" t="s">
        <v>129</v>
      </c>
      <c r="N876" s="110" t="s">
        <v>130</v>
      </c>
      <c r="O876" s="110" t="s">
        <v>3656</v>
      </c>
      <c r="P876" s="110" t="s">
        <v>3628</v>
      </c>
      <c r="Q876" s="110" t="s">
        <v>96</v>
      </c>
      <c r="R876" s="121">
        <v>9.4200000000000006E-2</v>
      </c>
      <c r="S876" s="113" t="e">
        <f t="shared" si="26"/>
        <v>#VALUE!</v>
      </c>
      <c r="T876" s="113">
        <f t="shared" si="27"/>
        <v>0</v>
      </c>
    </row>
    <row r="877" spans="1:20" s="109" customFormat="1" x14ac:dyDescent="0.2">
      <c r="A877" s="116"/>
      <c r="B877" s="111"/>
      <c r="C877" s="110" t="s">
        <v>3657</v>
      </c>
      <c r="D877" s="110" t="s">
        <v>3658</v>
      </c>
      <c r="E877" s="112" t="s">
        <v>3659</v>
      </c>
      <c r="F877" s="111" t="s">
        <v>126</v>
      </c>
      <c r="G877" s="133">
        <v>155</v>
      </c>
      <c r="H877" s="124"/>
      <c r="I877" s="133" t="str">
        <f>IF(H877&gt;0,(#REF!*H877),"-")</f>
        <v>-</v>
      </c>
      <c r="J877" s="113">
        <v>895</v>
      </c>
      <c r="K877" s="110" t="s">
        <v>389</v>
      </c>
      <c r="L877" s="110" t="s">
        <v>516</v>
      </c>
      <c r="M877" s="110" t="s">
        <v>129</v>
      </c>
      <c r="N877" s="110" t="s">
        <v>130</v>
      </c>
      <c r="O877" s="110" t="s">
        <v>3660</v>
      </c>
      <c r="P877" s="110" t="s">
        <v>132</v>
      </c>
      <c r="Q877" s="110" t="s">
        <v>97</v>
      </c>
      <c r="R877" s="121">
        <v>0.70709999999999995</v>
      </c>
      <c r="S877" s="113" t="e">
        <f t="shared" si="26"/>
        <v>#VALUE!</v>
      </c>
      <c r="T877" s="113">
        <f t="shared" si="27"/>
        <v>0</v>
      </c>
    </row>
    <row r="878" spans="1:20" s="109" customFormat="1" x14ac:dyDescent="0.2">
      <c r="A878" s="116"/>
      <c r="B878" s="111"/>
      <c r="C878" s="110" t="s">
        <v>3661</v>
      </c>
      <c r="D878" s="110" t="s">
        <v>3662</v>
      </c>
      <c r="E878" s="112" t="s">
        <v>3663</v>
      </c>
      <c r="F878" s="111" t="s">
        <v>126</v>
      </c>
      <c r="G878" s="133">
        <v>110</v>
      </c>
      <c r="H878" s="124"/>
      <c r="I878" s="133" t="str">
        <f>IF(H878&gt;0,(#REF!*H878),"-")</f>
        <v>-</v>
      </c>
      <c r="J878" s="113">
        <v>398</v>
      </c>
      <c r="K878" s="110" t="s">
        <v>389</v>
      </c>
      <c r="L878" s="110" t="s">
        <v>516</v>
      </c>
      <c r="M878" s="110" t="s">
        <v>129</v>
      </c>
      <c r="N878" s="110" t="s">
        <v>130</v>
      </c>
      <c r="O878" s="110" t="s">
        <v>3664</v>
      </c>
      <c r="P878" s="110" t="s">
        <v>137</v>
      </c>
      <c r="Q878" s="110" t="s">
        <v>96</v>
      </c>
      <c r="R878" s="121">
        <v>2.24E-2</v>
      </c>
      <c r="S878" s="113" t="e">
        <f t="shared" si="26"/>
        <v>#VALUE!</v>
      </c>
      <c r="T878" s="113">
        <f t="shared" si="27"/>
        <v>0</v>
      </c>
    </row>
    <row r="879" spans="1:20" s="109" customFormat="1" x14ac:dyDescent="0.2">
      <c r="A879" s="116"/>
      <c r="B879" s="111"/>
      <c r="C879" s="110" t="s">
        <v>3665</v>
      </c>
      <c r="D879" s="110" t="s">
        <v>3666</v>
      </c>
      <c r="E879" s="112" t="s">
        <v>3667</v>
      </c>
      <c r="F879" s="111" t="s">
        <v>126</v>
      </c>
      <c r="G879" s="133">
        <v>110</v>
      </c>
      <c r="H879" s="124"/>
      <c r="I879" s="133" t="str">
        <f>IF(H879&gt;0,(#REF!*H879),"-")</f>
        <v>-</v>
      </c>
      <c r="J879" s="113">
        <v>398</v>
      </c>
      <c r="K879" s="110" t="s">
        <v>389</v>
      </c>
      <c r="L879" s="110" t="s">
        <v>516</v>
      </c>
      <c r="M879" s="110" t="s">
        <v>129</v>
      </c>
      <c r="N879" s="110" t="s">
        <v>130</v>
      </c>
      <c r="O879" s="110" t="s">
        <v>3668</v>
      </c>
      <c r="P879" s="110" t="s">
        <v>137</v>
      </c>
      <c r="Q879" s="110" t="s">
        <v>96</v>
      </c>
      <c r="R879" s="121">
        <v>2.7E-2</v>
      </c>
      <c r="S879" s="113" t="e">
        <f t="shared" si="26"/>
        <v>#VALUE!</v>
      </c>
      <c r="T879" s="113">
        <f t="shared" si="27"/>
        <v>0</v>
      </c>
    </row>
    <row r="880" spans="1:20" s="109" customFormat="1" x14ac:dyDescent="0.2">
      <c r="A880" s="116"/>
      <c r="B880" s="111" t="s">
        <v>202</v>
      </c>
      <c r="C880" s="110" t="s">
        <v>3669</v>
      </c>
      <c r="D880" s="110" t="s">
        <v>3670</v>
      </c>
      <c r="E880" s="112" t="s">
        <v>3671</v>
      </c>
      <c r="F880" s="111" t="s">
        <v>130</v>
      </c>
      <c r="G880" s="133">
        <v>185</v>
      </c>
      <c r="H880" s="124"/>
      <c r="I880" s="133" t="str">
        <f>IF(H880&gt;0,(#REF!*H880),"-")</f>
        <v>-</v>
      </c>
      <c r="J880" s="113">
        <v>1424</v>
      </c>
      <c r="K880" s="110" t="s">
        <v>389</v>
      </c>
      <c r="L880" s="110" t="s">
        <v>516</v>
      </c>
      <c r="M880" s="110" t="s">
        <v>129</v>
      </c>
      <c r="N880" s="110" t="s">
        <v>130</v>
      </c>
      <c r="O880" s="110" t="s">
        <v>3672</v>
      </c>
      <c r="P880" s="110" t="s">
        <v>137</v>
      </c>
      <c r="Q880" s="110" t="s">
        <v>96</v>
      </c>
      <c r="R880" s="121">
        <v>0.13800000000000001</v>
      </c>
      <c r="S880" s="113" t="e">
        <f t="shared" si="26"/>
        <v>#VALUE!</v>
      </c>
      <c r="T880" s="113">
        <f t="shared" si="27"/>
        <v>0</v>
      </c>
    </row>
    <row r="881" spans="1:20" s="109" customFormat="1" x14ac:dyDescent="0.2">
      <c r="A881" s="116"/>
      <c r="B881" s="111"/>
      <c r="C881" s="110" t="s">
        <v>3673</v>
      </c>
      <c r="D881" s="110" t="s">
        <v>3674</v>
      </c>
      <c r="E881" s="112" t="s">
        <v>3675</v>
      </c>
      <c r="F881" s="111" t="s">
        <v>126</v>
      </c>
      <c r="G881" s="133">
        <v>125</v>
      </c>
      <c r="H881" s="124"/>
      <c r="I881" s="133" t="str">
        <f>IF(H881&gt;0,(#REF!*H881),"-")</f>
        <v>-</v>
      </c>
      <c r="J881" s="113">
        <v>532</v>
      </c>
      <c r="K881" s="110" t="s">
        <v>389</v>
      </c>
      <c r="L881" s="110" t="s">
        <v>516</v>
      </c>
      <c r="M881" s="110" t="s">
        <v>129</v>
      </c>
      <c r="N881" s="110" t="s">
        <v>130</v>
      </c>
      <c r="O881" s="110" t="s">
        <v>3676</v>
      </c>
      <c r="P881" s="110" t="s">
        <v>137</v>
      </c>
      <c r="Q881" s="110" t="s">
        <v>96</v>
      </c>
      <c r="R881" s="121">
        <v>5.7200000000000001E-2</v>
      </c>
      <c r="S881" s="113" t="e">
        <f t="shared" si="26"/>
        <v>#VALUE!</v>
      </c>
      <c r="T881" s="113">
        <f t="shared" si="27"/>
        <v>0</v>
      </c>
    </row>
    <row r="882" spans="1:20" s="109" customFormat="1" x14ac:dyDescent="0.2">
      <c r="A882" s="116"/>
      <c r="B882" s="111" t="s">
        <v>202</v>
      </c>
      <c r="C882" s="110" t="s">
        <v>3677</v>
      </c>
      <c r="D882" s="110" t="s">
        <v>3678</v>
      </c>
      <c r="E882" s="112" t="s">
        <v>3679</v>
      </c>
      <c r="F882" s="111" t="s">
        <v>130</v>
      </c>
      <c r="G882" s="133">
        <v>215</v>
      </c>
      <c r="H882" s="124"/>
      <c r="I882" s="133" t="str">
        <f>IF(H882&gt;0,(#REF!*H882),"-")</f>
        <v>-</v>
      </c>
      <c r="J882" s="113">
        <v>1954</v>
      </c>
      <c r="K882" s="110" t="s">
        <v>389</v>
      </c>
      <c r="L882" s="110" t="s">
        <v>516</v>
      </c>
      <c r="M882" s="110" t="s">
        <v>129</v>
      </c>
      <c r="N882" s="110" t="s">
        <v>130</v>
      </c>
      <c r="O882" s="110" t="s">
        <v>3680</v>
      </c>
      <c r="P882" s="110" t="s">
        <v>137</v>
      </c>
      <c r="Q882" s="110" t="s">
        <v>96</v>
      </c>
      <c r="R882" s="121">
        <v>0.25650000000000001</v>
      </c>
      <c r="S882" s="113" t="e">
        <f t="shared" si="26"/>
        <v>#VALUE!</v>
      </c>
      <c r="T882" s="113">
        <f t="shared" si="27"/>
        <v>0</v>
      </c>
    </row>
    <row r="883" spans="1:20" s="109" customFormat="1" x14ac:dyDescent="0.2">
      <c r="A883" s="116"/>
      <c r="B883" s="111"/>
      <c r="C883" s="110" t="s">
        <v>3681</v>
      </c>
      <c r="D883" s="110" t="s">
        <v>3682</v>
      </c>
      <c r="E883" s="112" t="s">
        <v>3683</v>
      </c>
      <c r="F883" s="111" t="s">
        <v>126</v>
      </c>
      <c r="G883" s="133">
        <v>310</v>
      </c>
      <c r="H883" s="124"/>
      <c r="I883" s="133" t="str">
        <f>IF(H883&gt;0,(#REF!*H883),"-")</f>
        <v>-</v>
      </c>
      <c r="J883" s="113">
        <v>3609</v>
      </c>
      <c r="K883" s="110" t="s">
        <v>389</v>
      </c>
      <c r="L883" s="110" t="s">
        <v>516</v>
      </c>
      <c r="M883" s="110" t="s">
        <v>129</v>
      </c>
      <c r="N883" s="110" t="s">
        <v>130</v>
      </c>
      <c r="O883" s="110" t="s">
        <v>3684</v>
      </c>
      <c r="P883" s="110" t="s">
        <v>137</v>
      </c>
      <c r="Q883" s="110" t="s">
        <v>96</v>
      </c>
      <c r="R883" s="121">
        <v>0.3463</v>
      </c>
      <c r="S883" s="113" t="e">
        <f t="shared" si="26"/>
        <v>#VALUE!</v>
      </c>
      <c r="T883" s="113">
        <f t="shared" si="27"/>
        <v>0</v>
      </c>
    </row>
    <row r="884" spans="1:20" s="109" customFormat="1" x14ac:dyDescent="0.2">
      <c r="A884" s="116"/>
      <c r="B884" s="111"/>
      <c r="C884" s="110" t="s">
        <v>3685</v>
      </c>
      <c r="D884" s="110" t="s">
        <v>3686</v>
      </c>
      <c r="E884" s="112" t="s">
        <v>3687</v>
      </c>
      <c r="F884" s="111" t="s">
        <v>126</v>
      </c>
      <c r="G884" s="133">
        <v>215</v>
      </c>
      <c r="H884" s="124"/>
      <c r="I884" s="133" t="str">
        <f>IF(H884&gt;0,(#REF!*H884),"-")</f>
        <v>-</v>
      </c>
      <c r="J884" s="113">
        <v>1618</v>
      </c>
      <c r="K884" s="110" t="s">
        <v>389</v>
      </c>
      <c r="L884" s="110" t="s">
        <v>516</v>
      </c>
      <c r="M884" s="110" t="s">
        <v>129</v>
      </c>
      <c r="N884" s="110" t="s">
        <v>130</v>
      </c>
      <c r="O884" s="110" t="s">
        <v>3688</v>
      </c>
      <c r="P884" s="110" t="s">
        <v>137</v>
      </c>
      <c r="Q884" s="110" t="s">
        <v>96</v>
      </c>
      <c r="R884" s="121">
        <v>0.20200000000000001</v>
      </c>
      <c r="S884" s="113" t="e">
        <f t="shared" si="26"/>
        <v>#VALUE!</v>
      </c>
      <c r="T884" s="113">
        <f t="shared" si="27"/>
        <v>0</v>
      </c>
    </row>
    <row r="885" spans="1:20" s="109" customFormat="1" x14ac:dyDescent="0.2">
      <c r="A885" s="116"/>
      <c r="B885" s="111"/>
      <c r="C885" s="110" t="s">
        <v>3689</v>
      </c>
      <c r="D885" s="110" t="s">
        <v>3690</v>
      </c>
      <c r="E885" s="112" t="s">
        <v>3691</v>
      </c>
      <c r="F885" s="111" t="s">
        <v>126</v>
      </c>
      <c r="G885" s="133">
        <v>400</v>
      </c>
      <c r="H885" s="124"/>
      <c r="I885" s="133" t="str">
        <f>IF(H885&gt;0,(#REF!*H885),"-")</f>
        <v>-</v>
      </c>
      <c r="J885" s="113">
        <v>3766</v>
      </c>
      <c r="K885" s="110" t="s">
        <v>389</v>
      </c>
      <c r="L885" s="110" t="s">
        <v>516</v>
      </c>
      <c r="M885" s="110" t="s">
        <v>129</v>
      </c>
      <c r="N885" s="110" t="s">
        <v>130</v>
      </c>
      <c r="O885" s="110" t="s">
        <v>3692</v>
      </c>
      <c r="P885" s="110" t="s">
        <v>137</v>
      </c>
      <c r="Q885" s="110" t="s">
        <v>96</v>
      </c>
      <c r="R885" s="121">
        <v>0.34329999999999999</v>
      </c>
      <c r="S885" s="113" t="e">
        <f t="shared" si="26"/>
        <v>#VALUE!</v>
      </c>
      <c r="T885" s="113">
        <f t="shared" si="27"/>
        <v>0</v>
      </c>
    </row>
    <row r="886" spans="1:20" s="109" customFormat="1" x14ac:dyDescent="0.2">
      <c r="A886" s="116"/>
      <c r="B886" s="111"/>
      <c r="C886" s="110" t="s">
        <v>3693</v>
      </c>
      <c r="D886" s="110" t="s">
        <v>3694</v>
      </c>
      <c r="E886" s="112" t="s">
        <v>3695</v>
      </c>
      <c r="F886" s="111" t="s">
        <v>126</v>
      </c>
      <c r="G886" s="133">
        <v>185</v>
      </c>
      <c r="H886" s="124"/>
      <c r="I886" s="133" t="str">
        <f>IF(H886&gt;0,(#REF!*H886),"-")</f>
        <v>-</v>
      </c>
      <c r="J886" s="113">
        <v>1421</v>
      </c>
      <c r="K886" s="110" t="s">
        <v>389</v>
      </c>
      <c r="L886" s="110" t="s">
        <v>516</v>
      </c>
      <c r="M886" s="110" t="s">
        <v>129</v>
      </c>
      <c r="N886" s="110" t="s">
        <v>130</v>
      </c>
      <c r="O886" s="110" t="s">
        <v>3696</v>
      </c>
      <c r="P886" s="110" t="s">
        <v>137</v>
      </c>
      <c r="Q886" s="110" t="s">
        <v>96</v>
      </c>
      <c r="R886" s="121">
        <v>0.157</v>
      </c>
      <c r="S886" s="113" t="e">
        <f t="shared" si="26"/>
        <v>#VALUE!</v>
      </c>
      <c r="T886" s="113">
        <f t="shared" si="27"/>
        <v>0</v>
      </c>
    </row>
    <row r="887" spans="1:20" s="109" customFormat="1" x14ac:dyDescent="0.2">
      <c r="A887" s="116"/>
      <c r="B887" s="111"/>
      <c r="C887" s="110" t="s">
        <v>3697</v>
      </c>
      <c r="D887" s="110" t="s">
        <v>3698</v>
      </c>
      <c r="E887" s="112" t="s">
        <v>3699</v>
      </c>
      <c r="F887" s="111" t="s">
        <v>126</v>
      </c>
      <c r="G887" s="133">
        <v>185</v>
      </c>
      <c r="H887" s="124"/>
      <c r="I887" s="133" t="str">
        <f>IF(H887&gt;0,(#REF!*H887),"-")</f>
        <v>-</v>
      </c>
      <c r="J887" s="113">
        <v>1081</v>
      </c>
      <c r="K887" s="110" t="s">
        <v>389</v>
      </c>
      <c r="L887" s="110" t="s">
        <v>516</v>
      </c>
      <c r="M887" s="110" t="s">
        <v>129</v>
      </c>
      <c r="N887" s="110" t="s">
        <v>130</v>
      </c>
      <c r="O887" s="110" t="s">
        <v>3700</v>
      </c>
      <c r="P887" s="110" t="s">
        <v>137</v>
      </c>
      <c r="Q887" s="110" t="s">
        <v>96</v>
      </c>
      <c r="R887" s="121">
        <v>0.1295</v>
      </c>
      <c r="S887" s="113" t="e">
        <f t="shared" si="26"/>
        <v>#VALUE!</v>
      </c>
      <c r="T887" s="113">
        <f t="shared" si="27"/>
        <v>0</v>
      </c>
    </row>
    <row r="888" spans="1:20" s="109" customFormat="1" x14ac:dyDescent="0.2">
      <c r="A888" s="116"/>
      <c r="B888" s="111"/>
      <c r="C888" s="110" t="s">
        <v>3701</v>
      </c>
      <c r="D888" s="110" t="s">
        <v>3702</v>
      </c>
      <c r="E888" s="112" t="s">
        <v>3703</v>
      </c>
      <c r="F888" s="111" t="s">
        <v>126</v>
      </c>
      <c r="G888" s="133">
        <v>140</v>
      </c>
      <c r="H888" s="124"/>
      <c r="I888" s="133" t="str">
        <f>IF(H888&gt;0,(#REF!*H888),"-")</f>
        <v>-</v>
      </c>
      <c r="J888" s="113">
        <v>1647</v>
      </c>
      <c r="K888" s="110" t="s">
        <v>389</v>
      </c>
      <c r="L888" s="110" t="s">
        <v>516</v>
      </c>
      <c r="M888" s="110" t="s">
        <v>129</v>
      </c>
      <c r="N888" s="110" t="s">
        <v>130</v>
      </c>
      <c r="O888" s="110" t="s">
        <v>3704</v>
      </c>
      <c r="P888" s="110" t="s">
        <v>137</v>
      </c>
      <c r="Q888" s="110" t="s">
        <v>96</v>
      </c>
      <c r="R888" s="121">
        <v>0.18099999999999999</v>
      </c>
      <c r="S888" s="113" t="e">
        <f t="shared" si="26"/>
        <v>#VALUE!</v>
      </c>
      <c r="T888" s="113">
        <f t="shared" si="27"/>
        <v>0</v>
      </c>
    </row>
    <row r="889" spans="1:20" s="109" customFormat="1" x14ac:dyDescent="0.2">
      <c r="A889" s="116"/>
      <c r="B889" s="111"/>
      <c r="C889" s="110" t="s">
        <v>3705</v>
      </c>
      <c r="D889" s="110" t="s">
        <v>3706</v>
      </c>
      <c r="E889" s="112" t="s">
        <v>3707</v>
      </c>
      <c r="F889" s="111" t="s">
        <v>126</v>
      </c>
      <c r="G889" s="133">
        <v>185</v>
      </c>
      <c r="H889" s="124"/>
      <c r="I889" s="133" t="str">
        <f>IF(H889&gt;0,(#REF!*H889),"-")</f>
        <v>-</v>
      </c>
      <c r="J889" s="113">
        <v>4936</v>
      </c>
      <c r="K889" s="110" t="s">
        <v>389</v>
      </c>
      <c r="L889" s="110" t="s">
        <v>516</v>
      </c>
      <c r="M889" s="110" t="s">
        <v>129</v>
      </c>
      <c r="N889" s="110" t="s">
        <v>130</v>
      </c>
      <c r="O889" s="110" t="s">
        <v>3708</v>
      </c>
      <c r="P889" s="110" t="s">
        <v>137</v>
      </c>
      <c r="Q889" s="110" t="s">
        <v>97</v>
      </c>
      <c r="R889" s="121">
        <v>0.49930000000000002</v>
      </c>
      <c r="S889" s="113" t="e">
        <f t="shared" si="26"/>
        <v>#VALUE!</v>
      </c>
      <c r="T889" s="113">
        <f t="shared" si="27"/>
        <v>0</v>
      </c>
    </row>
    <row r="890" spans="1:20" s="109" customFormat="1" x14ac:dyDescent="0.2">
      <c r="A890" s="116"/>
      <c r="B890" s="111" t="s">
        <v>289</v>
      </c>
      <c r="C890" s="110" t="s">
        <v>3709</v>
      </c>
      <c r="D890" s="110" t="s">
        <v>3710</v>
      </c>
      <c r="E890" s="112" t="s">
        <v>3711</v>
      </c>
      <c r="F890" s="111" t="s">
        <v>130</v>
      </c>
      <c r="G890" s="133">
        <v>340</v>
      </c>
      <c r="H890" s="124"/>
      <c r="I890" s="133" t="str">
        <f>IF(H890&gt;0,(#REF!*H890),"-")</f>
        <v>-</v>
      </c>
      <c r="J890" s="113">
        <v>7088</v>
      </c>
      <c r="K890" s="110" t="s">
        <v>389</v>
      </c>
      <c r="L890" s="110" t="s">
        <v>390</v>
      </c>
      <c r="M890" s="110" t="s">
        <v>129</v>
      </c>
      <c r="N890" s="110" t="s">
        <v>130</v>
      </c>
      <c r="O890" s="110" t="s">
        <v>3712</v>
      </c>
      <c r="P890" s="110" t="s">
        <v>137</v>
      </c>
      <c r="Q890" s="110" t="s">
        <v>96</v>
      </c>
      <c r="R890" s="121">
        <v>0.83599999999999997</v>
      </c>
      <c r="S890" s="113" t="e">
        <f t="shared" si="26"/>
        <v>#VALUE!</v>
      </c>
      <c r="T890" s="113">
        <f t="shared" si="27"/>
        <v>0</v>
      </c>
    </row>
    <row r="891" spans="1:20" s="109" customFormat="1" x14ac:dyDescent="0.2">
      <c r="A891" s="116"/>
      <c r="B891" s="111" t="s">
        <v>202</v>
      </c>
      <c r="C891" s="110" t="s">
        <v>3713</v>
      </c>
      <c r="D891" s="110" t="s">
        <v>3714</v>
      </c>
      <c r="E891" s="112" t="s">
        <v>3715</v>
      </c>
      <c r="F891" s="111" t="s">
        <v>130</v>
      </c>
      <c r="G891" s="133">
        <v>140</v>
      </c>
      <c r="H891" s="124"/>
      <c r="I891" s="133" t="str">
        <f>IF(H891&gt;0,(#REF!*H891),"-")</f>
        <v>-</v>
      </c>
      <c r="J891" s="113">
        <v>2189</v>
      </c>
      <c r="K891" s="110" t="s">
        <v>389</v>
      </c>
      <c r="L891" s="110" t="s">
        <v>390</v>
      </c>
      <c r="M891" s="110" t="s">
        <v>129</v>
      </c>
      <c r="N891" s="110" t="s">
        <v>130</v>
      </c>
      <c r="O891" s="110" t="s">
        <v>3716</v>
      </c>
      <c r="P891" s="110" t="s">
        <v>137</v>
      </c>
      <c r="Q891" s="110" t="s">
        <v>96</v>
      </c>
      <c r="R891" s="121">
        <v>0.20300000000000001</v>
      </c>
      <c r="S891" s="113" t="e">
        <f t="shared" si="26"/>
        <v>#VALUE!</v>
      </c>
      <c r="T891" s="113">
        <f t="shared" si="27"/>
        <v>0</v>
      </c>
    </row>
    <row r="892" spans="1:20" s="109" customFormat="1" x14ac:dyDescent="0.2">
      <c r="A892" s="116"/>
      <c r="B892" s="111"/>
      <c r="C892" s="110" t="s">
        <v>3717</v>
      </c>
      <c r="D892" s="110" t="s">
        <v>3718</v>
      </c>
      <c r="E892" s="112" t="s">
        <v>3719</v>
      </c>
      <c r="F892" s="111" t="s">
        <v>126</v>
      </c>
      <c r="G892" s="133">
        <v>217</v>
      </c>
      <c r="H892" s="124"/>
      <c r="I892" s="133" t="str">
        <f>IF(H892&gt;0,(#REF!*H892),"-")</f>
        <v>-</v>
      </c>
      <c r="J892" s="113">
        <v>1860</v>
      </c>
      <c r="K892" s="110" t="s">
        <v>389</v>
      </c>
      <c r="L892" s="110" t="s">
        <v>390</v>
      </c>
      <c r="M892" s="110" t="s">
        <v>129</v>
      </c>
      <c r="N892" s="110" t="s">
        <v>130</v>
      </c>
      <c r="O892" s="110" t="s">
        <v>3720</v>
      </c>
      <c r="P892" s="110" t="s">
        <v>2102</v>
      </c>
      <c r="Q892" s="110" t="s">
        <v>96</v>
      </c>
      <c r="R892" s="121">
        <v>0.24299999999999999</v>
      </c>
      <c r="S892" s="113" t="e">
        <f t="shared" si="26"/>
        <v>#VALUE!</v>
      </c>
      <c r="T892" s="113">
        <f t="shared" si="27"/>
        <v>0</v>
      </c>
    </row>
    <row r="893" spans="1:20" s="109" customFormat="1" x14ac:dyDescent="0.2">
      <c r="A893" s="116"/>
      <c r="B893" s="111" t="s">
        <v>202</v>
      </c>
      <c r="C893" s="110" t="s">
        <v>3721</v>
      </c>
      <c r="D893" s="110" t="s">
        <v>3722</v>
      </c>
      <c r="E893" s="112" t="s">
        <v>3723</v>
      </c>
      <c r="F893" s="111" t="s">
        <v>130</v>
      </c>
      <c r="G893" s="133">
        <v>90</v>
      </c>
      <c r="H893" s="124"/>
      <c r="I893" s="133" t="str">
        <f>IF(H893&gt;0,(#REF!*H893),"-")</f>
        <v>-</v>
      </c>
      <c r="J893" s="113">
        <v>398</v>
      </c>
      <c r="K893" s="110" t="s">
        <v>389</v>
      </c>
      <c r="L893" s="110" t="s">
        <v>390</v>
      </c>
      <c r="M893" s="110" t="s">
        <v>129</v>
      </c>
      <c r="N893" s="110" t="s">
        <v>130</v>
      </c>
      <c r="O893" s="110" t="s">
        <v>3724</v>
      </c>
      <c r="P893" s="110" t="s">
        <v>137</v>
      </c>
      <c r="Q893" s="110" t="s">
        <v>96</v>
      </c>
      <c r="R893" s="121">
        <v>2.3599999999999999E-2</v>
      </c>
      <c r="S893" s="113" t="e">
        <f t="shared" si="26"/>
        <v>#VALUE!</v>
      </c>
      <c r="T893" s="113">
        <f t="shared" si="27"/>
        <v>0</v>
      </c>
    </row>
    <row r="894" spans="1:20" s="109" customFormat="1" x14ac:dyDescent="0.2">
      <c r="A894" s="116"/>
      <c r="B894" s="111" t="s">
        <v>202</v>
      </c>
      <c r="C894" s="110" t="s">
        <v>3725</v>
      </c>
      <c r="D894" s="110" t="s">
        <v>3726</v>
      </c>
      <c r="E894" s="112" t="s">
        <v>3727</v>
      </c>
      <c r="F894" s="111" t="s">
        <v>130</v>
      </c>
      <c r="G894" s="133">
        <v>370</v>
      </c>
      <c r="H894" s="124"/>
      <c r="I894" s="133" t="str">
        <f>IF(H894&gt;0,(#REF!*H894),"-")</f>
        <v>-</v>
      </c>
      <c r="J894" s="113">
        <v>4358</v>
      </c>
      <c r="K894" s="110" t="s">
        <v>389</v>
      </c>
      <c r="L894" s="110" t="s">
        <v>408</v>
      </c>
      <c r="M894" s="110" t="s">
        <v>129</v>
      </c>
      <c r="N894" s="110" t="s">
        <v>130</v>
      </c>
      <c r="O894" s="110" t="s">
        <v>3728</v>
      </c>
      <c r="P894" s="110" t="s">
        <v>137</v>
      </c>
      <c r="Q894" s="110" t="s">
        <v>96</v>
      </c>
      <c r="R894" s="121">
        <v>0.53800000000000003</v>
      </c>
      <c r="S894" s="113" t="e">
        <f t="shared" si="26"/>
        <v>#VALUE!</v>
      </c>
      <c r="T894" s="113">
        <f t="shared" si="27"/>
        <v>0</v>
      </c>
    </row>
    <row r="895" spans="1:20" s="109" customFormat="1" x14ac:dyDescent="0.2">
      <c r="A895" s="116"/>
      <c r="B895" s="111"/>
      <c r="C895" s="110" t="s">
        <v>3729</v>
      </c>
      <c r="D895" s="110" t="s">
        <v>3730</v>
      </c>
      <c r="E895" s="112" t="s">
        <v>3731</v>
      </c>
      <c r="F895" s="111" t="s">
        <v>126</v>
      </c>
      <c r="G895" s="133">
        <v>155</v>
      </c>
      <c r="H895" s="124"/>
      <c r="I895" s="133" t="str">
        <f>IF(H895&gt;0,(#REF!*H895),"-")</f>
        <v>-</v>
      </c>
      <c r="J895" s="113">
        <v>767</v>
      </c>
      <c r="K895" s="110" t="s">
        <v>389</v>
      </c>
      <c r="L895" s="110" t="s">
        <v>408</v>
      </c>
      <c r="M895" s="110" t="s">
        <v>129</v>
      </c>
      <c r="N895" s="110" t="s">
        <v>130</v>
      </c>
      <c r="O895" s="110" t="s">
        <v>3732</v>
      </c>
      <c r="P895" s="110" t="s">
        <v>132</v>
      </c>
      <c r="Q895" s="110" t="s">
        <v>97</v>
      </c>
      <c r="R895" s="121">
        <v>0.65400000000000003</v>
      </c>
      <c r="S895" s="113" t="e">
        <f t="shared" si="26"/>
        <v>#VALUE!</v>
      </c>
      <c r="T895" s="113">
        <f t="shared" si="27"/>
        <v>0</v>
      </c>
    </row>
    <row r="896" spans="1:20" s="109" customFormat="1" x14ac:dyDescent="0.2">
      <c r="A896" s="116"/>
      <c r="B896" s="111" t="s">
        <v>202</v>
      </c>
      <c r="C896" s="110" t="s">
        <v>3733</v>
      </c>
      <c r="D896" s="110" t="s">
        <v>3734</v>
      </c>
      <c r="E896" s="112" t="s">
        <v>3735</v>
      </c>
      <c r="F896" s="111" t="s">
        <v>130</v>
      </c>
      <c r="G896" s="133">
        <v>140</v>
      </c>
      <c r="H896" s="124"/>
      <c r="I896" s="133" t="str">
        <f>IF(H896&gt;0,(#REF!*H896),"-")</f>
        <v>-</v>
      </c>
      <c r="J896" s="113">
        <v>1522</v>
      </c>
      <c r="K896" s="110" t="s">
        <v>389</v>
      </c>
      <c r="L896" s="110" t="s">
        <v>408</v>
      </c>
      <c r="M896" s="110" t="s">
        <v>129</v>
      </c>
      <c r="N896" s="110" t="s">
        <v>130</v>
      </c>
      <c r="O896" s="110" t="s">
        <v>3736</v>
      </c>
      <c r="P896" s="110" t="s">
        <v>137</v>
      </c>
      <c r="Q896" s="110" t="s">
        <v>96</v>
      </c>
      <c r="R896" s="121">
        <v>0.158</v>
      </c>
      <c r="S896" s="113" t="e">
        <f t="shared" si="26"/>
        <v>#VALUE!</v>
      </c>
      <c r="T896" s="113">
        <f t="shared" si="27"/>
        <v>0</v>
      </c>
    </row>
    <row r="897" spans="1:20" s="109" customFormat="1" x14ac:dyDescent="0.2">
      <c r="A897" s="116"/>
      <c r="B897" s="111" t="s">
        <v>202</v>
      </c>
      <c r="C897" s="110" t="s">
        <v>3737</v>
      </c>
      <c r="D897" s="110" t="s">
        <v>3738</v>
      </c>
      <c r="E897" s="112" t="s">
        <v>3739</v>
      </c>
      <c r="F897" s="111" t="s">
        <v>130</v>
      </c>
      <c r="G897" s="133">
        <v>125</v>
      </c>
      <c r="H897" s="124"/>
      <c r="I897" s="133" t="str">
        <f>IF(H897&gt;0,(#REF!*H897),"-")</f>
        <v>-</v>
      </c>
      <c r="J897" s="113">
        <v>2614</v>
      </c>
      <c r="K897" s="110" t="s">
        <v>389</v>
      </c>
      <c r="L897" s="110" t="s">
        <v>408</v>
      </c>
      <c r="M897" s="110" t="s">
        <v>129</v>
      </c>
      <c r="N897" s="110" t="s">
        <v>130</v>
      </c>
      <c r="O897" s="110" t="s">
        <v>3740</v>
      </c>
      <c r="P897" s="110" t="s">
        <v>137</v>
      </c>
      <c r="Q897" s="110" t="s">
        <v>96</v>
      </c>
      <c r="R897" s="121">
        <v>5.5500000000000001E-2</v>
      </c>
      <c r="S897" s="113" t="e">
        <f t="shared" si="26"/>
        <v>#VALUE!</v>
      </c>
      <c r="T897" s="113">
        <f t="shared" si="27"/>
        <v>0</v>
      </c>
    </row>
    <row r="898" spans="1:20" s="109" customFormat="1" x14ac:dyDescent="0.2">
      <c r="A898" s="116"/>
      <c r="B898" s="111"/>
      <c r="C898" s="110" t="s">
        <v>3741</v>
      </c>
      <c r="D898" s="110" t="s">
        <v>3742</v>
      </c>
      <c r="E898" s="112" t="s">
        <v>3743</v>
      </c>
      <c r="F898" s="111" t="s">
        <v>126</v>
      </c>
      <c r="G898" s="133">
        <v>185</v>
      </c>
      <c r="H898" s="124"/>
      <c r="I898" s="133" t="str">
        <f>IF(H898&gt;0,(#REF!*H898),"-")</f>
        <v>-</v>
      </c>
      <c r="J898" s="113">
        <v>2862</v>
      </c>
      <c r="K898" s="110" t="s">
        <v>389</v>
      </c>
      <c r="L898" s="110" t="s">
        <v>408</v>
      </c>
      <c r="M898" s="110" t="s">
        <v>129</v>
      </c>
      <c r="N898" s="110" t="s">
        <v>130</v>
      </c>
      <c r="O898" s="110" t="s">
        <v>3744</v>
      </c>
      <c r="P898" s="110" t="s">
        <v>137</v>
      </c>
      <c r="Q898" s="110" t="s">
        <v>96</v>
      </c>
      <c r="R898" s="121">
        <v>0.34599999999999997</v>
      </c>
      <c r="S898" s="113" t="e">
        <f t="shared" ref="S898:S961" si="28">Q898*H898</f>
        <v>#VALUE!</v>
      </c>
      <c r="T898" s="113">
        <f t="shared" ref="T898:T961" si="29">R898*H898</f>
        <v>0</v>
      </c>
    </row>
    <row r="899" spans="1:20" s="109" customFormat="1" x14ac:dyDescent="0.2">
      <c r="A899" s="116"/>
      <c r="B899" s="111"/>
      <c r="C899" s="110" t="s">
        <v>3745</v>
      </c>
      <c r="D899" s="110" t="s">
        <v>3746</v>
      </c>
      <c r="E899" s="112" t="s">
        <v>3747</v>
      </c>
      <c r="F899" s="111" t="s">
        <v>126</v>
      </c>
      <c r="G899" s="133">
        <v>185</v>
      </c>
      <c r="H899" s="124"/>
      <c r="I899" s="133" t="str">
        <f>IF(H899&gt;0,(#REF!*H899),"-")</f>
        <v>-</v>
      </c>
      <c r="J899" s="113">
        <v>2862</v>
      </c>
      <c r="K899" s="110" t="s">
        <v>389</v>
      </c>
      <c r="L899" s="110" t="s">
        <v>408</v>
      </c>
      <c r="M899" s="110" t="s">
        <v>129</v>
      </c>
      <c r="N899" s="110" t="s">
        <v>130</v>
      </c>
      <c r="O899" s="110" t="s">
        <v>3748</v>
      </c>
      <c r="P899" s="110" t="s">
        <v>137</v>
      </c>
      <c r="Q899" s="110" t="s">
        <v>96</v>
      </c>
      <c r="R899" s="121">
        <v>0.32800000000000001</v>
      </c>
      <c r="S899" s="113" t="e">
        <f t="shared" si="28"/>
        <v>#VALUE!</v>
      </c>
      <c r="T899" s="113">
        <f t="shared" si="29"/>
        <v>0</v>
      </c>
    </row>
    <row r="900" spans="1:20" s="109" customFormat="1" x14ac:dyDescent="0.2">
      <c r="A900" s="116"/>
      <c r="B900" s="111"/>
      <c r="C900" s="110" t="s">
        <v>3749</v>
      </c>
      <c r="D900" s="110" t="s">
        <v>3750</v>
      </c>
      <c r="E900" s="112" t="s">
        <v>3751</v>
      </c>
      <c r="F900" s="111" t="s">
        <v>126</v>
      </c>
      <c r="G900" s="133">
        <v>200</v>
      </c>
      <c r="H900" s="124"/>
      <c r="I900" s="133" t="str">
        <f>IF(H900&gt;0,(#REF!*H900),"-")</f>
        <v>-</v>
      </c>
      <c r="J900" s="113">
        <v>2189</v>
      </c>
      <c r="K900" s="110" t="s">
        <v>389</v>
      </c>
      <c r="L900" s="110" t="s">
        <v>408</v>
      </c>
      <c r="M900" s="110" t="s">
        <v>129</v>
      </c>
      <c r="N900" s="110" t="s">
        <v>130</v>
      </c>
      <c r="O900" s="110" t="s">
        <v>3752</v>
      </c>
      <c r="P900" s="110" t="s">
        <v>137</v>
      </c>
      <c r="Q900" s="110" t="s">
        <v>96</v>
      </c>
      <c r="R900" s="121">
        <v>0.318</v>
      </c>
      <c r="S900" s="113" t="e">
        <f t="shared" si="28"/>
        <v>#VALUE!</v>
      </c>
      <c r="T900" s="113">
        <f t="shared" si="29"/>
        <v>0</v>
      </c>
    </row>
    <row r="901" spans="1:20" s="109" customFormat="1" x14ac:dyDescent="0.2">
      <c r="A901" s="116"/>
      <c r="B901" s="111" t="s">
        <v>202</v>
      </c>
      <c r="C901" s="110" t="s">
        <v>3753</v>
      </c>
      <c r="D901" s="110" t="s">
        <v>3754</v>
      </c>
      <c r="E901" s="112" t="s">
        <v>3755</v>
      </c>
      <c r="F901" s="111" t="s">
        <v>130</v>
      </c>
      <c r="G901" s="133">
        <v>155</v>
      </c>
      <c r="H901" s="124"/>
      <c r="I901" s="133" t="str">
        <f>IF(H901&gt;0,(#REF!*H901),"-")</f>
        <v>-</v>
      </c>
      <c r="J901" s="113">
        <v>1046</v>
      </c>
      <c r="K901" s="110" t="s">
        <v>389</v>
      </c>
      <c r="L901" s="110" t="s">
        <v>408</v>
      </c>
      <c r="M901" s="110" t="s">
        <v>129</v>
      </c>
      <c r="N901" s="110" t="s">
        <v>130</v>
      </c>
      <c r="O901" s="110" t="s">
        <v>3756</v>
      </c>
      <c r="P901" s="110" t="s">
        <v>137</v>
      </c>
      <c r="Q901" s="110" t="s">
        <v>96</v>
      </c>
      <c r="R901" s="121">
        <v>0.11</v>
      </c>
      <c r="S901" s="113" t="e">
        <f t="shared" si="28"/>
        <v>#VALUE!</v>
      </c>
      <c r="T901" s="113">
        <f t="shared" si="29"/>
        <v>0</v>
      </c>
    </row>
    <row r="902" spans="1:20" s="109" customFormat="1" x14ac:dyDescent="0.2">
      <c r="A902" s="116"/>
      <c r="B902" s="111"/>
      <c r="C902" s="110" t="s">
        <v>3757</v>
      </c>
      <c r="D902" s="110" t="s">
        <v>3758</v>
      </c>
      <c r="E902" s="112" t="s">
        <v>3759</v>
      </c>
      <c r="F902" s="111" t="s">
        <v>126</v>
      </c>
      <c r="G902" s="133">
        <v>400</v>
      </c>
      <c r="H902" s="124"/>
      <c r="I902" s="133" t="str">
        <f>IF(H902&gt;0,(#REF!*H902),"-")</f>
        <v>-</v>
      </c>
      <c r="J902" s="113">
        <v>5063</v>
      </c>
      <c r="K902" s="110" t="s">
        <v>389</v>
      </c>
      <c r="L902" s="110" t="s">
        <v>408</v>
      </c>
      <c r="M902" s="110" t="s">
        <v>129</v>
      </c>
      <c r="N902" s="110" t="s">
        <v>130</v>
      </c>
      <c r="O902" s="110" t="s">
        <v>3760</v>
      </c>
      <c r="P902" s="110" t="s">
        <v>137</v>
      </c>
      <c r="Q902" s="110" t="s">
        <v>96</v>
      </c>
      <c r="R902" s="121">
        <v>0.56899999999999995</v>
      </c>
      <c r="S902" s="113" t="e">
        <f t="shared" si="28"/>
        <v>#VALUE!</v>
      </c>
      <c r="T902" s="113">
        <f t="shared" si="29"/>
        <v>0</v>
      </c>
    </row>
    <row r="903" spans="1:20" s="109" customFormat="1" x14ac:dyDescent="0.2">
      <c r="A903" s="116"/>
      <c r="B903" s="111" t="s">
        <v>207</v>
      </c>
      <c r="C903" s="110" t="s">
        <v>3761</v>
      </c>
      <c r="D903" s="110" t="s">
        <v>3762</v>
      </c>
      <c r="E903" s="112" t="s">
        <v>3763</v>
      </c>
      <c r="F903" s="111" t="s">
        <v>130</v>
      </c>
      <c r="G903" s="133">
        <v>150</v>
      </c>
      <c r="H903" s="124"/>
      <c r="I903" s="133" t="str">
        <f>IF(H903&gt;0,(#REF!*H903),"-")</f>
        <v>-</v>
      </c>
      <c r="J903" s="113">
        <v>540</v>
      </c>
      <c r="K903" s="110" t="s">
        <v>389</v>
      </c>
      <c r="L903" s="110" t="s">
        <v>408</v>
      </c>
      <c r="M903" s="110" t="s">
        <v>129</v>
      </c>
      <c r="N903" s="110" t="s">
        <v>130</v>
      </c>
      <c r="O903" s="110" t="s">
        <v>3764</v>
      </c>
      <c r="P903" s="110" t="s">
        <v>137</v>
      </c>
      <c r="Q903" s="110" t="s">
        <v>96</v>
      </c>
      <c r="R903" s="121">
        <v>4.1000000000000002E-2</v>
      </c>
      <c r="S903" s="113" t="e">
        <f t="shared" si="28"/>
        <v>#VALUE!</v>
      </c>
      <c r="T903" s="113">
        <f t="shared" si="29"/>
        <v>0</v>
      </c>
    </row>
    <row r="904" spans="1:20" s="109" customFormat="1" x14ac:dyDescent="0.2">
      <c r="A904" s="116"/>
      <c r="B904" s="111" t="s">
        <v>207</v>
      </c>
      <c r="C904" s="110" t="s">
        <v>3765</v>
      </c>
      <c r="D904" s="110" t="s">
        <v>3766</v>
      </c>
      <c r="E904" s="112" t="s">
        <v>3767</v>
      </c>
      <c r="F904" s="111" t="s">
        <v>130</v>
      </c>
      <c r="G904" s="133">
        <v>125</v>
      </c>
      <c r="H904" s="124"/>
      <c r="I904" s="133" t="str">
        <f>IF(H904&gt;0,(#REF!*H904),"-")</f>
        <v>-</v>
      </c>
      <c r="J904" s="113">
        <v>540</v>
      </c>
      <c r="K904" s="110" t="s">
        <v>389</v>
      </c>
      <c r="L904" s="110" t="s">
        <v>408</v>
      </c>
      <c r="M904" s="110" t="s">
        <v>129</v>
      </c>
      <c r="N904" s="110" t="s">
        <v>130</v>
      </c>
      <c r="O904" s="110" t="s">
        <v>3768</v>
      </c>
      <c r="P904" s="110" t="s">
        <v>137</v>
      </c>
      <c r="Q904" s="110" t="s">
        <v>96</v>
      </c>
      <c r="R904" s="121">
        <v>3.4099999999999998E-2</v>
      </c>
      <c r="S904" s="113" t="e">
        <f t="shared" si="28"/>
        <v>#VALUE!</v>
      </c>
      <c r="T904" s="113">
        <f t="shared" si="29"/>
        <v>0</v>
      </c>
    </row>
    <row r="905" spans="1:20" s="109" customFormat="1" x14ac:dyDescent="0.2">
      <c r="A905" s="116"/>
      <c r="B905" s="111" t="s">
        <v>202</v>
      </c>
      <c r="C905" s="110" t="s">
        <v>3769</v>
      </c>
      <c r="D905" s="110" t="s">
        <v>3770</v>
      </c>
      <c r="E905" s="112" t="s">
        <v>3771</v>
      </c>
      <c r="F905" s="111" t="s">
        <v>130</v>
      </c>
      <c r="G905" s="133">
        <v>185</v>
      </c>
      <c r="H905" s="124"/>
      <c r="I905" s="133" t="str">
        <f>IF(H905&gt;0,(#REF!*H905),"-")</f>
        <v>-</v>
      </c>
      <c r="J905" s="113">
        <v>1522</v>
      </c>
      <c r="K905" s="110" t="s">
        <v>389</v>
      </c>
      <c r="L905" s="110" t="s">
        <v>408</v>
      </c>
      <c r="M905" s="110" t="s">
        <v>129</v>
      </c>
      <c r="N905" s="110" t="s">
        <v>130</v>
      </c>
      <c r="O905" s="110" t="s">
        <v>3772</v>
      </c>
      <c r="P905" s="110" t="s">
        <v>137</v>
      </c>
      <c r="Q905" s="110" t="s">
        <v>96</v>
      </c>
      <c r="R905" s="121">
        <v>0.20100000000000001</v>
      </c>
      <c r="S905" s="113" t="e">
        <f t="shared" si="28"/>
        <v>#VALUE!</v>
      </c>
      <c r="T905" s="113">
        <f t="shared" si="29"/>
        <v>0</v>
      </c>
    </row>
    <row r="906" spans="1:20" s="109" customFormat="1" x14ac:dyDescent="0.2">
      <c r="A906" s="116"/>
      <c r="B906" s="111" t="s">
        <v>289</v>
      </c>
      <c r="C906" s="110" t="s">
        <v>3773</v>
      </c>
      <c r="D906" s="110" t="s">
        <v>3774</v>
      </c>
      <c r="E906" s="112" t="s">
        <v>3775</v>
      </c>
      <c r="F906" s="111" t="s">
        <v>130</v>
      </c>
      <c r="G906" s="133">
        <v>215</v>
      </c>
      <c r="H906" s="124"/>
      <c r="I906" s="133" t="str">
        <f>IF(H906&gt;0,(#REF!*H906),"-")</f>
        <v>-</v>
      </c>
      <c r="J906" s="113">
        <v>1860</v>
      </c>
      <c r="K906" s="110" t="s">
        <v>389</v>
      </c>
      <c r="L906" s="110" t="s">
        <v>408</v>
      </c>
      <c r="M906" s="110" t="s">
        <v>129</v>
      </c>
      <c r="N906" s="110" t="s">
        <v>130</v>
      </c>
      <c r="O906" s="110" t="s">
        <v>3776</v>
      </c>
      <c r="P906" s="110" t="s">
        <v>137</v>
      </c>
      <c r="Q906" s="110" t="s">
        <v>96</v>
      </c>
      <c r="R906" s="121">
        <v>0.2117</v>
      </c>
      <c r="S906" s="113" t="e">
        <f t="shared" si="28"/>
        <v>#VALUE!</v>
      </c>
      <c r="T906" s="113">
        <f t="shared" si="29"/>
        <v>0</v>
      </c>
    </row>
    <row r="907" spans="1:20" s="109" customFormat="1" x14ac:dyDescent="0.2">
      <c r="A907" s="116"/>
      <c r="B907" s="111"/>
      <c r="C907" s="110" t="s">
        <v>3777</v>
      </c>
      <c r="D907" s="110" t="s">
        <v>3778</v>
      </c>
      <c r="E907" s="112" t="s">
        <v>3779</v>
      </c>
      <c r="F907" s="111" t="s">
        <v>126</v>
      </c>
      <c r="G907" s="133">
        <v>215</v>
      </c>
      <c r="H907" s="124"/>
      <c r="I907" s="133" t="str">
        <f>IF(H907&gt;0,(#REF!*H907),"-")</f>
        <v>-</v>
      </c>
      <c r="J907" s="113">
        <v>5063</v>
      </c>
      <c r="K907" s="110" t="s">
        <v>389</v>
      </c>
      <c r="L907" s="110" t="s">
        <v>408</v>
      </c>
      <c r="M907" s="110" t="s">
        <v>129</v>
      </c>
      <c r="N907" s="110" t="s">
        <v>130</v>
      </c>
      <c r="O907" s="110" t="s">
        <v>3780</v>
      </c>
      <c r="P907" s="110" t="s">
        <v>137</v>
      </c>
      <c r="Q907" s="110" t="s">
        <v>97</v>
      </c>
      <c r="R907" s="121">
        <v>0.52400000000000002</v>
      </c>
      <c r="S907" s="113" t="e">
        <f t="shared" si="28"/>
        <v>#VALUE!</v>
      </c>
      <c r="T907" s="113">
        <f t="shared" si="29"/>
        <v>0</v>
      </c>
    </row>
    <row r="908" spans="1:20" s="109" customFormat="1" x14ac:dyDescent="0.2">
      <c r="A908" s="116"/>
      <c r="B908" s="111"/>
      <c r="C908" s="110" t="s">
        <v>3781</v>
      </c>
      <c r="D908" s="110" t="s">
        <v>3782</v>
      </c>
      <c r="E908" s="112" t="s">
        <v>3783</v>
      </c>
      <c r="F908" s="111" t="s">
        <v>126</v>
      </c>
      <c r="G908" s="133">
        <v>155</v>
      </c>
      <c r="H908" s="124"/>
      <c r="I908" s="133" t="str">
        <f>IF(H908&gt;0,(#REF!*H908),"-")</f>
        <v>-</v>
      </c>
      <c r="J908" s="113">
        <v>504</v>
      </c>
      <c r="K908" s="110" t="s">
        <v>389</v>
      </c>
      <c r="L908" s="110" t="s">
        <v>408</v>
      </c>
      <c r="M908" s="110" t="s">
        <v>129</v>
      </c>
      <c r="N908" s="110" t="s">
        <v>130</v>
      </c>
      <c r="O908" s="110" t="s">
        <v>3784</v>
      </c>
      <c r="P908" s="110" t="s">
        <v>137</v>
      </c>
      <c r="Q908" s="110" t="s">
        <v>96</v>
      </c>
      <c r="R908" s="121">
        <v>6.3E-2</v>
      </c>
      <c r="S908" s="113" t="e">
        <f t="shared" si="28"/>
        <v>#VALUE!</v>
      </c>
      <c r="T908" s="113">
        <f t="shared" si="29"/>
        <v>0</v>
      </c>
    </row>
    <row r="909" spans="1:20" s="109" customFormat="1" x14ac:dyDescent="0.2">
      <c r="A909" s="116"/>
      <c r="B909" s="111"/>
      <c r="C909" s="110" t="s">
        <v>3785</v>
      </c>
      <c r="D909" s="110" t="s">
        <v>3786</v>
      </c>
      <c r="E909" s="112" t="s">
        <v>3787</v>
      </c>
      <c r="F909" s="111" t="s">
        <v>126</v>
      </c>
      <c r="G909" s="133">
        <v>125</v>
      </c>
      <c r="H909" s="124"/>
      <c r="I909" s="133" t="str">
        <f>IF(H909&gt;0,(#REF!*H909),"-")</f>
        <v>-</v>
      </c>
      <c r="J909" s="113">
        <v>1604</v>
      </c>
      <c r="K909" s="110" t="s">
        <v>389</v>
      </c>
      <c r="L909" s="110" t="s">
        <v>408</v>
      </c>
      <c r="M909" s="110" t="s">
        <v>129</v>
      </c>
      <c r="N909" s="110" t="s">
        <v>130</v>
      </c>
      <c r="O909" s="110" t="s">
        <v>3788</v>
      </c>
      <c r="P909" s="110" t="s">
        <v>137</v>
      </c>
      <c r="Q909" s="110" t="s">
        <v>97</v>
      </c>
      <c r="R909" s="121">
        <v>0.19600000000000001</v>
      </c>
      <c r="S909" s="113" t="e">
        <f t="shared" si="28"/>
        <v>#VALUE!</v>
      </c>
      <c r="T909" s="113">
        <f t="shared" si="29"/>
        <v>0</v>
      </c>
    </row>
    <row r="910" spans="1:20" s="109" customFormat="1" x14ac:dyDescent="0.2">
      <c r="A910" s="116"/>
      <c r="B910" s="111" t="s">
        <v>202</v>
      </c>
      <c r="C910" s="110" t="s">
        <v>3789</v>
      </c>
      <c r="D910" s="110" t="s">
        <v>3790</v>
      </c>
      <c r="E910" s="112" t="s">
        <v>3791</v>
      </c>
      <c r="F910" s="111" t="s">
        <v>130</v>
      </c>
      <c r="G910" s="133">
        <v>185</v>
      </c>
      <c r="H910" s="124"/>
      <c r="I910" s="133" t="str">
        <f>IF(H910&gt;0,(#REF!*H910),"-")</f>
        <v>-</v>
      </c>
      <c r="J910" s="113">
        <v>1522</v>
      </c>
      <c r="K910" s="110" t="s">
        <v>389</v>
      </c>
      <c r="L910" s="110" t="s">
        <v>408</v>
      </c>
      <c r="M910" s="110" t="s">
        <v>129</v>
      </c>
      <c r="N910" s="110" t="s">
        <v>130</v>
      </c>
      <c r="O910" s="110" t="s">
        <v>3792</v>
      </c>
      <c r="P910" s="110" t="s">
        <v>137</v>
      </c>
      <c r="Q910" s="110" t="s">
        <v>96</v>
      </c>
      <c r="R910" s="121">
        <v>0.222</v>
      </c>
      <c r="S910" s="113" t="e">
        <f t="shared" si="28"/>
        <v>#VALUE!</v>
      </c>
      <c r="T910" s="113">
        <f t="shared" si="29"/>
        <v>0</v>
      </c>
    </row>
    <row r="911" spans="1:20" s="109" customFormat="1" x14ac:dyDescent="0.2">
      <c r="A911" s="116"/>
      <c r="B911" s="111"/>
      <c r="C911" s="110" t="s">
        <v>3793</v>
      </c>
      <c r="D911" s="110" t="s">
        <v>3794</v>
      </c>
      <c r="E911" s="112" t="s">
        <v>3795</v>
      </c>
      <c r="F911" s="111" t="s">
        <v>126</v>
      </c>
      <c r="G911" s="133">
        <v>125</v>
      </c>
      <c r="H911" s="124"/>
      <c r="I911" s="133" t="str">
        <f>IF(H911&gt;0,(#REF!*H911),"-")</f>
        <v>-</v>
      </c>
      <c r="J911" s="113">
        <v>504</v>
      </c>
      <c r="K911" s="110" t="s">
        <v>389</v>
      </c>
      <c r="L911" s="110" t="s">
        <v>408</v>
      </c>
      <c r="M911" s="110" t="s">
        <v>129</v>
      </c>
      <c r="N911" s="110" t="s">
        <v>130</v>
      </c>
      <c r="O911" s="110" t="s">
        <v>3796</v>
      </c>
      <c r="P911" s="110" t="s">
        <v>137</v>
      </c>
      <c r="Q911" s="110" t="s">
        <v>96</v>
      </c>
      <c r="R911" s="121">
        <v>5.4800000000000001E-2</v>
      </c>
      <c r="S911" s="113" t="e">
        <f t="shared" si="28"/>
        <v>#VALUE!</v>
      </c>
      <c r="T911" s="113">
        <f t="shared" si="29"/>
        <v>0</v>
      </c>
    </row>
    <row r="912" spans="1:20" s="109" customFormat="1" x14ac:dyDescent="0.2">
      <c r="A912" s="116"/>
      <c r="B912" s="111"/>
      <c r="C912" s="110" t="s">
        <v>3797</v>
      </c>
      <c r="D912" s="110" t="s">
        <v>3798</v>
      </c>
      <c r="E912" s="112" t="s">
        <v>3799</v>
      </c>
      <c r="F912" s="111" t="s">
        <v>126</v>
      </c>
      <c r="G912" s="133">
        <v>310</v>
      </c>
      <c r="H912" s="124"/>
      <c r="I912" s="133" t="str">
        <f>IF(H912&gt;0,(#REF!*H912),"-")</f>
        <v>-</v>
      </c>
      <c r="J912" s="113">
        <v>2363</v>
      </c>
      <c r="K912" s="110" t="s">
        <v>389</v>
      </c>
      <c r="L912" s="110" t="s">
        <v>408</v>
      </c>
      <c r="M912" s="110" t="s">
        <v>129</v>
      </c>
      <c r="N912" s="110" t="s">
        <v>130</v>
      </c>
      <c r="O912" s="110" t="s">
        <v>3800</v>
      </c>
      <c r="P912" s="110" t="s">
        <v>137</v>
      </c>
      <c r="Q912" s="110" t="s">
        <v>96</v>
      </c>
      <c r="R912" s="121">
        <v>0.29799999999999999</v>
      </c>
      <c r="S912" s="113" t="e">
        <f t="shared" si="28"/>
        <v>#VALUE!</v>
      </c>
      <c r="T912" s="113">
        <f t="shared" si="29"/>
        <v>0</v>
      </c>
    </row>
    <row r="913" spans="1:20" s="109" customFormat="1" x14ac:dyDescent="0.2">
      <c r="A913" s="116"/>
      <c r="B913" s="111" t="s">
        <v>202</v>
      </c>
      <c r="C913" s="110" t="s">
        <v>3801</v>
      </c>
      <c r="D913" s="110" t="s">
        <v>3802</v>
      </c>
      <c r="E913" s="112" t="s">
        <v>3803</v>
      </c>
      <c r="F913" s="111" t="s">
        <v>130</v>
      </c>
      <c r="G913" s="133">
        <v>170</v>
      </c>
      <c r="H913" s="124"/>
      <c r="I913" s="133" t="str">
        <f>IF(H913&gt;0,(#REF!*H913),"-")</f>
        <v>-</v>
      </c>
      <c r="J913" s="113">
        <v>1046</v>
      </c>
      <c r="K913" s="110" t="s">
        <v>389</v>
      </c>
      <c r="L913" s="110" t="s">
        <v>408</v>
      </c>
      <c r="M913" s="110" t="s">
        <v>129</v>
      </c>
      <c r="N913" s="110" t="s">
        <v>130</v>
      </c>
      <c r="O913" s="110" t="s">
        <v>3804</v>
      </c>
      <c r="P913" s="110" t="s">
        <v>137</v>
      </c>
      <c r="Q913" s="110" t="s">
        <v>96</v>
      </c>
      <c r="R913" s="121">
        <v>0.1313</v>
      </c>
      <c r="S913" s="113" t="e">
        <f t="shared" si="28"/>
        <v>#VALUE!</v>
      </c>
      <c r="T913" s="113">
        <f t="shared" si="29"/>
        <v>0</v>
      </c>
    </row>
    <row r="914" spans="1:20" s="109" customFormat="1" x14ac:dyDescent="0.2">
      <c r="A914" s="116"/>
      <c r="B914" s="111"/>
      <c r="C914" s="110" t="s">
        <v>3805</v>
      </c>
      <c r="D914" s="110" t="s">
        <v>3806</v>
      </c>
      <c r="E914" s="112" t="s">
        <v>3807</v>
      </c>
      <c r="F914" s="111" t="s">
        <v>126</v>
      </c>
      <c r="G914" s="133">
        <v>250</v>
      </c>
      <c r="H914" s="124"/>
      <c r="I914" s="133" t="str">
        <f>IF(H914&gt;0,(#REF!*H914),"-")</f>
        <v>-</v>
      </c>
      <c r="J914" s="113">
        <v>1522</v>
      </c>
      <c r="K914" s="110" t="s">
        <v>389</v>
      </c>
      <c r="L914" s="110" t="s">
        <v>408</v>
      </c>
      <c r="M914" s="110" t="s">
        <v>129</v>
      </c>
      <c r="N914" s="110" t="s">
        <v>130</v>
      </c>
      <c r="O914" s="110" t="s">
        <v>3808</v>
      </c>
      <c r="P914" s="110" t="s">
        <v>137</v>
      </c>
      <c r="Q914" s="110" t="s">
        <v>96</v>
      </c>
      <c r="R914" s="121">
        <v>0.17499999999999999</v>
      </c>
      <c r="S914" s="113" t="e">
        <f t="shared" si="28"/>
        <v>#VALUE!</v>
      </c>
      <c r="T914" s="113">
        <f t="shared" si="29"/>
        <v>0</v>
      </c>
    </row>
    <row r="915" spans="1:20" s="109" customFormat="1" x14ac:dyDescent="0.2">
      <c r="A915" s="116"/>
      <c r="B915" s="111"/>
      <c r="C915" s="110" t="s">
        <v>3809</v>
      </c>
      <c r="D915" s="110" t="s">
        <v>3810</v>
      </c>
      <c r="E915" s="112" t="s">
        <v>3811</v>
      </c>
      <c r="F915" s="111" t="s">
        <v>126</v>
      </c>
      <c r="G915" s="133">
        <v>185</v>
      </c>
      <c r="H915" s="124"/>
      <c r="I915" s="133" t="str">
        <f>IF(H915&gt;0,(#REF!*H915),"-")</f>
        <v>-</v>
      </c>
      <c r="J915" s="113">
        <v>1046</v>
      </c>
      <c r="K915" s="110" t="s">
        <v>389</v>
      </c>
      <c r="L915" s="110" t="s">
        <v>408</v>
      </c>
      <c r="M915" s="110" t="s">
        <v>129</v>
      </c>
      <c r="N915" s="110" t="s">
        <v>130</v>
      </c>
      <c r="O915" s="110" t="s">
        <v>3812</v>
      </c>
      <c r="P915" s="110" t="s">
        <v>137</v>
      </c>
      <c r="Q915" s="110" t="s">
        <v>96</v>
      </c>
      <c r="R915" s="121">
        <v>0.122</v>
      </c>
      <c r="S915" s="113" t="e">
        <f t="shared" si="28"/>
        <v>#VALUE!</v>
      </c>
      <c r="T915" s="113">
        <f t="shared" si="29"/>
        <v>0</v>
      </c>
    </row>
    <row r="916" spans="1:20" s="109" customFormat="1" x14ac:dyDescent="0.2">
      <c r="A916" s="116"/>
      <c r="B916" s="111"/>
      <c r="C916" s="110" t="s">
        <v>3813</v>
      </c>
      <c r="D916" s="110" t="s">
        <v>3814</v>
      </c>
      <c r="E916" s="112" t="s">
        <v>3815</v>
      </c>
      <c r="F916" s="111" t="s">
        <v>126</v>
      </c>
      <c r="G916" s="133">
        <v>110</v>
      </c>
      <c r="H916" s="124"/>
      <c r="I916" s="133" t="str">
        <f>IF(H916&gt;0,(#REF!*H916),"-")</f>
        <v>-</v>
      </c>
      <c r="J916" s="113">
        <v>398</v>
      </c>
      <c r="K916" s="110" t="s">
        <v>389</v>
      </c>
      <c r="L916" s="110" t="s">
        <v>408</v>
      </c>
      <c r="M916" s="110" t="s">
        <v>129</v>
      </c>
      <c r="N916" s="110" t="s">
        <v>130</v>
      </c>
      <c r="O916" s="110" t="s">
        <v>3816</v>
      </c>
      <c r="P916" s="110" t="s">
        <v>137</v>
      </c>
      <c r="Q916" s="110" t="s">
        <v>96</v>
      </c>
      <c r="R916" s="121">
        <v>2.3699999999999999E-2</v>
      </c>
      <c r="S916" s="113" t="e">
        <f t="shared" si="28"/>
        <v>#VALUE!</v>
      </c>
      <c r="T916" s="113">
        <f t="shared" si="29"/>
        <v>0</v>
      </c>
    </row>
    <row r="917" spans="1:20" s="109" customFormat="1" x14ac:dyDescent="0.2">
      <c r="A917" s="116"/>
      <c r="B917" s="111"/>
      <c r="C917" s="110" t="s">
        <v>3817</v>
      </c>
      <c r="D917" s="110" t="s">
        <v>3818</v>
      </c>
      <c r="E917" s="112" t="s">
        <v>3819</v>
      </c>
      <c r="F917" s="111" t="s">
        <v>126</v>
      </c>
      <c r="G917" s="133">
        <v>155</v>
      </c>
      <c r="H917" s="124"/>
      <c r="I917" s="133" t="str">
        <f>IF(H917&gt;0,(#REF!*H917),"-")</f>
        <v>-</v>
      </c>
      <c r="J917" s="113">
        <v>896</v>
      </c>
      <c r="K917" s="110" t="s">
        <v>389</v>
      </c>
      <c r="L917" s="110" t="s">
        <v>408</v>
      </c>
      <c r="M917" s="110" t="s">
        <v>129</v>
      </c>
      <c r="N917" s="110" t="s">
        <v>130</v>
      </c>
      <c r="O917" s="110" t="s">
        <v>3820</v>
      </c>
      <c r="P917" s="110" t="s">
        <v>132</v>
      </c>
      <c r="Q917" s="110" t="s">
        <v>97</v>
      </c>
      <c r="R917" s="121">
        <v>0.66300000000000003</v>
      </c>
      <c r="S917" s="113" t="e">
        <f t="shared" si="28"/>
        <v>#VALUE!</v>
      </c>
      <c r="T917" s="113">
        <f t="shared" si="29"/>
        <v>0</v>
      </c>
    </row>
    <row r="918" spans="1:20" s="109" customFormat="1" x14ac:dyDescent="0.2">
      <c r="A918" s="116"/>
      <c r="B918" s="111"/>
      <c r="C918" s="110" t="s">
        <v>3821</v>
      </c>
      <c r="D918" s="110" t="s">
        <v>3822</v>
      </c>
      <c r="E918" s="112" t="s">
        <v>3823</v>
      </c>
      <c r="F918" s="111" t="s">
        <v>126</v>
      </c>
      <c r="G918" s="133">
        <v>186</v>
      </c>
      <c r="H918" s="124"/>
      <c r="I918" s="133" t="str">
        <f>IF(H918&gt;0,(#REF!*H918),"-")</f>
        <v>-</v>
      </c>
      <c r="J918" s="113">
        <v>1522</v>
      </c>
      <c r="K918" s="110" t="s">
        <v>389</v>
      </c>
      <c r="L918" s="110" t="s">
        <v>3824</v>
      </c>
      <c r="M918" s="110" t="s">
        <v>129</v>
      </c>
      <c r="N918" s="110" t="s">
        <v>130</v>
      </c>
      <c r="O918" s="110" t="s">
        <v>3825</v>
      </c>
      <c r="P918" s="110" t="s">
        <v>137</v>
      </c>
      <c r="Q918" s="110" t="s">
        <v>96</v>
      </c>
      <c r="R918" s="121">
        <v>0.185</v>
      </c>
      <c r="S918" s="113" t="e">
        <f t="shared" si="28"/>
        <v>#VALUE!</v>
      </c>
      <c r="T918" s="113">
        <f t="shared" si="29"/>
        <v>0</v>
      </c>
    </row>
    <row r="919" spans="1:20" s="109" customFormat="1" x14ac:dyDescent="0.2">
      <c r="A919" s="116"/>
      <c r="B919" s="111"/>
      <c r="C919" s="110" t="s">
        <v>3826</v>
      </c>
      <c r="D919" s="110" t="s">
        <v>3827</v>
      </c>
      <c r="E919" s="112" t="s">
        <v>3828</v>
      </c>
      <c r="F919" s="111" t="s">
        <v>126</v>
      </c>
      <c r="G919" s="133">
        <v>185</v>
      </c>
      <c r="H919" s="124"/>
      <c r="I919" s="133" t="str">
        <f>IF(H919&gt;0,(#REF!*H919),"-")</f>
        <v>-</v>
      </c>
      <c r="J919" s="113">
        <v>1313</v>
      </c>
      <c r="K919" s="110" t="s">
        <v>389</v>
      </c>
      <c r="L919" s="110" t="s">
        <v>3829</v>
      </c>
      <c r="M919" s="110" t="s">
        <v>129</v>
      </c>
      <c r="N919" s="110" t="s">
        <v>130</v>
      </c>
      <c r="O919" s="110" t="s">
        <v>3830</v>
      </c>
      <c r="P919" s="110" t="s">
        <v>137</v>
      </c>
      <c r="Q919" s="110" t="s">
        <v>96</v>
      </c>
      <c r="R919" s="121">
        <v>0.2379</v>
      </c>
      <c r="S919" s="113" t="e">
        <f t="shared" si="28"/>
        <v>#VALUE!</v>
      </c>
      <c r="T919" s="113">
        <f t="shared" si="29"/>
        <v>0</v>
      </c>
    </row>
    <row r="920" spans="1:20" s="109" customFormat="1" x14ac:dyDescent="0.2">
      <c r="A920" s="116"/>
      <c r="B920" s="111" t="s">
        <v>202</v>
      </c>
      <c r="C920" s="110" t="s">
        <v>3831</v>
      </c>
      <c r="D920" s="110" t="s">
        <v>3832</v>
      </c>
      <c r="E920" s="112" t="s">
        <v>3833</v>
      </c>
      <c r="F920" s="111" t="s">
        <v>130</v>
      </c>
      <c r="G920" s="133">
        <v>370</v>
      </c>
      <c r="H920" s="124"/>
      <c r="I920" s="133" t="str">
        <f>IF(H920&gt;0,(#REF!*H920),"-")</f>
        <v>-</v>
      </c>
      <c r="J920" s="113">
        <v>4257</v>
      </c>
      <c r="K920" s="110" t="s">
        <v>389</v>
      </c>
      <c r="L920" s="110" t="s">
        <v>413</v>
      </c>
      <c r="M920" s="110" t="s">
        <v>129</v>
      </c>
      <c r="N920" s="110" t="s">
        <v>130</v>
      </c>
      <c r="O920" s="110" t="s">
        <v>3834</v>
      </c>
      <c r="P920" s="110" t="s">
        <v>137</v>
      </c>
      <c r="Q920" s="110" t="s">
        <v>96</v>
      </c>
      <c r="R920" s="121">
        <v>0.52969999999999995</v>
      </c>
      <c r="S920" s="113" t="e">
        <f t="shared" si="28"/>
        <v>#VALUE!</v>
      </c>
      <c r="T920" s="113">
        <f t="shared" si="29"/>
        <v>0</v>
      </c>
    </row>
    <row r="921" spans="1:20" s="109" customFormat="1" x14ac:dyDescent="0.2">
      <c r="A921" s="116"/>
      <c r="B921" s="111"/>
      <c r="C921" s="110" t="s">
        <v>3835</v>
      </c>
      <c r="D921" s="110" t="s">
        <v>3836</v>
      </c>
      <c r="E921" s="112" t="s">
        <v>3837</v>
      </c>
      <c r="F921" s="111" t="s">
        <v>126</v>
      </c>
      <c r="G921" s="133">
        <v>155</v>
      </c>
      <c r="H921" s="124"/>
      <c r="I921" s="133" t="str">
        <f>IF(H921&gt;0,(#REF!*H921),"-")</f>
        <v>-</v>
      </c>
      <c r="J921" s="113">
        <v>703</v>
      </c>
      <c r="K921" s="110" t="s">
        <v>389</v>
      </c>
      <c r="L921" s="110" t="s">
        <v>413</v>
      </c>
      <c r="M921" s="110" t="s">
        <v>129</v>
      </c>
      <c r="N921" s="110" t="s">
        <v>130</v>
      </c>
      <c r="O921" s="110" t="s">
        <v>3838</v>
      </c>
      <c r="P921" s="110" t="s">
        <v>132</v>
      </c>
      <c r="Q921" s="110" t="s">
        <v>97</v>
      </c>
      <c r="R921" s="121">
        <v>0.59799999999999998</v>
      </c>
      <c r="S921" s="113" t="e">
        <f t="shared" si="28"/>
        <v>#VALUE!</v>
      </c>
      <c r="T921" s="113">
        <f t="shared" si="29"/>
        <v>0</v>
      </c>
    </row>
    <row r="922" spans="1:20" s="109" customFormat="1" x14ac:dyDescent="0.2">
      <c r="A922" s="116"/>
      <c r="B922" s="111" t="s">
        <v>202</v>
      </c>
      <c r="C922" s="110" t="s">
        <v>3839</v>
      </c>
      <c r="D922" s="110" t="s">
        <v>3840</v>
      </c>
      <c r="E922" s="112" t="s">
        <v>3841</v>
      </c>
      <c r="F922" s="111" t="s">
        <v>130</v>
      </c>
      <c r="G922" s="133">
        <v>217</v>
      </c>
      <c r="H922" s="124"/>
      <c r="I922" s="133" t="str">
        <f>IF(H922&gt;0,(#REF!*H922),"-")</f>
        <v>-</v>
      </c>
      <c r="J922" s="113">
        <v>1522</v>
      </c>
      <c r="K922" s="110" t="s">
        <v>389</v>
      </c>
      <c r="L922" s="110" t="s">
        <v>413</v>
      </c>
      <c r="M922" s="110" t="s">
        <v>129</v>
      </c>
      <c r="N922" s="110" t="s">
        <v>130</v>
      </c>
      <c r="O922" s="110" t="s">
        <v>3842</v>
      </c>
      <c r="P922" s="110" t="s">
        <v>137</v>
      </c>
      <c r="Q922" s="110" t="s">
        <v>96</v>
      </c>
      <c r="R922" s="121">
        <v>0.17100000000000001</v>
      </c>
      <c r="S922" s="113" t="e">
        <f t="shared" si="28"/>
        <v>#VALUE!</v>
      </c>
      <c r="T922" s="113">
        <f t="shared" si="29"/>
        <v>0</v>
      </c>
    </row>
    <row r="923" spans="1:20" s="109" customFormat="1" x14ac:dyDescent="0.2">
      <c r="A923" s="116"/>
      <c r="B923" s="111"/>
      <c r="C923" s="110" t="s">
        <v>3843</v>
      </c>
      <c r="D923" s="110" t="s">
        <v>3844</v>
      </c>
      <c r="E923" s="112" t="s">
        <v>3845</v>
      </c>
      <c r="F923" s="111" t="s">
        <v>126</v>
      </c>
      <c r="G923" s="133">
        <v>140</v>
      </c>
      <c r="H923" s="124"/>
      <c r="I923" s="133" t="str">
        <f>IF(H923&gt;0,(#REF!*H923),"-")</f>
        <v>-</v>
      </c>
      <c r="J923" s="113">
        <v>1522</v>
      </c>
      <c r="K923" s="110" t="s">
        <v>389</v>
      </c>
      <c r="L923" s="110" t="s">
        <v>413</v>
      </c>
      <c r="M923" s="110" t="s">
        <v>129</v>
      </c>
      <c r="N923" s="110" t="s">
        <v>130</v>
      </c>
      <c r="O923" s="110" t="s">
        <v>3846</v>
      </c>
      <c r="P923" s="110" t="s">
        <v>137</v>
      </c>
      <c r="Q923" s="110" t="s">
        <v>96</v>
      </c>
      <c r="R923" s="121">
        <v>0.16800000000000001</v>
      </c>
      <c r="S923" s="113" t="e">
        <f t="shared" si="28"/>
        <v>#VALUE!</v>
      </c>
      <c r="T923" s="113">
        <f t="shared" si="29"/>
        <v>0</v>
      </c>
    </row>
    <row r="924" spans="1:20" s="109" customFormat="1" x14ac:dyDescent="0.2">
      <c r="A924" s="116"/>
      <c r="B924" s="111"/>
      <c r="C924" s="110" t="s">
        <v>3847</v>
      </c>
      <c r="D924" s="110" t="s">
        <v>3848</v>
      </c>
      <c r="E924" s="112" t="s">
        <v>3849</v>
      </c>
      <c r="F924" s="111" t="s">
        <v>126</v>
      </c>
      <c r="G924" s="133">
        <v>495</v>
      </c>
      <c r="H924" s="124"/>
      <c r="I924" s="133" t="str">
        <f>IF(H924&gt;0,(#REF!*H924),"-")</f>
        <v>-</v>
      </c>
      <c r="J924" s="113">
        <v>4431</v>
      </c>
      <c r="K924" s="110" t="s">
        <v>389</v>
      </c>
      <c r="L924" s="110" t="s">
        <v>413</v>
      </c>
      <c r="M924" s="110" t="s">
        <v>129</v>
      </c>
      <c r="N924" s="110" t="s">
        <v>130</v>
      </c>
      <c r="O924" s="110" t="s">
        <v>3850</v>
      </c>
      <c r="P924" s="110" t="s">
        <v>137</v>
      </c>
      <c r="Q924" s="110" t="s">
        <v>96</v>
      </c>
      <c r="R924" s="121">
        <v>0.42799999999999999</v>
      </c>
      <c r="S924" s="113" t="e">
        <f t="shared" si="28"/>
        <v>#VALUE!</v>
      </c>
      <c r="T924" s="113">
        <f t="shared" si="29"/>
        <v>0</v>
      </c>
    </row>
    <row r="925" spans="1:20" s="109" customFormat="1" x14ac:dyDescent="0.2">
      <c r="A925" s="116"/>
      <c r="B925" s="111"/>
      <c r="C925" s="110" t="s">
        <v>3851</v>
      </c>
      <c r="D925" s="110" t="s">
        <v>3852</v>
      </c>
      <c r="E925" s="112" t="s">
        <v>3853</v>
      </c>
      <c r="F925" s="111" t="s">
        <v>126</v>
      </c>
      <c r="G925" s="133">
        <v>170</v>
      </c>
      <c r="H925" s="124"/>
      <c r="I925" s="133" t="str">
        <f>IF(H925&gt;0,(#REF!*H925),"-")</f>
        <v>-</v>
      </c>
      <c r="J925" s="113">
        <v>1046</v>
      </c>
      <c r="K925" s="110" t="s">
        <v>389</v>
      </c>
      <c r="L925" s="110" t="s">
        <v>413</v>
      </c>
      <c r="M925" s="110" t="s">
        <v>129</v>
      </c>
      <c r="N925" s="110" t="s">
        <v>130</v>
      </c>
      <c r="O925" s="110" t="s">
        <v>3854</v>
      </c>
      <c r="P925" s="110" t="s">
        <v>137</v>
      </c>
      <c r="Q925" s="110" t="s">
        <v>96</v>
      </c>
      <c r="R925" s="121">
        <v>0.14430000000000001</v>
      </c>
      <c r="S925" s="113" t="e">
        <f t="shared" si="28"/>
        <v>#VALUE!</v>
      </c>
      <c r="T925" s="113">
        <f t="shared" si="29"/>
        <v>0</v>
      </c>
    </row>
    <row r="926" spans="1:20" s="109" customFormat="1" x14ac:dyDescent="0.2">
      <c r="A926" s="116"/>
      <c r="B926" s="111" t="s">
        <v>202</v>
      </c>
      <c r="C926" s="110" t="s">
        <v>3855</v>
      </c>
      <c r="D926" s="110" t="s">
        <v>3856</v>
      </c>
      <c r="E926" s="112" t="s">
        <v>3857</v>
      </c>
      <c r="F926" s="111" t="s">
        <v>130</v>
      </c>
      <c r="G926" s="133">
        <v>185</v>
      </c>
      <c r="H926" s="124"/>
      <c r="I926" s="133" t="str">
        <f>IF(H926&gt;0,(#REF!*H926),"-")</f>
        <v>-</v>
      </c>
      <c r="J926" s="113">
        <v>1028</v>
      </c>
      <c r="K926" s="110" t="s">
        <v>389</v>
      </c>
      <c r="L926" s="110" t="s">
        <v>413</v>
      </c>
      <c r="M926" s="110" t="s">
        <v>129</v>
      </c>
      <c r="N926" s="110" t="s">
        <v>130</v>
      </c>
      <c r="O926" s="110" t="s">
        <v>3858</v>
      </c>
      <c r="P926" s="110" t="s">
        <v>137</v>
      </c>
      <c r="Q926" s="110" t="s">
        <v>96</v>
      </c>
      <c r="R926" s="121">
        <v>0.15279999999999999</v>
      </c>
      <c r="S926" s="113" t="e">
        <f t="shared" si="28"/>
        <v>#VALUE!</v>
      </c>
      <c r="T926" s="113">
        <f t="shared" si="29"/>
        <v>0</v>
      </c>
    </row>
    <row r="927" spans="1:20" s="109" customFormat="1" x14ac:dyDescent="0.2">
      <c r="A927" s="116"/>
      <c r="B927" s="111" t="s">
        <v>202</v>
      </c>
      <c r="C927" s="110" t="s">
        <v>3859</v>
      </c>
      <c r="D927" s="110" t="s">
        <v>3860</v>
      </c>
      <c r="E927" s="112" t="s">
        <v>3861</v>
      </c>
      <c r="F927" s="111" t="s">
        <v>130</v>
      </c>
      <c r="G927" s="133">
        <v>60</v>
      </c>
      <c r="H927" s="124"/>
      <c r="I927" s="133" t="str">
        <f>IF(H927&gt;0,(#REF!*H927),"-")</f>
        <v>-</v>
      </c>
      <c r="J927" s="113">
        <v>398</v>
      </c>
      <c r="K927" s="110" t="s">
        <v>389</v>
      </c>
      <c r="L927" s="110" t="s">
        <v>413</v>
      </c>
      <c r="M927" s="110" t="s">
        <v>129</v>
      </c>
      <c r="N927" s="110" t="s">
        <v>130</v>
      </c>
      <c r="O927" s="110" t="s">
        <v>3862</v>
      </c>
      <c r="P927" s="110" t="s">
        <v>137</v>
      </c>
      <c r="Q927" s="110" t="s">
        <v>96</v>
      </c>
      <c r="R927" s="121">
        <v>2.18E-2</v>
      </c>
      <c r="S927" s="113" t="e">
        <f t="shared" si="28"/>
        <v>#VALUE!</v>
      </c>
      <c r="T927" s="113">
        <f t="shared" si="29"/>
        <v>0</v>
      </c>
    </row>
    <row r="928" spans="1:20" s="109" customFormat="1" x14ac:dyDescent="0.2">
      <c r="A928" s="116"/>
      <c r="B928" s="111" t="s">
        <v>202</v>
      </c>
      <c r="C928" s="110" t="s">
        <v>3863</v>
      </c>
      <c r="D928" s="110" t="s">
        <v>3864</v>
      </c>
      <c r="E928" s="112" t="s">
        <v>3865</v>
      </c>
      <c r="F928" s="111" t="s">
        <v>130</v>
      </c>
      <c r="G928" s="133">
        <v>340</v>
      </c>
      <c r="H928" s="124"/>
      <c r="I928" s="133" t="str">
        <f>IF(H928&gt;0,(#REF!*H928),"-")</f>
        <v>-</v>
      </c>
      <c r="J928" s="113">
        <v>7223</v>
      </c>
      <c r="K928" s="110" t="s">
        <v>389</v>
      </c>
      <c r="L928" s="110" t="s">
        <v>533</v>
      </c>
      <c r="M928" s="110" t="s">
        <v>129</v>
      </c>
      <c r="N928" s="110" t="s">
        <v>130</v>
      </c>
      <c r="O928" s="110" t="s">
        <v>3866</v>
      </c>
      <c r="P928" s="110" t="s">
        <v>137</v>
      </c>
      <c r="Q928" s="110" t="s">
        <v>96</v>
      </c>
      <c r="R928" s="121">
        <v>0.82199999999999995</v>
      </c>
      <c r="S928" s="113" t="e">
        <f t="shared" si="28"/>
        <v>#VALUE!</v>
      </c>
      <c r="T928" s="113">
        <f t="shared" si="29"/>
        <v>0</v>
      </c>
    </row>
    <row r="929" spans="1:20" s="109" customFormat="1" x14ac:dyDescent="0.2">
      <c r="A929" s="116"/>
      <c r="B929" s="111"/>
      <c r="C929" s="110" t="s">
        <v>3867</v>
      </c>
      <c r="D929" s="110" t="s">
        <v>3868</v>
      </c>
      <c r="E929" s="112" t="s">
        <v>3869</v>
      </c>
      <c r="F929" s="111" t="s">
        <v>126</v>
      </c>
      <c r="G929" s="133">
        <v>155</v>
      </c>
      <c r="H929" s="124"/>
      <c r="I929" s="133" t="str">
        <f>IF(H929&gt;0,(#REF!*H929),"-")</f>
        <v>-</v>
      </c>
      <c r="J929" s="113">
        <v>895</v>
      </c>
      <c r="K929" s="110" t="s">
        <v>389</v>
      </c>
      <c r="L929" s="110" t="s">
        <v>533</v>
      </c>
      <c r="M929" s="110" t="s">
        <v>129</v>
      </c>
      <c r="N929" s="110" t="s">
        <v>130</v>
      </c>
      <c r="O929" s="110" t="s">
        <v>3870</v>
      </c>
      <c r="P929" s="110" t="s">
        <v>132</v>
      </c>
      <c r="Q929" s="110" t="s">
        <v>97</v>
      </c>
      <c r="R929" s="121">
        <v>0.73499999999999999</v>
      </c>
      <c r="S929" s="113" t="e">
        <f t="shared" si="28"/>
        <v>#VALUE!</v>
      </c>
      <c r="T929" s="113">
        <f t="shared" si="29"/>
        <v>0</v>
      </c>
    </row>
    <row r="930" spans="1:20" s="109" customFormat="1" x14ac:dyDescent="0.2">
      <c r="A930" s="116"/>
      <c r="B930" s="111"/>
      <c r="C930" s="110" t="s">
        <v>3871</v>
      </c>
      <c r="D930" s="110" t="s">
        <v>3872</v>
      </c>
      <c r="E930" s="112" t="s">
        <v>3873</v>
      </c>
      <c r="F930" s="111" t="s">
        <v>126</v>
      </c>
      <c r="G930" s="133">
        <v>155</v>
      </c>
      <c r="H930" s="124"/>
      <c r="I930" s="133" t="str">
        <f>IF(H930&gt;0,(#REF!*H930),"-")</f>
        <v>-</v>
      </c>
      <c r="J930" s="113">
        <v>3076</v>
      </c>
      <c r="K930" s="110" t="s">
        <v>389</v>
      </c>
      <c r="L930" s="110" t="s">
        <v>533</v>
      </c>
      <c r="M930" s="110" t="s">
        <v>129</v>
      </c>
      <c r="N930" s="110" t="s">
        <v>130</v>
      </c>
      <c r="O930" s="110" t="s">
        <v>3874</v>
      </c>
      <c r="P930" s="110" t="s">
        <v>137</v>
      </c>
      <c r="Q930" s="110" t="s">
        <v>96</v>
      </c>
      <c r="R930" s="121">
        <v>0.29699999999999999</v>
      </c>
      <c r="S930" s="113" t="e">
        <f t="shared" si="28"/>
        <v>#VALUE!</v>
      </c>
      <c r="T930" s="113">
        <f t="shared" si="29"/>
        <v>0</v>
      </c>
    </row>
    <row r="931" spans="1:20" s="109" customFormat="1" x14ac:dyDescent="0.2">
      <c r="A931" s="116"/>
      <c r="B931" s="111"/>
      <c r="C931" s="110" t="s">
        <v>3875</v>
      </c>
      <c r="D931" s="110" t="s">
        <v>3876</v>
      </c>
      <c r="E931" s="112" t="s">
        <v>3877</v>
      </c>
      <c r="F931" s="111" t="s">
        <v>126</v>
      </c>
      <c r="G931" s="133">
        <v>185</v>
      </c>
      <c r="H931" s="124"/>
      <c r="I931" s="133" t="str">
        <f>IF(H931&gt;0,(#REF!*H931),"-")</f>
        <v>-</v>
      </c>
      <c r="J931" s="113">
        <v>1283</v>
      </c>
      <c r="K931" s="110" t="s">
        <v>389</v>
      </c>
      <c r="L931" s="110" t="s">
        <v>692</v>
      </c>
      <c r="M931" s="110" t="s">
        <v>129</v>
      </c>
      <c r="N931" s="110" t="s">
        <v>130</v>
      </c>
      <c r="O931" s="110" t="s">
        <v>3878</v>
      </c>
      <c r="P931" s="110" t="s">
        <v>137</v>
      </c>
      <c r="Q931" s="110" t="s">
        <v>96</v>
      </c>
      <c r="R931" s="121">
        <v>0.2298</v>
      </c>
      <c r="S931" s="113" t="e">
        <f t="shared" si="28"/>
        <v>#VALUE!</v>
      </c>
      <c r="T931" s="113">
        <f t="shared" si="29"/>
        <v>0</v>
      </c>
    </row>
    <row r="932" spans="1:20" s="109" customFormat="1" x14ac:dyDescent="0.2">
      <c r="A932" s="116"/>
      <c r="B932" s="111"/>
      <c r="C932" s="110" t="s">
        <v>3879</v>
      </c>
      <c r="D932" s="110" t="s">
        <v>3880</v>
      </c>
      <c r="E932" s="112" t="s">
        <v>3881</v>
      </c>
      <c r="F932" s="111" t="s">
        <v>126</v>
      </c>
      <c r="G932" s="133">
        <v>170</v>
      </c>
      <c r="H932" s="124"/>
      <c r="I932" s="133" t="str">
        <f>IF(H932&gt;0,(#REF!*H932),"-")</f>
        <v>-</v>
      </c>
      <c r="J932" s="113">
        <v>1722</v>
      </c>
      <c r="K932" s="110" t="s">
        <v>389</v>
      </c>
      <c r="L932" s="110" t="s">
        <v>692</v>
      </c>
      <c r="M932" s="110" t="s">
        <v>129</v>
      </c>
      <c r="N932" s="110" t="s">
        <v>130</v>
      </c>
      <c r="O932" s="110" t="s">
        <v>3882</v>
      </c>
      <c r="P932" s="110" t="s">
        <v>137</v>
      </c>
      <c r="Q932" s="110" t="s">
        <v>96</v>
      </c>
      <c r="R932" s="121">
        <v>0.28910000000000002</v>
      </c>
      <c r="S932" s="113" t="e">
        <f t="shared" si="28"/>
        <v>#VALUE!</v>
      </c>
      <c r="T932" s="113">
        <f t="shared" si="29"/>
        <v>0</v>
      </c>
    </row>
    <row r="933" spans="1:20" s="109" customFormat="1" x14ac:dyDescent="0.2">
      <c r="A933" s="116"/>
      <c r="B933" s="111" t="s">
        <v>202</v>
      </c>
      <c r="C933" s="110" t="s">
        <v>3883</v>
      </c>
      <c r="D933" s="110" t="s">
        <v>3884</v>
      </c>
      <c r="E933" s="112" t="s">
        <v>3885</v>
      </c>
      <c r="F933" s="111" t="s">
        <v>130</v>
      </c>
      <c r="G933" s="133">
        <v>370</v>
      </c>
      <c r="H933" s="124"/>
      <c r="I933" s="133" t="str">
        <f>IF(H933&gt;0,(#REF!*H933),"-")</f>
        <v>-</v>
      </c>
      <c r="J933" s="113">
        <v>5270</v>
      </c>
      <c r="K933" s="110" t="s">
        <v>389</v>
      </c>
      <c r="L933" s="110" t="s">
        <v>692</v>
      </c>
      <c r="M933" s="110" t="s">
        <v>129</v>
      </c>
      <c r="N933" s="110" t="s">
        <v>130</v>
      </c>
      <c r="O933" s="110" t="s">
        <v>3886</v>
      </c>
      <c r="P933" s="110" t="s">
        <v>137</v>
      </c>
      <c r="Q933" s="110" t="s">
        <v>96</v>
      </c>
      <c r="R933" s="121">
        <v>0.749</v>
      </c>
      <c r="S933" s="113" t="e">
        <f t="shared" si="28"/>
        <v>#VALUE!</v>
      </c>
      <c r="T933" s="113">
        <f t="shared" si="29"/>
        <v>0</v>
      </c>
    </row>
    <row r="934" spans="1:20" s="109" customFormat="1" x14ac:dyDescent="0.2">
      <c r="A934" s="116"/>
      <c r="B934" s="111"/>
      <c r="C934" s="110" t="s">
        <v>3887</v>
      </c>
      <c r="D934" s="110" t="s">
        <v>3888</v>
      </c>
      <c r="E934" s="112" t="s">
        <v>3889</v>
      </c>
      <c r="F934" s="111" t="s">
        <v>126</v>
      </c>
      <c r="G934" s="133">
        <v>155</v>
      </c>
      <c r="H934" s="124"/>
      <c r="I934" s="133" t="str">
        <f>IF(H934&gt;0,(#REF!*H934),"-")</f>
        <v>-</v>
      </c>
      <c r="J934" s="113">
        <v>838</v>
      </c>
      <c r="K934" s="110" t="s">
        <v>389</v>
      </c>
      <c r="L934" s="110" t="s">
        <v>692</v>
      </c>
      <c r="M934" s="110" t="s">
        <v>129</v>
      </c>
      <c r="N934" s="110" t="s">
        <v>130</v>
      </c>
      <c r="O934" s="110" t="s">
        <v>3890</v>
      </c>
      <c r="P934" s="110" t="s">
        <v>132</v>
      </c>
      <c r="Q934" s="110" t="s">
        <v>97</v>
      </c>
      <c r="R934" s="121">
        <v>0.66500000000000004</v>
      </c>
      <c r="S934" s="113" t="e">
        <f t="shared" si="28"/>
        <v>#VALUE!</v>
      </c>
      <c r="T934" s="113">
        <f t="shared" si="29"/>
        <v>0</v>
      </c>
    </row>
    <row r="935" spans="1:20" s="109" customFormat="1" x14ac:dyDescent="0.2">
      <c r="A935" s="116"/>
      <c r="B935" s="111"/>
      <c r="C935" s="110" t="s">
        <v>3891</v>
      </c>
      <c r="D935" s="110" t="s">
        <v>3892</v>
      </c>
      <c r="E935" s="112" t="s">
        <v>3893</v>
      </c>
      <c r="F935" s="111" t="s">
        <v>126</v>
      </c>
      <c r="G935" s="133">
        <v>125</v>
      </c>
      <c r="H935" s="124"/>
      <c r="I935" s="133" t="str">
        <f>IF(H935&gt;0,(#REF!*H935),"-")</f>
        <v>-</v>
      </c>
      <c r="J935" s="113">
        <v>1399</v>
      </c>
      <c r="K935" s="110" t="s">
        <v>389</v>
      </c>
      <c r="L935" s="110" t="s">
        <v>692</v>
      </c>
      <c r="M935" s="110" t="s">
        <v>129</v>
      </c>
      <c r="N935" s="110" t="s">
        <v>130</v>
      </c>
      <c r="O935" s="110" t="s">
        <v>3894</v>
      </c>
      <c r="P935" s="110" t="s">
        <v>137</v>
      </c>
      <c r="Q935" s="110" t="s">
        <v>97</v>
      </c>
      <c r="R935" s="121">
        <v>0.18920000000000001</v>
      </c>
      <c r="S935" s="113" t="e">
        <f t="shared" si="28"/>
        <v>#VALUE!</v>
      </c>
      <c r="T935" s="113">
        <f t="shared" si="29"/>
        <v>0</v>
      </c>
    </row>
    <row r="936" spans="1:20" s="109" customFormat="1" x14ac:dyDescent="0.2">
      <c r="A936" s="116"/>
      <c r="B936" s="111"/>
      <c r="C936" s="110" t="s">
        <v>3895</v>
      </c>
      <c r="D936" s="110" t="s">
        <v>3896</v>
      </c>
      <c r="E936" s="112" t="s">
        <v>3897</v>
      </c>
      <c r="F936" s="111" t="s">
        <v>126</v>
      </c>
      <c r="G936" s="133">
        <v>125</v>
      </c>
      <c r="H936" s="124"/>
      <c r="I936" s="133" t="str">
        <f>IF(H936&gt;0,(#REF!*H936),"-")</f>
        <v>-</v>
      </c>
      <c r="J936" s="113">
        <v>1650</v>
      </c>
      <c r="K936" s="110" t="s">
        <v>389</v>
      </c>
      <c r="L936" s="110" t="s">
        <v>692</v>
      </c>
      <c r="M936" s="110" t="s">
        <v>129</v>
      </c>
      <c r="N936" s="110" t="s">
        <v>130</v>
      </c>
      <c r="O936" s="110" t="s">
        <v>3898</v>
      </c>
      <c r="P936" s="110" t="s">
        <v>137</v>
      </c>
      <c r="Q936" s="110" t="s">
        <v>97</v>
      </c>
      <c r="R936" s="121">
        <v>0.23699999999999999</v>
      </c>
      <c r="S936" s="113" t="e">
        <f t="shared" si="28"/>
        <v>#VALUE!</v>
      </c>
      <c r="T936" s="113">
        <f t="shared" si="29"/>
        <v>0</v>
      </c>
    </row>
    <row r="937" spans="1:20" s="109" customFormat="1" x14ac:dyDescent="0.2">
      <c r="A937" s="116"/>
      <c r="B937" s="111"/>
      <c r="C937" s="110" t="s">
        <v>3899</v>
      </c>
      <c r="D937" s="110" t="s">
        <v>3900</v>
      </c>
      <c r="E937" s="112" t="s">
        <v>3901</v>
      </c>
      <c r="F937" s="111" t="s">
        <v>126</v>
      </c>
      <c r="G937" s="133">
        <v>110</v>
      </c>
      <c r="H937" s="124"/>
      <c r="I937" s="133" t="str">
        <f>IF(H937&gt;0,(#REF!*H937),"-")</f>
        <v>-</v>
      </c>
      <c r="J937" s="113">
        <v>1625</v>
      </c>
      <c r="K937" s="110" t="s">
        <v>389</v>
      </c>
      <c r="L937" s="110" t="s">
        <v>692</v>
      </c>
      <c r="M937" s="110" t="s">
        <v>129</v>
      </c>
      <c r="N937" s="110" t="s">
        <v>130</v>
      </c>
      <c r="O937" s="110" t="s">
        <v>3902</v>
      </c>
      <c r="P937" s="110" t="s">
        <v>137</v>
      </c>
      <c r="Q937" s="110" t="s">
        <v>96</v>
      </c>
      <c r="R937" s="121">
        <v>0.15</v>
      </c>
      <c r="S937" s="113" t="e">
        <f t="shared" si="28"/>
        <v>#VALUE!</v>
      </c>
      <c r="T937" s="113">
        <f t="shared" si="29"/>
        <v>0</v>
      </c>
    </row>
    <row r="938" spans="1:20" s="109" customFormat="1" x14ac:dyDescent="0.2">
      <c r="A938" s="116"/>
      <c r="B938" s="111" t="s">
        <v>289</v>
      </c>
      <c r="C938" s="110" t="s">
        <v>3903</v>
      </c>
      <c r="D938" s="110" t="s">
        <v>3904</v>
      </c>
      <c r="E938" s="112" t="s">
        <v>3905</v>
      </c>
      <c r="F938" s="111" t="s">
        <v>130</v>
      </c>
      <c r="G938" s="133">
        <v>120</v>
      </c>
      <c r="H938" s="124"/>
      <c r="I938" s="133" t="str">
        <f>IF(H938&gt;0,(#REF!*H938),"-")</f>
        <v>-</v>
      </c>
      <c r="J938" s="113">
        <v>1631</v>
      </c>
      <c r="K938" s="110" t="s">
        <v>389</v>
      </c>
      <c r="L938" s="110" t="s">
        <v>538</v>
      </c>
      <c r="M938" s="110" t="s">
        <v>129</v>
      </c>
      <c r="N938" s="110" t="s">
        <v>130</v>
      </c>
      <c r="O938" s="110" t="s">
        <v>3906</v>
      </c>
      <c r="P938" s="110" t="s">
        <v>958</v>
      </c>
      <c r="Q938" s="110" t="s">
        <v>96</v>
      </c>
      <c r="R938" s="121">
        <v>2.581E-2</v>
      </c>
      <c r="S938" s="113" t="e">
        <f t="shared" si="28"/>
        <v>#VALUE!</v>
      </c>
      <c r="T938" s="113">
        <f t="shared" si="29"/>
        <v>0</v>
      </c>
    </row>
    <row r="939" spans="1:20" s="109" customFormat="1" x14ac:dyDescent="0.2">
      <c r="A939" s="116"/>
      <c r="B939" s="111" t="s">
        <v>289</v>
      </c>
      <c r="C939" s="110" t="s">
        <v>3907</v>
      </c>
      <c r="D939" s="110" t="s">
        <v>3908</v>
      </c>
      <c r="E939" s="112" t="s">
        <v>3909</v>
      </c>
      <c r="F939" s="111" t="s">
        <v>130</v>
      </c>
      <c r="G939" s="133">
        <v>120</v>
      </c>
      <c r="H939" s="124"/>
      <c r="I939" s="133" t="str">
        <f>IF(H939&gt;0,(#REF!*H939),"-")</f>
        <v>-</v>
      </c>
      <c r="J939" s="113">
        <v>1631</v>
      </c>
      <c r="K939" s="110" t="s">
        <v>389</v>
      </c>
      <c r="L939" s="110" t="s">
        <v>538</v>
      </c>
      <c r="M939" s="110" t="s">
        <v>129</v>
      </c>
      <c r="N939" s="110" t="s">
        <v>130</v>
      </c>
      <c r="O939" s="110" t="s">
        <v>3910</v>
      </c>
      <c r="P939" s="110" t="s">
        <v>958</v>
      </c>
      <c r="Q939" s="110" t="s">
        <v>96</v>
      </c>
      <c r="R939" s="121">
        <v>2.581E-2</v>
      </c>
      <c r="S939" s="113" t="e">
        <f t="shared" si="28"/>
        <v>#VALUE!</v>
      </c>
      <c r="T939" s="113">
        <f t="shared" si="29"/>
        <v>0</v>
      </c>
    </row>
    <row r="940" spans="1:20" s="109" customFormat="1" x14ac:dyDescent="0.2">
      <c r="A940" s="116"/>
      <c r="B940" s="111"/>
      <c r="C940" s="110" t="s">
        <v>3911</v>
      </c>
      <c r="D940" s="110" t="s">
        <v>3912</v>
      </c>
      <c r="E940" s="112" t="s">
        <v>3913</v>
      </c>
      <c r="F940" s="111" t="s">
        <v>126</v>
      </c>
      <c r="G940" s="133">
        <v>370</v>
      </c>
      <c r="H940" s="124"/>
      <c r="I940" s="133" t="str">
        <f>IF(H940&gt;0,(#REF!*H940),"-")</f>
        <v>-</v>
      </c>
      <c r="J940" s="113">
        <v>3578</v>
      </c>
      <c r="K940" s="110" t="s">
        <v>389</v>
      </c>
      <c r="L940" s="110" t="s">
        <v>538</v>
      </c>
      <c r="M940" s="110" t="s">
        <v>129</v>
      </c>
      <c r="N940" s="110" t="s">
        <v>130</v>
      </c>
      <c r="O940" s="110" t="s">
        <v>3914</v>
      </c>
      <c r="P940" s="110" t="s">
        <v>137</v>
      </c>
      <c r="Q940" s="110" t="s">
        <v>96</v>
      </c>
      <c r="R940" s="121">
        <v>0.50800000000000001</v>
      </c>
      <c r="S940" s="113" t="e">
        <f t="shared" si="28"/>
        <v>#VALUE!</v>
      </c>
      <c r="T940" s="113">
        <f t="shared" si="29"/>
        <v>0</v>
      </c>
    </row>
    <row r="941" spans="1:20" s="109" customFormat="1" x14ac:dyDescent="0.2">
      <c r="A941" s="116"/>
      <c r="B941" s="111"/>
      <c r="C941" s="110" t="s">
        <v>3915</v>
      </c>
      <c r="D941" s="110" t="s">
        <v>3916</v>
      </c>
      <c r="E941" s="112" t="s">
        <v>3917</v>
      </c>
      <c r="F941" s="111" t="s">
        <v>126</v>
      </c>
      <c r="G941" s="133">
        <v>310</v>
      </c>
      <c r="H941" s="124"/>
      <c r="I941" s="133" t="str">
        <f>IF(H941&gt;0,(#REF!*H941),"-")</f>
        <v>-</v>
      </c>
      <c r="J941" s="113">
        <v>3637</v>
      </c>
      <c r="K941" s="110" t="s">
        <v>389</v>
      </c>
      <c r="L941" s="110" t="s">
        <v>538</v>
      </c>
      <c r="M941" s="110" t="s">
        <v>129</v>
      </c>
      <c r="N941" s="110" t="s">
        <v>130</v>
      </c>
      <c r="O941" s="110" t="s">
        <v>3918</v>
      </c>
      <c r="P941" s="110" t="s">
        <v>137</v>
      </c>
      <c r="Q941" s="110" t="s">
        <v>96</v>
      </c>
      <c r="R941" s="121">
        <v>0.46610000000000001</v>
      </c>
      <c r="S941" s="113" t="e">
        <f t="shared" si="28"/>
        <v>#VALUE!</v>
      </c>
      <c r="T941" s="113">
        <f t="shared" si="29"/>
        <v>0</v>
      </c>
    </row>
    <row r="942" spans="1:20" s="109" customFormat="1" x14ac:dyDescent="0.2">
      <c r="A942" s="116"/>
      <c r="B942" s="111"/>
      <c r="C942" s="110" t="s">
        <v>3919</v>
      </c>
      <c r="D942" s="110" t="s">
        <v>3920</v>
      </c>
      <c r="E942" s="112" t="s">
        <v>3921</v>
      </c>
      <c r="F942" s="111" t="s">
        <v>126</v>
      </c>
      <c r="G942" s="133">
        <v>60</v>
      </c>
      <c r="H942" s="124"/>
      <c r="I942" s="133" t="str">
        <f>IF(H942&gt;0,(#REF!*H942),"-")</f>
        <v>-</v>
      </c>
      <c r="J942" s="113">
        <v>538</v>
      </c>
      <c r="K942" s="110" t="s">
        <v>389</v>
      </c>
      <c r="L942" s="110" t="s">
        <v>538</v>
      </c>
      <c r="M942" s="110" t="s">
        <v>129</v>
      </c>
      <c r="N942" s="110" t="s">
        <v>130</v>
      </c>
      <c r="O942" s="110" t="s">
        <v>3922</v>
      </c>
      <c r="P942" s="110" t="s">
        <v>137</v>
      </c>
      <c r="Q942" s="110" t="s">
        <v>96</v>
      </c>
      <c r="R942" s="121">
        <v>9.0999999999999998E-2</v>
      </c>
      <c r="S942" s="113" t="e">
        <f t="shared" si="28"/>
        <v>#VALUE!</v>
      </c>
      <c r="T942" s="113">
        <f t="shared" si="29"/>
        <v>0</v>
      </c>
    </row>
    <row r="943" spans="1:20" s="109" customFormat="1" x14ac:dyDescent="0.2">
      <c r="A943" s="116"/>
      <c r="B943" s="111" t="s">
        <v>289</v>
      </c>
      <c r="C943" s="110" t="s">
        <v>3923</v>
      </c>
      <c r="D943" s="110" t="s">
        <v>3924</v>
      </c>
      <c r="E943" s="112" t="s">
        <v>3925</v>
      </c>
      <c r="F943" s="111" t="s">
        <v>130</v>
      </c>
      <c r="G943" s="133">
        <v>60</v>
      </c>
      <c r="H943" s="124"/>
      <c r="I943" s="133" t="str">
        <f>IF(H943&gt;0,(#REF!*H943),"-")</f>
        <v>-</v>
      </c>
      <c r="J943" s="113">
        <v>504</v>
      </c>
      <c r="K943" s="110" t="s">
        <v>389</v>
      </c>
      <c r="L943" s="110" t="s">
        <v>538</v>
      </c>
      <c r="M943" s="110" t="s">
        <v>129</v>
      </c>
      <c r="N943" s="110" t="s">
        <v>130</v>
      </c>
      <c r="O943" s="110" t="s">
        <v>3926</v>
      </c>
      <c r="P943" s="110" t="s">
        <v>137</v>
      </c>
      <c r="Q943" s="110" t="s">
        <v>96</v>
      </c>
      <c r="R943" s="121">
        <v>7.9000000000000001E-2</v>
      </c>
      <c r="S943" s="113" t="e">
        <f t="shared" si="28"/>
        <v>#VALUE!</v>
      </c>
      <c r="T943" s="113">
        <f t="shared" si="29"/>
        <v>0</v>
      </c>
    </row>
    <row r="944" spans="1:20" s="109" customFormat="1" x14ac:dyDescent="0.2">
      <c r="A944" s="116"/>
      <c r="B944" s="111"/>
      <c r="C944" s="110" t="s">
        <v>3927</v>
      </c>
      <c r="D944" s="110" t="s">
        <v>3928</v>
      </c>
      <c r="E944" s="112" t="s">
        <v>3929</v>
      </c>
      <c r="F944" s="111" t="s">
        <v>126</v>
      </c>
      <c r="G944" s="133">
        <v>150</v>
      </c>
      <c r="H944" s="124"/>
      <c r="I944" s="133" t="str">
        <f>IF(H944&gt;0,(#REF!*H944),"-")</f>
        <v>-</v>
      </c>
      <c r="J944" s="113">
        <v>1046</v>
      </c>
      <c r="K944" s="110" t="s">
        <v>389</v>
      </c>
      <c r="L944" s="110" t="s">
        <v>538</v>
      </c>
      <c r="M944" s="110" t="s">
        <v>129</v>
      </c>
      <c r="N944" s="110" t="s">
        <v>130</v>
      </c>
      <c r="O944" s="110" t="s">
        <v>3930</v>
      </c>
      <c r="P944" s="110" t="s">
        <v>137</v>
      </c>
      <c r="Q944" s="110" t="s">
        <v>96</v>
      </c>
      <c r="R944" s="121">
        <v>0.128</v>
      </c>
      <c r="S944" s="113" t="e">
        <f t="shared" si="28"/>
        <v>#VALUE!</v>
      </c>
      <c r="T944" s="113">
        <f t="shared" si="29"/>
        <v>0</v>
      </c>
    </row>
    <row r="945" spans="1:20" s="109" customFormat="1" x14ac:dyDescent="0.2">
      <c r="A945" s="116"/>
      <c r="B945" s="111"/>
      <c r="C945" s="110" t="s">
        <v>3931</v>
      </c>
      <c r="D945" s="110" t="s">
        <v>3932</v>
      </c>
      <c r="E945" s="112" t="s">
        <v>3933</v>
      </c>
      <c r="F945" s="111" t="s">
        <v>126</v>
      </c>
      <c r="G945" s="133">
        <v>90</v>
      </c>
      <c r="H945" s="124"/>
      <c r="I945" s="133" t="str">
        <f>IF(H945&gt;0,(#REF!*H945),"-")</f>
        <v>-</v>
      </c>
      <c r="J945" s="113">
        <v>1046</v>
      </c>
      <c r="K945" s="110" t="s">
        <v>389</v>
      </c>
      <c r="L945" s="110" t="s">
        <v>538</v>
      </c>
      <c r="M945" s="110" t="s">
        <v>129</v>
      </c>
      <c r="N945" s="110" t="s">
        <v>130</v>
      </c>
      <c r="O945" s="110" t="s">
        <v>3934</v>
      </c>
      <c r="P945" s="110" t="s">
        <v>137</v>
      </c>
      <c r="Q945" s="110" t="s">
        <v>96</v>
      </c>
      <c r="R945" s="121">
        <v>0.10100000000000001</v>
      </c>
      <c r="S945" s="113" t="e">
        <f t="shared" si="28"/>
        <v>#VALUE!</v>
      </c>
      <c r="T945" s="113">
        <f t="shared" si="29"/>
        <v>0</v>
      </c>
    </row>
    <row r="946" spans="1:20" s="109" customFormat="1" x14ac:dyDescent="0.2">
      <c r="A946" s="116"/>
      <c r="B946" s="111"/>
      <c r="C946" s="110" t="s">
        <v>3935</v>
      </c>
      <c r="D946" s="110" t="s">
        <v>3936</v>
      </c>
      <c r="E946" s="112" t="s">
        <v>3937</v>
      </c>
      <c r="F946" s="111" t="s">
        <v>126</v>
      </c>
      <c r="G946" s="133">
        <v>685</v>
      </c>
      <c r="H946" s="124"/>
      <c r="I946" s="133" t="str">
        <f>IF(H946&gt;0,(#REF!*H946),"-")</f>
        <v>-</v>
      </c>
      <c r="J946" s="113">
        <v>8559</v>
      </c>
      <c r="K946" s="110" t="s">
        <v>389</v>
      </c>
      <c r="L946" s="110" t="s">
        <v>538</v>
      </c>
      <c r="M946" s="110" t="s">
        <v>129</v>
      </c>
      <c r="N946" s="110" t="s">
        <v>130</v>
      </c>
      <c r="O946" s="110" t="s">
        <v>3938</v>
      </c>
      <c r="P946" s="110" t="s">
        <v>137</v>
      </c>
      <c r="Q946" s="110" t="s">
        <v>96</v>
      </c>
      <c r="R946" s="121">
        <v>1.0408999999999999</v>
      </c>
      <c r="S946" s="113" t="e">
        <f t="shared" si="28"/>
        <v>#VALUE!</v>
      </c>
      <c r="T946" s="113">
        <f t="shared" si="29"/>
        <v>0</v>
      </c>
    </row>
    <row r="947" spans="1:20" s="109" customFormat="1" x14ac:dyDescent="0.2">
      <c r="A947" s="116"/>
      <c r="B947" s="111" t="s">
        <v>207</v>
      </c>
      <c r="C947" s="110" t="s">
        <v>3939</v>
      </c>
      <c r="D947" s="110" t="s">
        <v>3940</v>
      </c>
      <c r="E947" s="112" t="s">
        <v>3941</v>
      </c>
      <c r="F947" s="111" t="s">
        <v>130</v>
      </c>
      <c r="G947" s="133">
        <v>155</v>
      </c>
      <c r="H947" s="124"/>
      <c r="I947" s="133" t="str">
        <f>IF(H947&gt;0,(#REF!*H947),"-")</f>
        <v>-</v>
      </c>
      <c r="J947" s="113">
        <v>1087</v>
      </c>
      <c r="K947" s="110" t="s">
        <v>389</v>
      </c>
      <c r="L947" s="110" t="s">
        <v>538</v>
      </c>
      <c r="M947" s="110" t="s">
        <v>129</v>
      </c>
      <c r="N947" s="110" t="s">
        <v>130</v>
      </c>
      <c r="O947" s="110" t="s">
        <v>3942</v>
      </c>
      <c r="P947" s="110" t="s">
        <v>132</v>
      </c>
      <c r="Q947" s="110" t="s">
        <v>97</v>
      </c>
      <c r="R947" s="121">
        <v>1.05</v>
      </c>
      <c r="S947" s="113" t="e">
        <f t="shared" si="28"/>
        <v>#VALUE!</v>
      </c>
      <c r="T947" s="113">
        <f t="shared" si="29"/>
        <v>0</v>
      </c>
    </row>
    <row r="948" spans="1:20" s="109" customFormat="1" x14ac:dyDescent="0.2">
      <c r="A948" s="116"/>
      <c r="B948" s="111"/>
      <c r="C948" s="110" t="s">
        <v>3943</v>
      </c>
      <c r="D948" s="110" t="s">
        <v>3944</v>
      </c>
      <c r="E948" s="112" t="s">
        <v>3945</v>
      </c>
      <c r="F948" s="111" t="s">
        <v>126</v>
      </c>
      <c r="G948" s="133">
        <v>233</v>
      </c>
      <c r="H948" s="124"/>
      <c r="I948" s="133" t="str">
        <f>IF(H948&gt;0,(#REF!*H948),"-")</f>
        <v>-</v>
      </c>
      <c r="J948" s="113">
        <v>1860</v>
      </c>
      <c r="K948" s="110" t="s">
        <v>389</v>
      </c>
      <c r="L948" s="110" t="s">
        <v>538</v>
      </c>
      <c r="M948" s="110" t="s">
        <v>129</v>
      </c>
      <c r="N948" s="110" t="s">
        <v>130</v>
      </c>
      <c r="O948" s="110" t="s">
        <v>3946</v>
      </c>
      <c r="P948" s="110" t="s">
        <v>137</v>
      </c>
      <c r="Q948" s="110" t="s">
        <v>96</v>
      </c>
      <c r="R948" s="121">
        <v>0.24099999999999999</v>
      </c>
      <c r="S948" s="113" t="e">
        <f t="shared" si="28"/>
        <v>#VALUE!</v>
      </c>
      <c r="T948" s="113">
        <f t="shared" si="29"/>
        <v>0</v>
      </c>
    </row>
    <row r="949" spans="1:20" s="109" customFormat="1" x14ac:dyDescent="0.2">
      <c r="A949" s="116"/>
      <c r="B949" s="111"/>
      <c r="C949" s="110" t="s">
        <v>3947</v>
      </c>
      <c r="D949" s="110" t="s">
        <v>3948</v>
      </c>
      <c r="E949" s="112" t="s">
        <v>3949</v>
      </c>
      <c r="F949" s="111" t="s">
        <v>126</v>
      </c>
      <c r="G949" s="133">
        <v>233</v>
      </c>
      <c r="H949" s="124"/>
      <c r="I949" s="133" t="str">
        <f>IF(H949&gt;0,(#REF!*H949),"-")</f>
        <v>-</v>
      </c>
      <c r="J949" s="113">
        <v>1860</v>
      </c>
      <c r="K949" s="110" t="s">
        <v>389</v>
      </c>
      <c r="L949" s="110" t="s">
        <v>538</v>
      </c>
      <c r="M949" s="110" t="s">
        <v>129</v>
      </c>
      <c r="N949" s="110" t="s">
        <v>130</v>
      </c>
      <c r="O949" s="110" t="s">
        <v>3950</v>
      </c>
      <c r="P949" s="110" t="s">
        <v>137</v>
      </c>
      <c r="Q949" s="110" t="s">
        <v>96</v>
      </c>
      <c r="R949" s="121">
        <v>0.247</v>
      </c>
      <c r="S949" s="113" t="e">
        <f t="shared" si="28"/>
        <v>#VALUE!</v>
      </c>
      <c r="T949" s="113">
        <f t="shared" si="29"/>
        <v>0</v>
      </c>
    </row>
    <row r="950" spans="1:20" s="109" customFormat="1" x14ac:dyDescent="0.2">
      <c r="A950" s="116"/>
      <c r="B950" s="111"/>
      <c r="C950" s="110" t="s">
        <v>3951</v>
      </c>
      <c r="D950" s="110" t="s">
        <v>3952</v>
      </c>
      <c r="E950" s="112" t="s">
        <v>3953</v>
      </c>
      <c r="F950" s="111" t="s">
        <v>126</v>
      </c>
      <c r="G950" s="133">
        <v>217</v>
      </c>
      <c r="H950" s="124"/>
      <c r="I950" s="133" t="str">
        <f>IF(H950&gt;0,(#REF!*H950),"-")</f>
        <v>-</v>
      </c>
      <c r="J950" s="113">
        <v>1522</v>
      </c>
      <c r="K950" s="110" t="s">
        <v>389</v>
      </c>
      <c r="L950" s="110" t="s">
        <v>538</v>
      </c>
      <c r="M950" s="110" t="s">
        <v>129</v>
      </c>
      <c r="N950" s="110" t="s">
        <v>130</v>
      </c>
      <c r="O950" s="110" t="s">
        <v>3954</v>
      </c>
      <c r="P950" s="110" t="s">
        <v>137</v>
      </c>
      <c r="Q950" s="110" t="s">
        <v>96</v>
      </c>
      <c r="R950" s="121">
        <v>0.182</v>
      </c>
      <c r="S950" s="113" t="e">
        <f t="shared" si="28"/>
        <v>#VALUE!</v>
      </c>
      <c r="T950" s="113">
        <f t="shared" si="29"/>
        <v>0</v>
      </c>
    </row>
    <row r="951" spans="1:20" s="109" customFormat="1" x14ac:dyDescent="0.2">
      <c r="A951" s="116"/>
      <c r="B951" s="111"/>
      <c r="C951" s="110" t="s">
        <v>3955</v>
      </c>
      <c r="D951" s="110" t="s">
        <v>3956</v>
      </c>
      <c r="E951" s="112" t="s">
        <v>3957</v>
      </c>
      <c r="F951" s="111" t="s">
        <v>126</v>
      </c>
      <c r="G951" s="133">
        <v>143</v>
      </c>
      <c r="H951" s="124"/>
      <c r="I951" s="133" t="str">
        <f>IF(H951&gt;0,(#REF!*H951),"-")</f>
        <v>-</v>
      </c>
      <c r="J951" s="113">
        <v>540</v>
      </c>
      <c r="K951" s="110" t="s">
        <v>389</v>
      </c>
      <c r="L951" s="110" t="s">
        <v>538</v>
      </c>
      <c r="M951" s="110" t="s">
        <v>129</v>
      </c>
      <c r="N951" s="110" t="s">
        <v>130</v>
      </c>
      <c r="O951" s="110" t="s">
        <v>3958</v>
      </c>
      <c r="P951" s="110" t="s">
        <v>137</v>
      </c>
      <c r="Q951" s="110" t="s">
        <v>96</v>
      </c>
      <c r="R951" s="121">
        <v>3.5999999999999997E-2</v>
      </c>
      <c r="S951" s="113" t="e">
        <f t="shared" si="28"/>
        <v>#VALUE!</v>
      </c>
      <c r="T951" s="113">
        <f t="shared" si="29"/>
        <v>0</v>
      </c>
    </row>
    <row r="952" spans="1:20" s="109" customFormat="1" x14ac:dyDescent="0.2">
      <c r="A952" s="116"/>
      <c r="B952" s="111"/>
      <c r="C952" s="110" t="s">
        <v>3959</v>
      </c>
      <c r="D952" s="110" t="s">
        <v>3960</v>
      </c>
      <c r="E952" s="112" t="s">
        <v>3961</v>
      </c>
      <c r="F952" s="111" t="s">
        <v>126</v>
      </c>
      <c r="G952" s="133">
        <v>155</v>
      </c>
      <c r="H952" s="124"/>
      <c r="I952" s="133" t="str">
        <f>IF(H952&gt;0,(#REF!*H952),"-")</f>
        <v>-</v>
      </c>
      <c r="J952" s="113">
        <v>1046</v>
      </c>
      <c r="K952" s="110" t="s">
        <v>389</v>
      </c>
      <c r="L952" s="110" t="s">
        <v>538</v>
      </c>
      <c r="M952" s="110" t="s">
        <v>129</v>
      </c>
      <c r="N952" s="110" t="s">
        <v>130</v>
      </c>
      <c r="O952" s="110" t="s">
        <v>3962</v>
      </c>
      <c r="P952" s="110" t="s">
        <v>137</v>
      </c>
      <c r="Q952" s="110" t="s">
        <v>96</v>
      </c>
      <c r="R952" s="121">
        <v>9.2200000000000004E-2</v>
      </c>
      <c r="S952" s="113" t="e">
        <f t="shared" si="28"/>
        <v>#VALUE!</v>
      </c>
      <c r="T952" s="113">
        <f t="shared" si="29"/>
        <v>0</v>
      </c>
    </row>
    <row r="953" spans="1:20" s="109" customFormat="1" x14ac:dyDescent="0.2">
      <c r="A953" s="116"/>
      <c r="B953" s="111"/>
      <c r="C953" s="110" t="s">
        <v>3963</v>
      </c>
      <c r="D953" s="110" t="s">
        <v>3964</v>
      </c>
      <c r="E953" s="112" t="s">
        <v>3965</v>
      </c>
      <c r="F953" s="111" t="s">
        <v>126</v>
      </c>
      <c r="G953" s="133">
        <v>112</v>
      </c>
      <c r="H953" s="124"/>
      <c r="I953" s="133" t="str">
        <f>IF(H953&gt;0,(#REF!*H953),"-")</f>
        <v>-</v>
      </c>
      <c r="J953" s="113">
        <v>540</v>
      </c>
      <c r="K953" s="110" t="s">
        <v>389</v>
      </c>
      <c r="L953" s="110" t="s">
        <v>538</v>
      </c>
      <c r="M953" s="110" t="s">
        <v>129</v>
      </c>
      <c r="N953" s="110" t="s">
        <v>130</v>
      </c>
      <c r="O953" s="110" t="s">
        <v>3966</v>
      </c>
      <c r="P953" s="110" t="s">
        <v>137</v>
      </c>
      <c r="Q953" s="110" t="s">
        <v>96</v>
      </c>
      <c r="R953" s="121">
        <v>3.3000000000000002E-2</v>
      </c>
      <c r="S953" s="113" t="e">
        <f t="shared" si="28"/>
        <v>#VALUE!</v>
      </c>
      <c r="T953" s="113">
        <f t="shared" si="29"/>
        <v>0</v>
      </c>
    </row>
    <row r="954" spans="1:20" s="109" customFormat="1" x14ac:dyDescent="0.2">
      <c r="A954" s="116"/>
      <c r="B954" s="111"/>
      <c r="C954" s="110" t="s">
        <v>3967</v>
      </c>
      <c r="D954" s="110" t="s">
        <v>3968</v>
      </c>
      <c r="E954" s="112" t="s">
        <v>3969</v>
      </c>
      <c r="F954" s="111" t="s">
        <v>126</v>
      </c>
      <c r="G954" s="133">
        <v>525</v>
      </c>
      <c r="H954" s="124"/>
      <c r="I954" s="133" t="str">
        <f>IF(H954&gt;0,(#REF!*H954),"-")</f>
        <v>-</v>
      </c>
      <c r="J954" s="113">
        <v>4388</v>
      </c>
      <c r="K954" s="110" t="s">
        <v>389</v>
      </c>
      <c r="L954" s="110" t="s">
        <v>538</v>
      </c>
      <c r="M954" s="110" t="s">
        <v>129</v>
      </c>
      <c r="N954" s="110" t="s">
        <v>130</v>
      </c>
      <c r="O954" s="110" t="s">
        <v>3970</v>
      </c>
      <c r="P954" s="110" t="s">
        <v>137</v>
      </c>
      <c r="Q954" s="110" t="s">
        <v>96</v>
      </c>
      <c r="R954" s="121">
        <v>0.57199999999999995</v>
      </c>
      <c r="S954" s="113" t="e">
        <f t="shared" si="28"/>
        <v>#VALUE!</v>
      </c>
      <c r="T954" s="113">
        <f t="shared" si="29"/>
        <v>0</v>
      </c>
    </row>
    <row r="955" spans="1:20" s="109" customFormat="1" x14ac:dyDescent="0.2">
      <c r="A955" s="116"/>
      <c r="B955" s="111"/>
      <c r="C955" s="110" t="s">
        <v>3971</v>
      </c>
      <c r="D955" s="110" t="s">
        <v>3972</v>
      </c>
      <c r="E955" s="112" t="s">
        <v>3973</v>
      </c>
      <c r="F955" s="111" t="s">
        <v>126</v>
      </c>
      <c r="G955" s="133">
        <v>250</v>
      </c>
      <c r="H955" s="124"/>
      <c r="I955" s="133" t="str">
        <f>IF(H955&gt;0,(#REF!*H955),"-")</f>
        <v>-</v>
      </c>
      <c r="J955" s="113">
        <v>2189</v>
      </c>
      <c r="K955" s="110" t="s">
        <v>389</v>
      </c>
      <c r="L955" s="110" t="s">
        <v>538</v>
      </c>
      <c r="M955" s="110" t="s">
        <v>129</v>
      </c>
      <c r="N955" s="110" t="s">
        <v>130</v>
      </c>
      <c r="O955" s="110" t="s">
        <v>3974</v>
      </c>
      <c r="P955" s="110" t="s">
        <v>137</v>
      </c>
      <c r="Q955" s="110" t="s">
        <v>96</v>
      </c>
      <c r="R955" s="121">
        <v>0.20269999999999999</v>
      </c>
      <c r="S955" s="113" t="e">
        <f t="shared" si="28"/>
        <v>#VALUE!</v>
      </c>
      <c r="T955" s="113">
        <f t="shared" si="29"/>
        <v>0</v>
      </c>
    </row>
    <row r="956" spans="1:20" s="109" customFormat="1" x14ac:dyDescent="0.2">
      <c r="A956" s="116"/>
      <c r="B956" s="111"/>
      <c r="C956" s="110" t="s">
        <v>3975</v>
      </c>
      <c r="D956" s="110" t="s">
        <v>3976</v>
      </c>
      <c r="E956" s="112" t="s">
        <v>3977</v>
      </c>
      <c r="F956" s="111" t="s">
        <v>126</v>
      </c>
      <c r="G956" s="133">
        <v>235</v>
      </c>
      <c r="H956" s="124"/>
      <c r="I956" s="133" t="str">
        <f>IF(H956&gt;0,(#REF!*H956),"-")</f>
        <v>-</v>
      </c>
      <c r="J956" s="113">
        <v>1860</v>
      </c>
      <c r="K956" s="110" t="s">
        <v>389</v>
      </c>
      <c r="L956" s="110" t="s">
        <v>538</v>
      </c>
      <c r="M956" s="110" t="s">
        <v>129</v>
      </c>
      <c r="N956" s="110" t="s">
        <v>130</v>
      </c>
      <c r="O956" s="110" t="s">
        <v>3978</v>
      </c>
      <c r="P956" s="110" t="s">
        <v>137</v>
      </c>
      <c r="Q956" s="110" t="s">
        <v>96</v>
      </c>
      <c r="R956" s="121">
        <v>0.25900000000000001</v>
      </c>
      <c r="S956" s="113" t="e">
        <f t="shared" si="28"/>
        <v>#VALUE!</v>
      </c>
      <c r="T956" s="113">
        <f t="shared" si="29"/>
        <v>0</v>
      </c>
    </row>
    <row r="957" spans="1:20" s="109" customFormat="1" x14ac:dyDescent="0.2">
      <c r="A957" s="116"/>
      <c r="B957" s="111"/>
      <c r="C957" s="110" t="s">
        <v>3979</v>
      </c>
      <c r="D957" s="110" t="s">
        <v>3980</v>
      </c>
      <c r="E957" s="112" t="s">
        <v>3981</v>
      </c>
      <c r="F957" s="111" t="s">
        <v>126</v>
      </c>
      <c r="G957" s="133">
        <v>140</v>
      </c>
      <c r="H957" s="124"/>
      <c r="I957" s="133" t="str">
        <f>IF(H957&gt;0,(#REF!*H957),"-")</f>
        <v>-</v>
      </c>
      <c r="J957" s="113">
        <v>1046</v>
      </c>
      <c r="K957" s="110" t="s">
        <v>389</v>
      </c>
      <c r="L957" s="110" t="s">
        <v>538</v>
      </c>
      <c r="M957" s="110" t="s">
        <v>129</v>
      </c>
      <c r="N957" s="110" t="s">
        <v>130</v>
      </c>
      <c r="O957" s="110" t="s">
        <v>3982</v>
      </c>
      <c r="P957" s="110" t="s">
        <v>137</v>
      </c>
      <c r="Q957" s="110" t="s">
        <v>96</v>
      </c>
      <c r="R957" s="121">
        <v>0.1668</v>
      </c>
      <c r="S957" s="113" t="e">
        <f t="shared" si="28"/>
        <v>#VALUE!</v>
      </c>
      <c r="T957" s="113">
        <f t="shared" si="29"/>
        <v>0</v>
      </c>
    </row>
    <row r="958" spans="1:20" s="109" customFormat="1" x14ac:dyDescent="0.2">
      <c r="A958" s="116"/>
      <c r="B958" s="111" t="s">
        <v>202</v>
      </c>
      <c r="C958" s="110" t="s">
        <v>3983</v>
      </c>
      <c r="D958" s="110" t="s">
        <v>3984</v>
      </c>
      <c r="E958" s="112" t="s">
        <v>3985</v>
      </c>
      <c r="F958" s="111" t="s">
        <v>130</v>
      </c>
      <c r="G958" s="133">
        <v>90</v>
      </c>
      <c r="H958" s="124"/>
      <c r="I958" s="133" t="str">
        <f>IF(H958&gt;0,(#REF!*H958),"-")</f>
        <v>-</v>
      </c>
      <c r="J958" s="113">
        <v>504</v>
      </c>
      <c r="K958" s="110" t="s">
        <v>389</v>
      </c>
      <c r="L958" s="110" t="s">
        <v>538</v>
      </c>
      <c r="M958" s="110" t="s">
        <v>129</v>
      </c>
      <c r="N958" s="110" t="s">
        <v>130</v>
      </c>
      <c r="O958" s="110" t="s">
        <v>3986</v>
      </c>
      <c r="P958" s="110" t="s">
        <v>137</v>
      </c>
      <c r="Q958" s="110" t="s">
        <v>96</v>
      </c>
      <c r="R958" s="121">
        <v>7.2999999999999995E-2</v>
      </c>
      <c r="S958" s="113" t="e">
        <f t="shared" si="28"/>
        <v>#VALUE!</v>
      </c>
      <c r="T958" s="113">
        <f t="shared" si="29"/>
        <v>0</v>
      </c>
    </row>
    <row r="959" spans="1:20" s="109" customFormat="1" x14ac:dyDescent="0.2">
      <c r="A959" s="116"/>
      <c r="B959" s="111"/>
      <c r="C959" s="110" t="s">
        <v>3987</v>
      </c>
      <c r="D959" s="110" t="s">
        <v>3988</v>
      </c>
      <c r="E959" s="112" t="s">
        <v>3989</v>
      </c>
      <c r="F959" s="111" t="s">
        <v>126</v>
      </c>
      <c r="G959" s="133">
        <v>125</v>
      </c>
      <c r="H959" s="124"/>
      <c r="I959" s="133" t="str">
        <f>IF(H959&gt;0,(#REF!*H959),"-")</f>
        <v>-</v>
      </c>
      <c r="J959" s="113">
        <v>504</v>
      </c>
      <c r="K959" s="110" t="s">
        <v>389</v>
      </c>
      <c r="L959" s="110" t="s">
        <v>538</v>
      </c>
      <c r="M959" s="110" t="s">
        <v>129</v>
      </c>
      <c r="N959" s="110" t="s">
        <v>130</v>
      </c>
      <c r="O959" s="110" t="s">
        <v>3990</v>
      </c>
      <c r="P959" s="110" t="s">
        <v>137</v>
      </c>
      <c r="Q959" s="110" t="s">
        <v>96</v>
      </c>
      <c r="R959" s="121">
        <v>5.8000000000000003E-2</v>
      </c>
      <c r="S959" s="113" t="e">
        <f t="shared" si="28"/>
        <v>#VALUE!</v>
      </c>
      <c r="T959" s="113">
        <f t="shared" si="29"/>
        <v>0</v>
      </c>
    </row>
    <row r="960" spans="1:20" s="109" customFormat="1" x14ac:dyDescent="0.2">
      <c r="A960" s="116"/>
      <c r="B960" s="111"/>
      <c r="C960" s="110" t="s">
        <v>3991</v>
      </c>
      <c r="D960" s="110" t="s">
        <v>3992</v>
      </c>
      <c r="E960" s="112" t="s">
        <v>3993</v>
      </c>
      <c r="F960" s="111" t="s">
        <v>126</v>
      </c>
      <c r="G960" s="133">
        <v>110</v>
      </c>
      <c r="H960" s="124"/>
      <c r="I960" s="133" t="str">
        <f>IF(H960&gt;0,(#REF!*H960),"-")</f>
        <v>-</v>
      </c>
      <c r="J960" s="113">
        <v>398</v>
      </c>
      <c r="K960" s="110" t="s">
        <v>389</v>
      </c>
      <c r="L960" s="110" t="s">
        <v>538</v>
      </c>
      <c r="M960" s="110" t="s">
        <v>129</v>
      </c>
      <c r="N960" s="110" t="s">
        <v>130</v>
      </c>
      <c r="O960" s="110" t="s">
        <v>3994</v>
      </c>
      <c r="P960" s="110" t="s">
        <v>137</v>
      </c>
      <c r="Q960" s="110" t="s">
        <v>96</v>
      </c>
      <c r="R960" s="121">
        <v>2.4799999999999999E-2</v>
      </c>
      <c r="S960" s="113" t="e">
        <f t="shared" si="28"/>
        <v>#VALUE!</v>
      </c>
      <c r="T960" s="113">
        <f t="shared" si="29"/>
        <v>0</v>
      </c>
    </row>
    <row r="961" spans="1:20" s="109" customFormat="1" x14ac:dyDescent="0.2">
      <c r="A961" s="116"/>
      <c r="B961" s="111"/>
      <c r="C961" s="110" t="s">
        <v>3995</v>
      </c>
      <c r="D961" s="110" t="s">
        <v>3996</v>
      </c>
      <c r="E961" s="112" t="s">
        <v>3997</v>
      </c>
      <c r="F961" s="111" t="s">
        <v>126</v>
      </c>
      <c r="G961" s="133">
        <v>125</v>
      </c>
      <c r="H961" s="124"/>
      <c r="I961" s="133" t="str">
        <f>IF(H961&gt;0,(#REF!*H961),"-")</f>
        <v>-</v>
      </c>
      <c r="J961" s="113">
        <v>537</v>
      </c>
      <c r="K961" s="110" t="s">
        <v>389</v>
      </c>
      <c r="L961" s="110" t="s">
        <v>538</v>
      </c>
      <c r="M961" s="110" t="s">
        <v>129</v>
      </c>
      <c r="N961" s="110" t="s">
        <v>130</v>
      </c>
      <c r="O961" s="110" t="s">
        <v>3998</v>
      </c>
      <c r="P961" s="110" t="s">
        <v>137</v>
      </c>
      <c r="Q961" s="110" t="s">
        <v>96</v>
      </c>
      <c r="R961" s="121">
        <v>5.7000000000000002E-2</v>
      </c>
      <c r="S961" s="113" t="e">
        <f t="shared" si="28"/>
        <v>#VALUE!</v>
      </c>
      <c r="T961" s="113">
        <f t="shared" si="29"/>
        <v>0</v>
      </c>
    </row>
    <row r="962" spans="1:20" s="109" customFormat="1" x14ac:dyDescent="0.2">
      <c r="A962" s="116"/>
      <c r="B962" s="111"/>
      <c r="C962" s="110" t="s">
        <v>3999</v>
      </c>
      <c r="D962" s="110" t="s">
        <v>4000</v>
      </c>
      <c r="E962" s="112" t="s">
        <v>4001</v>
      </c>
      <c r="F962" s="111" t="s">
        <v>126</v>
      </c>
      <c r="G962" s="133">
        <v>125</v>
      </c>
      <c r="H962" s="124"/>
      <c r="I962" s="133" t="str">
        <f>IF(H962&gt;0,(#REF!*H962),"-")</f>
        <v>-</v>
      </c>
      <c r="J962" s="113">
        <v>1598</v>
      </c>
      <c r="K962" s="110" t="s">
        <v>389</v>
      </c>
      <c r="L962" s="110" t="s">
        <v>538</v>
      </c>
      <c r="M962" s="110" t="s">
        <v>129</v>
      </c>
      <c r="N962" s="110" t="s">
        <v>130</v>
      </c>
      <c r="O962" s="110" t="s">
        <v>4002</v>
      </c>
      <c r="P962" s="110" t="s">
        <v>137</v>
      </c>
      <c r="Q962" s="110" t="s">
        <v>97</v>
      </c>
      <c r="R962" s="121">
        <v>0.156</v>
      </c>
      <c r="S962" s="113" t="e">
        <f t="shared" ref="S962:S1025" si="30">Q962*H962</f>
        <v>#VALUE!</v>
      </c>
      <c r="T962" s="113">
        <f t="shared" ref="T962:T1025" si="31">R962*H962</f>
        <v>0</v>
      </c>
    </row>
    <row r="963" spans="1:20" s="109" customFormat="1" x14ac:dyDescent="0.2">
      <c r="A963" s="116"/>
      <c r="B963" s="111"/>
      <c r="C963" s="110" t="s">
        <v>4003</v>
      </c>
      <c r="D963" s="110" t="s">
        <v>4004</v>
      </c>
      <c r="E963" s="112" t="s">
        <v>4005</v>
      </c>
      <c r="F963" s="111" t="s">
        <v>126</v>
      </c>
      <c r="G963" s="133">
        <v>125</v>
      </c>
      <c r="H963" s="124"/>
      <c r="I963" s="133" t="str">
        <f>IF(H963&gt;0,(#REF!*H963),"-")</f>
        <v>-</v>
      </c>
      <c r="J963" s="113">
        <v>398</v>
      </c>
      <c r="K963" s="110" t="s">
        <v>389</v>
      </c>
      <c r="L963" s="110" t="s">
        <v>538</v>
      </c>
      <c r="M963" s="110" t="s">
        <v>129</v>
      </c>
      <c r="N963" s="110" t="s">
        <v>130</v>
      </c>
      <c r="O963" s="110" t="s">
        <v>4006</v>
      </c>
      <c r="P963" s="110" t="s">
        <v>137</v>
      </c>
      <c r="Q963" s="110" t="s">
        <v>96</v>
      </c>
      <c r="R963" s="121">
        <v>2.53E-2</v>
      </c>
      <c r="S963" s="113" t="e">
        <f t="shared" si="30"/>
        <v>#VALUE!</v>
      </c>
      <c r="T963" s="113">
        <f t="shared" si="31"/>
        <v>0</v>
      </c>
    </row>
    <row r="964" spans="1:20" s="109" customFormat="1" x14ac:dyDescent="0.2">
      <c r="A964" s="116"/>
      <c r="B964" s="111"/>
      <c r="C964" s="110" t="s">
        <v>4007</v>
      </c>
      <c r="D964" s="110" t="s">
        <v>4008</v>
      </c>
      <c r="E964" s="112" t="s">
        <v>4009</v>
      </c>
      <c r="F964" s="111" t="s">
        <v>126</v>
      </c>
      <c r="G964" s="133">
        <v>125</v>
      </c>
      <c r="H964" s="124"/>
      <c r="I964" s="133" t="str">
        <f>IF(H964&gt;0,(#REF!*H964),"-")</f>
        <v>-</v>
      </c>
      <c r="J964" s="113">
        <v>398</v>
      </c>
      <c r="K964" s="110" t="s">
        <v>389</v>
      </c>
      <c r="L964" s="110" t="s">
        <v>538</v>
      </c>
      <c r="M964" s="110" t="s">
        <v>129</v>
      </c>
      <c r="N964" s="110" t="s">
        <v>130</v>
      </c>
      <c r="O964" s="110" t="s">
        <v>4010</v>
      </c>
      <c r="P964" s="110" t="s">
        <v>137</v>
      </c>
      <c r="Q964" s="110" t="s">
        <v>96</v>
      </c>
      <c r="R964" s="121">
        <v>2.47E-2</v>
      </c>
      <c r="S964" s="113" t="e">
        <f t="shared" si="30"/>
        <v>#VALUE!</v>
      </c>
      <c r="T964" s="113">
        <f t="shared" si="31"/>
        <v>0</v>
      </c>
    </row>
    <row r="965" spans="1:20" s="109" customFormat="1" x14ac:dyDescent="0.2">
      <c r="A965" s="116"/>
      <c r="B965" s="111"/>
      <c r="C965" s="110" t="s">
        <v>4011</v>
      </c>
      <c r="D965" s="110" t="s">
        <v>4012</v>
      </c>
      <c r="E965" s="112" t="s">
        <v>4013</v>
      </c>
      <c r="F965" s="111" t="s">
        <v>126</v>
      </c>
      <c r="G965" s="133">
        <v>435</v>
      </c>
      <c r="H965" s="124"/>
      <c r="I965" s="133" t="str">
        <f>IF(H965&gt;0,(#REF!*H965),"-")</f>
        <v>-</v>
      </c>
      <c r="J965" s="113">
        <v>4475</v>
      </c>
      <c r="K965" s="110" t="s">
        <v>389</v>
      </c>
      <c r="L965" s="110" t="s">
        <v>538</v>
      </c>
      <c r="M965" s="110" t="s">
        <v>129</v>
      </c>
      <c r="N965" s="110" t="s">
        <v>130</v>
      </c>
      <c r="O965" s="110" t="s">
        <v>4014</v>
      </c>
      <c r="P965" s="110" t="s">
        <v>137</v>
      </c>
      <c r="Q965" s="110" t="s">
        <v>96</v>
      </c>
      <c r="R965" s="121">
        <v>0.50309999999999999</v>
      </c>
      <c r="S965" s="113" t="e">
        <f t="shared" si="30"/>
        <v>#VALUE!</v>
      </c>
      <c r="T965" s="113">
        <f t="shared" si="31"/>
        <v>0</v>
      </c>
    </row>
    <row r="966" spans="1:20" s="109" customFormat="1" x14ac:dyDescent="0.2">
      <c r="A966" s="116"/>
      <c r="B966" s="111"/>
      <c r="C966" s="110" t="s">
        <v>4015</v>
      </c>
      <c r="D966" s="110" t="s">
        <v>4016</v>
      </c>
      <c r="E966" s="112" t="s">
        <v>4017</v>
      </c>
      <c r="F966" s="111" t="s">
        <v>126</v>
      </c>
      <c r="G966" s="133">
        <v>215</v>
      </c>
      <c r="H966" s="124"/>
      <c r="I966" s="133" t="str">
        <f>IF(H966&gt;0,(#REF!*H966),"-")</f>
        <v>-</v>
      </c>
      <c r="J966" s="113">
        <v>1529</v>
      </c>
      <c r="K966" s="110" t="s">
        <v>389</v>
      </c>
      <c r="L966" s="110" t="s">
        <v>538</v>
      </c>
      <c r="M966" s="110" t="s">
        <v>129</v>
      </c>
      <c r="N966" s="110" t="s">
        <v>130</v>
      </c>
      <c r="O966" s="110" t="s">
        <v>4018</v>
      </c>
      <c r="P966" s="110" t="s">
        <v>137</v>
      </c>
      <c r="Q966" s="110" t="s">
        <v>96</v>
      </c>
      <c r="R966" s="121">
        <v>0.24970000000000001</v>
      </c>
      <c r="S966" s="113" t="e">
        <f t="shared" si="30"/>
        <v>#VALUE!</v>
      </c>
      <c r="T966" s="113">
        <f t="shared" si="31"/>
        <v>0</v>
      </c>
    </row>
    <row r="967" spans="1:20" s="109" customFormat="1" x14ac:dyDescent="0.2">
      <c r="A967" s="116"/>
      <c r="B967" s="111" t="s">
        <v>202</v>
      </c>
      <c r="C967" s="110" t="s">
        <v>4019</v>
      </c>
      <c r="D967" s="110" t="s">
        <v>4020</v>
      </c>
      <c r="E967" s="112" t="s">
        <v>4021</v>
      </c>
      <c r="F967" s="111" t="s">
        <v>130</v>
      </c>
      <c r="G967" s="133">
        <v>215</v>
      </c>
      <c r="H967" s="124"/>
      <c r="I967" s="133" t="str">
        <f>IF(H967&gt;0,(#REF!*H967),"-")</f>
        <v>-</v>
      </c>
      <c r="J967" s="113">
        <v>1384</v>
      </c>
      <c r="K967" s="110" t="s">
        <v>389</v>
      </c>
      <c r="L967" s="110" t="s">
        <v>538</v>
      </c>
      <c r="M967" s="110" t="s">
        <v>129</v>
      </c>
      <c r="N967" s="110" t="s">
        <v>130</v>
      </c>
      <c r="O967" s="110" t="s">
        <v>4022</v>
      </c>
      <c r="P967" s="110" t="s">
        <v>137</v>
      </c>
      <c r="Q967" s="110" t="s">
        <v>96</v>
      </c>
      <c r="R967" s="121">
        <v>0.17299999999999999</v>
      </c>
      <c r="S967" s="113" t="e">
        <f t="shared" si="30"/>
        <v>#VALUE!</v>
      </c>
      <c r="T967" s="113">
        <f t="shared" si="31"/>
        <v>0</v>
      </c>
    </row>
    <row r="968" spans="1:20" s="109" customFormat="1" x14ac:dyDescent="0.2">
      <c r="A968" s="116"/>
      <c r="B968" s="111"/>
      <c r="C968" s="110" t="s">
        <v>4023</v>
      </c>
      <c r="D968" s="110" t="s">
        <v>4024</v>
      </c>
      <c r="E968" s="112" t="s">
        <v>4025</v>
      </c>
      <c r="F968" s="111" t="s">
        <v>126</v>
      </c>
      <c r="G968" s="133">
        <v>235</v>
      </c>
      <c r="H968" s="124"/>
      <c r="I968" s="133" t="str">
        <f>IF(H968&gt;0,(#REF!*H968),"-")</f>
        <v>-</v>
      </c>
      <c r="J968" s="113">
        <v>1856</v>
      </c>
      <c r="K968" s="110" t="s">
        <v>389</v>
      </c>
      <c r="L968" s="110" t="s">
        <v>538</v>
      </c>
      <c r="M968" s="110" t="s">
        <v>129</v>
      </c>
      <c r="N968" s="110" t="s">
        <v>130</v>
      </c>
      <c r="O968" s="110" t="s">
        <v>4026</v>
      </c>
      <c r="P968" s="110" t="s">
        <v>137</v>
      </c>
      <c r="Q968" s="110" t="s">
        <v>96</v>
      </c>
      <c r="R968" s="121">
        <v>0.25600000000000001</v>
      </c>
      <c r="S968" s="113" t="e">
        <f t="shared" si="30"/>
        <v>#VALUE!</v>
      </c>
      <c r="T968" s="113">
        <f t="shared" si="31"/>
        <v>0</v>
      </c>
    </row>
    <row r="969" spans="1:20" s="109" customFormat="1" x14ac:dyDescent="0.2">
      <c r="A969" s="116"/>
      <c r="B969" s="111"/>
      <c r="C969" s="110" t="s">
        <v>4027</v>
      </c>
      <c r="D969" s="110" t="s">
        <v>4028</v>
      </c>
      <c r="E969" s="112" t="s">
        <v>4029</v>
      </c>
      <c r="F969" s="111" t="s">
        <v>126</v>
      </c>
      <c r="G969" s="133">
        <v>30</v>
      </c>
      <c r="H969" s="124"/>
      <c r="I969" s="133" t="str">
        <f>IF(H969&gt;0,(#REF!*H969),"-")</f>
        <v>-</v>
      </c>
      <c r="J969" s="113">
        <v>230</v>
      </c>
      <c r="K969" s="110" t="s">
        <v>389</v>
      </c>
      <c r="L969" s="110" t="s">
        <v>4030</v>
      </c>
      <c r="M969" s="110" t="s">
        <v>129</v>
      </c>
      <c r="N969" s="110" t="s">
        <v>130</v>
      </c>
      <c r="O969" s="110" t="s">
        <v>4031</v>
      </c>
      <c r="P969" s="110" t="s">
        <v>400</v>
      </c>
      <c r="Q969" s="110" t="s">
        <v>97</v>
      </c>
      <c r="R969" s="121">
        <v>6.8000000000000005E-2</v>
      </c>
      <c r="S969" s="113" t="e">
        <f t="shared" si="30"/>
        <v>#VALUE!</v>
      </c>
      <c r="T969" s="113">
        <f t="shared" si="31"/>
        <v>0</v>
      </c>
    </row>
    <row r="970" spans="1:20" s="109" customFormat="1" x14ac:dyDescent="0.2">
      <c r="A970" s="116"/>
      <c r="B970" s="111" t="s">
        <v>202</v>
      </c>
      <c r="C970" s="110" t="s">
        <v>4032</v>
      </c>
      <c r="D970" s="110" t="s">
        <v>4033</v>
      </c>
      <c r="E970" s="112" t="s">
        <v>4034</v>
      </c>
      <c r="F970" s="111" t="s">
        <v>130</v>
      </c>
      <c r="G970" s="133">
        <v>340</v>
      </c>
      <c r="H970" s="124"/>
      <c r="I970" s="133" t="str">
        <f>IF(H970&gt;0,(#REF!*H970),"-")</f>
        <v>-</v>
      </c>
      <c r="J970" s="113">
        <v>3375</v>
      </c>
      <c r="K970" s="110" t="s">
        <v>389</v>
      </c>
      <c r="L970" s="110" t="s">
        <v>4030</v>
      </c>
      <c r="M970" s="110" t="s">
        <v>129</v>
      </c>
      <c r="N970" s="110" t="s">
        <v>130</v>
      </c>
      <c r="O970" s="110" t="s">
        <v>4035</v>
      </c>
      <c r="P970" s="110" t="s">
        <v>137</v>
      </c>
      <c r="Q970" s="110" t="s">
        <v>96</v>
      </c>
      <c r="R970" s="121">
        <v>0.44429999999999997</v>
      </c>
      <c r="S970" s="113" t="e">
        <f t="shared" si="30"/>
        <v>#VALUE!</v>
      </c>
      <c r="T970" s="113">
        <f t="shared" si="31"/>
        <v>0</v>
      </c>
    </row>
    <row r="971" spans="1:20" s="109" customFormat="1" x14ac:dyDescent="0.2">
      <c r="A971" s="116"/>
      <c r="B971" s="111"/>
      <c r="C971" s="110" t="s">
        <v>4036</v>
      </c>
      <c r="D971" s="110" t="s">
        <v>4037</v>
      </c>
      <c r="E971" s="112" t="s">
        <v>4038</v>
      </c>
      <c r="F971" s="111" t="s">
        <v>126</v>
      </c>
      <c r="G971" s="133">
        <v>155</v>
      </c>
      <c r="H971" s="124"/>
      <c r="I971" s="133" t="str">
        <f>IF(H971&gt;0,(#REF!*H971),"-")</f>
        <v>-</v>
      </c>
      <c r="J971" s="113">
        <v>960</v>
      </c>
      <c r="K971" s="110" t="s">
        <v>389</v>
      </c>
      <c r="L971" s="110" t="s">
        <v>4030</v>
      </c>
      <c r="M971" s="110" t="s">
        <v>129</v>
      </c>
      <c r="N971" s="110" t="s">
        <v>130</v>
      </c>
      <c r="O971" s="110" t="s">
        <v>4039</v>
      </c>
      <c r="P971" s="110" t="s">
        <v>132</v>
      </c>
      <c r="Q971" s="110" t="s">
        <v>97</v>
      </c>
      <c r="R971" s="121">
        <v>0.77400000000000002</v>
      </c>
      <c r="S971" s="113" t="e">
        <f t="shared" si="30"/>
        <v>#VALUE!</v>
      </c>
      <c r="T971" s="113">
        <f t="shared" si="31"/>
        <v>0</v>
      </c>
    </row>
    <row r="972" spans="1:20" s="109" customFormat="1" x14ac:dyDescent="0.2">
      <c r="A972" s="116"/>
      <c r="B972" s="111"/>
      <c r="C972" s="110" t="s">
        <v>4040</v>
      </c>
      <c r="D972" s="110" t="s">
        <v>4041</v>
      </c>
      <c r="E972" s="112" t="s">
        <v>4042</v>
      </c>
      <c r="F972" s="111" t="s">
        <v>126</v>
      </c>
      <c r="G972" s="133">
        <v>110</v>
      </c>
      <c r="H972" s="124"/>
      <c r="I972" s="133" t="str">
        <f>IF(H972&gt;0,(#REF!*H972),"-")</f>
        <v>-</v>
      </c>
      <c r="J972" s="113">
        <v>398</v>
      </c>
      <c r="K972" s="110" t="s">
        <v>389</v>
      </c>
      <c r="L972" s="110" t="s">
        <v>4030</v>
      </c>
      <c r="M972" s="110" t="s">
        <v>129</v>
      </c>
      <c r="N972" s="110" t="s">
        <v>130</v>
      </c>
      <c r="O972" s="110" t="s">
        <v>4043</v>
      </c>
      <c r="P972" s="110" t="s">
        <v>137</v>
      </c>
      <c r="Q972" s="110" t="s">
        <v>96</v>
      </c>
      <c r="R972" s="121">
        <v>2.3E-2</v>
      </c>
      <c r="S972" s="113" t="e">
        <f t="shared" si="30"/>
        <v>#VALUE!</v>
      </c>
      <c r="T972" s="113">
        <f t="shared" si="31"/>
        <v>0</v>
      </c>
    </row>
    <row r="973" spans="1:20" s="109" customFormat="1" x14ac:dyDescent="0.2">
      <c r="A973" s="116"/>
      <c r="B973" s="111"/>
      <c r="C973" s="110" t="s">
        <v>4044</v>
      </c>
      <c r="D973" s="110" t="s">
        <v>4045</v>
      </c>
      <c r="E973" s="112" t="s">
        <v>4046</v>
      </c>
      <c r="F973" s="111" t="s">
        <v>126</v>
      </c>
      <c r="G973" s="133">
        <v>110</v>
      </c>
      <c r="H973" s="124"/>
      <c r="I973" s="133" t="str">
        <f>IF(H973&gt;0,(#REF!*H973),"-")</f>
        <v>-</v>
      </c>
      <c r="J973" s="113">
        <v>398</v>
      </c>
      <c r="K973" s="110" t="s">
        <v>389</v>
      </c>
      <c r="L973" s="110" t="s">
        <v>4030</v>
      </c>
      <c r="M973" s="110" t="s">
        <v>129</v>
      </c>
      <c r="N973" s="110" t="s">
        <v>130</v>
      </c>
      <c r="O973" s="110" t="s">
        <v>4047</v>
      </c>
      <c r="P973" s="110" t="s">
        <v>137</v>
      </c>
      <c r="Q973" s="110" t="s">
        <v>96</v>
      </c>
      <c r="R973" s="121">
        <v>2.2499999999999999E-2</v>
      </c>
      <c r="S973" s="113" t="e">
        <f t="shared" si="30"/>
        <v>#VALUE!</v>
      </c>
      <c r="T973" s="113">
        <f t="shared" si="31"/>
        <v>0</v>
      </c>
    </row>
    <row r="974" spans="1:20" s="109" customFormat="1" x14ac:dyDescent="0.2">
      <c r="A974" s="116"/>
      <c r="B974" s="111"/>
      <c r="C974" s="110" t="s">
        <v>4048</v>
      </c>
      <c r="D974" s="110" t="s">
        <v>4049</v>
      </c>
      <c r="E974" s="112" t="s">
        <v>4050</v>
      </c>
      <c r="F974" s="111" t="s">
        <v>126</v>
      </c>
      <c r="G974" s="133">
        <v>110</v>
      </c>
      <c r="H974" s="124"/>
      <c r="I974" s="133" t="str">
        <f>IF(H974&gt;0,(#REF!*H974),"-")</f>
        <v>-</v>
      </c>
      <c r="J974" s="113">
        <v>398</v>
      </c>
      <c r="K974" s="110" t="s">
        <v>389</v>
      </c>
      <c r="L974" s="110" t="s">
        <v>4030</v>
      </c>
      <c r="M974" s="110" t="s">
        <v>129</v>
      </c>
      <c r="N974" s="110" t="s">
        <v>130</v>
      </c>
      <c r="O974" s="110" t="s">
        <v>4051</v>
      </c>
      <c r="P974" s="110" t="s">
        <v>137</v>
      </c>
      <c r="Q974" s="110" t="s">
        <v>96</v>
      </c>
      <c r="R974" s="121">
        <v>2.3300000000000001E-2</v>
      </c>
      <c r="S974" s="113" t="e">
        <f t="shared" si="30"/>
        <v>#VALUE!</v>
      </c>
      <c r="T974" s="113">
        <f t="shared" si="31"/>
        <v>0</v>
      </c>
    </row>
    <row r="975" spans="1:20" s="109" customFormat="1" x14ac:dyDescent="0.2">
      <c r="A975" s="116"/>
      <c r="B975" s="111"/>
      <c r="C975" s="110" t="s">
        <v>4052</v>
      </c>
      <c r="D975" s="110" t="s">
        <v>4053</v>
      </c>
      <c r="E975" s="112" t="s">
        <v>4054</v>
      </c>
      <c r="F975" s="111" t="s">
        <v>126</v>
      </c>
      <c r="G975" s="133">
        <v>155</v>
      </c>
      <c r="H975" s="124"/>
      <c r="I975" s="133" t="str">
        <f>IF(H975&gt;0,(#REF!*H975),"-")</f>
        <v>-</v>
      </c>
      <c r="J975" s="113">
        <v>1046</v>
      </c>
      <c r="K975" s="110" t="s">
        <v>389</v>
      </c>
      <c r="L975" s="110" t="s">
        <v>4030</v>
      </c>
      <c r="M975" s="110" t="s">
        <v>129</v>
      </c>
      <c r="N975" s="110" t="s">
        <v>130</v>
      </c>
      <c r="O975" s="110" t="s">
        <v>4055</v>
      </c>
      <c r="P975" s="110" t="s">
        <v>137</v>
      </c>
      <c r="Q975" s="110" t="s">
        <v>96</v>
      </c>
      <c r="R975" s="121">
        <v>0.127</v>
      </c>
      <c r="S975" s="113" t="e">
        <f t="shared" si="30"/>
        <v>#VALUE!</v>
      </c>
      <c r="T975" s="113">
        <f t="shared" si="31"/>
        <v>0</v>
      </c>
    </row>
    <row r="976" spans="1:20" s="109" customFormat="1" x14ac:dyDescent="0.2">
      <c r="A976" s="116"/>
      <c r="B976" s="111"/>
      <c r="C976" s="110" t="s">
        <v>4056</v>
      </c>
      <c r="D976" s="110" t="s">
        <v>4057</v>
      </c>
      <c r="E976" s="112" t="s">
        <v>4058</v>
      </c>
      <c r="F976" s="111" t="s">
        <v>126</v>
      </c>
      <c r="G976" s="133">
        <v>185</v>
      </c>
      <c r="H976" s="124"/>
      <c r="I976" s="133" t="str">
        <f>IF(H976&gt;0,(#REF!*H976),"-")</f>
        <v>-</v>
      </c>
      <c r="J976" s="113">
        <v>1046</v>
      </c>
      <c r="K976" s="110" t="s">
        <v>389</v>
      </c>
      <c r="L976" s="110" t="s">
        <v>4030</v>
      </c>
      <c r="M976" s="110" t="s">
        <v>129</v>
      </c>
      <c r="N976" s="110" t="s">
        <v>130</v>
      </c>
      <c r="O976" s="110" t="s">
        <v>4059</v>
      </c>
      <c r="P976" s="110" t="s">
        <v>137</v>
      </c>
      <c r="Q976" s="110" t="s">
        <v>96</v>
      </c>
      <c r="R976" s="121">
        <v>0.15</v>
      </c>
      <c r="S976" s="113" t="e">
        <f t="shared" si="30"/>
        <v>#VALUE!</v>
      </c>
      <c r="T976" s="113">
        <f t="shared" si="31"/>
        <v>0</v>
      </c>
    </row>
    <row r="977" spans="1:20" s="109" customFormat="1" x14ac:dyDescent="0.2">
      <c r="A977" s="116"/>
      <c r="B977" s="111"/>
      <c r="C977" s="110" t="s">
        <v>4060</v>
      </c>
      <c r="D977" s="110" t="s">
        <v>4061</v>
      </c>
      <c r="E977" s="112" t="s">
        <v>4062</v>
      </c>
      <c r="F977" s="111" t="s">
        <v>126</v>
      </c>
      <c r="G977" s="133">
        <v>185</v>
      </c>
      <c r="H977" s="124"/>
      <c r="I977" s="133" t="str">
        <f>IF(H977&gt;0,(#REF!*H977),"-")</f>
        <v>-</v>
      </c>
      <c r="J977" s="113">
        <v>1046</v>
      </c>
      <c r="K977" s="110" t="s">
        <v>389</v>
      </c>
      <c r="L977" s="110" t="s">
        <v>4030</v>
      </c>
      <c r="M977" s="110" t="s">
        <v>129</v>
      </c>
      <c r="N977" s="110" t="s">
        <v>130</v>
      </c>
      <c r="O977" s="110" t="s">
        <v>4063</v>
      </c>
      <c r="P977" s="110" t="s">
        <v>137</v>
      </c>
      <c r="Q977" s="110" t="s">
        <v>96</v>
      </c>
      <c r="R977" s="121">
        <v>0.14299999999999999</v>
      </c>
      <c r="S977" s="113" t="e">
        <f t="shared" si="30"/>
        <v>#VALUE!</v>
      </c>
      <c r="T977" s="113">
        <f t="shared" si="31"/>
        <v>0</v>
      </c>
    </row>
    <row r="978" spans="1:20" s="109" customFormat="1" x14ac:dyDescent="0.2">
      <c r="A978" s="116"/>
      <c r="B978" s="111"/>
      <c r="C978" s="110" t="s">
        <v>4064</v>
      </c>
      <c r="D978" s="110" t="s">
        <v>4065</v>
      </c>
      <c r="E978" s="112" t="s">
        <v>4066</v>
      </c>
      <c r="F978" s="111" t="s">
        <v>126</v>
      </c>
      <c r="G978" s="133">
        <v>125</v>
      </c>
      <c r="H978" s="124"/>
      <c r="I978" s="133" t="str">
        <f>IF(H978&gt;0,(#REF!*H978),"-")</f>
        <v>-</v>
      </c>
      <c r="J978" s="113">
        <v>521</v>
      </c>
      <c r="K978" s="110" t="s">
        <v>389</v>
      </c>
      <c r="L978" s="110" t="s">
        <v>4030</v>
      </c>
      <c r="M978" s="110" t="s">
        <v>129</v>
      </c>
      <c r="N978" s="110" t="s">
        <v>130</v>
      </c>
      <c r="O978" s="110" t="s">
        <v>4067</v>
      </c>
      <c r="P978" s="110" t="s">
        <v>137</v>
      </c>
      <c r="Q978" s="110" t="s">
        <v>96</v>
      </c>
      <c r="R978" s="121">
        <v>5.3999999999999999E-2</v>
      </c>
      <c r="S978" s="113" t="e">
        <f t="shared" si="30"/>
        <v>#VALUE!</v>
      </c>
      <c r="T978" s="113">
        <f t="shared" si="31"/>
        <v>0</v>
      </c>
    </row>
    <row r="979" spans="1:20" s="109" customFormat="1" x14ac:dyDescent="0.2">
      <c r="A979" s="116"/>
      <c r="B979" s="111"/>
      <c r="C979" s="110" t="s">
        <v>4068</v>
      </c>
      <c r="D979" s="110" t="s">
        <v>4069</v>
      </c>
      <c r="E979" s="112" t="s">
        <v>4070</v>
      </c>
      <c r="F979" s="111" t="s">
        <v>126</v>
      </c>
      <c r="G979" s="133">
        <v>400</v>
      </c>
      <c r="H979" s="124"/>
      <c r="I979" s="133" t="str">
        <f>IF(H979&gt;0,(#REF!*H979),"-")</f>
        <v>-</v>
      </c>
      <c r="J979" s="113">
        <v>2826</v>
      </c>
      <c r="K979" s="110" t="s">
        <v>389</v>
      </c>
      <c r="L979" s="110" t="s">
        <v>4030</v>
      </c>
      <c r="M979" s="110" t="s">
        <v>129</v>
      </c>
      <c r="N979" s="110" t="s">
        <v>130</v>
      </c>
      <c r="O979" s="110" t="s">
        <v>4071</v>
      </c>
      <c r="P979" s="110" t="s">
        <v>137</v>
      </c>
      <c r="Q979" s="110" t="s">
        <v>96</v>
      </c>
      <c r="R979" s="121">
        <v>0.36559999999999998</v>
      </c>
      <c r="S979" s="113" t="e">
        <f t="shared" si="30"/>
        <v>#VALUE!</v>
      </c>
      <c r="T979" s="113">
        <f t="shared" si="31"/>
        <v>0</v>
      </c>
    </row>
    <row r="980" spans="1:20" s="109" customFormat="1" x14ac:dyDescent="0.2">
      <c r="A980" s="116"/>
      <c r="B980" s="111"/>
      <c r="C980" s="110" t="s">
        <v>4072</v>
      </c>
      <c r="D980" s="110" t="s">
        <v>4073</v>
      </c>
      <c r="E980" s="112" t="s">
        <v>4074</v>
      </c>
      <c r="F980" s="111" t="s">
        <v>126</v>
      </c>
      <c r="G980" s="133">
        <v>435</v>
      </c>
      <c r="H980" s="124"/>
      <c r="I980" s="133" t="str">
        <f>IF(H980&gt;0,(#REF!*H980),"-")</f>
        <v>-</v>
      </c>
      <c r="J980" s="113">
        <v>3578</v>
      </c>
      <c r="K980" s="110" t="s">
        <v>389</v>
      </c>
      <c r="L980" s="110" t="s">
        <v>4030</v>
      </c>
      <c r="M980" s="110" t="s">
        <v>129</v>
      </c>
      <c r="N980" s="110" t="s">
        <v>130</v>
      </c>
      <c r="O980" s="110" t="s">
        <v>4075</v>
      </c>
      <c r="P980" s="110" t="s">
        <v>137</v>
      </c>
      <c r="Q980" s="110" t="s">
        <v>96</v>
      </c>
      <c r="R980" s="121">
        <v>0.40799999999999997</v>
      </c>
      <c r="S980" s="113" t="e">
        <f t="shared" si="30"/>
        <v>#VALUE!</v>
      </c>
      <c r="T980" s="113">
        <f t="shared" si="31"/>
        <v>0</v>
      </c>
    </row>
    <row r="981" spans="1:20" s="109" customFormat="1" x14ac:dyDescent="0.2">
      <c r="A981" s="116"/>
      <c r="B981" s="111" t="s">
        <v>202</v>
      </c>
      <c r="C981" s="110" t="s">
        <v>4076</v>
      </c>
      <c r="D981" s="110" t="s">
        <v>4077</v>
      </c>
      <c r="E981" s="112" t="s">
        <v>4078</v>
      </c>
      <c r="F981" s="111" t="s">
        <v>130</v>
      </c>
      <c r="G981" s="133">
        <v>185</v>
      </c>
      <c r="H981" s="124"/>
      <c r="I981" s="133" t="str">
        <f>IF(H981&gt;0,(#REF!*H981),"-")</f>
        <v>-</v>
      </c>
      <c r="J981" s="113">
        <v>1046</v>
      </c>
      <c r="K981" s="110" t="s">
        <v>389</v>
      </c>
      <c r="L981" s="110" t="s">
        <v>4030</v>
      </c>
      <c r="M981" s="110" t="s">
        <v>129</v>
      </c>
      <c r="N981" s="110" t="s">
        <v>130</v>
      </c>
      <c r="O981" s="110" t="s">
        <v>4079</v>
      </c>
      <c r="P981" s="110" t="s">
        <v>137</v>
      </c>
      <c r="Q981" s="110" t="s">
        <v>96</v>
      </c>
      <c r="R981" s="121">
        <v>0.17699999999999999</v>
      </c>
      <c r="S981" s="113" t="e">
        <f t="shared" si="30"/>
        <v>#VALUE!</v>
      </c>
      <c r="T981" s="113">
        <f t="shared" si="31"/>
        <v>0</v>
      </c>
    </row>
    <row r="982" spans="1:20" s="109" customFormat="1" x14ac:dyDescent="0.2">
      <c r="A982" s="116"/>
      <c r="B982" s="111"/>
      <c r="C982" s="110" t="s">
        <v>4080</v>
      </c>
      <c r="D982" s="110" t="s">
        <v>4081</v>
      </c>
      <c r="E982" s="112" t="s">
        <v>4082</v>
      </c>
      <c r="F982" s="111" t="s">
        <v>126</v>
      </c>
      <c r="G982" s="133">
        <v>170</v>
      </c>
      <c r="H982" s="124"/>
      <c r="I982" s="133" t="str">
        <f>IF(H982&gt;0,(#REF!*H982),"-")</f>
        <v>-</v>
      </c>
      <c r="J982" s="113">
        <v>1114</v>
      </c>
      <c r="K982" s="110" t="s">
        <v>389</v>
      </c>
      <c r="L982" s="110" t="s">
        <v>4030</v>
      </c>
      <c r="M982" s="110" t="s">
        <v>129</v>
      </c>
      <c r="N982" s="110" t="s">
        <v>130</v>
      </c>
      <c r="O982" s="110" t="s">
        <v>4083</v>
      </c>
      <c r="P982" s="110" t="s">
        <v>137</v>
      </c>
      <c r="Q982" s="110" t="s">
        <v>96</v>
      </c>
      <c r="R982" s="121">
        <v>0.11700000000000001</v>
      </c>
      <c r="S982" s="113" t="e">
        <f t="shared" si="30"/>
        <v>#VALUE!</v>
      </c>
      <c r="T982" s="113">
        <f t="shared" si="31"/>
        <v>0</v>
      </c>
    </row>
    <row r="983" spans="1:20" s="109" customFormat="1" x14ac:dyDescent="0.2">
      <c r="A983" s="116"/>
      <c r="B983" s="111"/>
      <c r="C983" s="110" t="s">
        <v>4084</v>
      </c>
      <c r="D983" s="110" t="s">
        <v>4085</v>
      </c>
      <c r="E983" s="112" t="s">
        <v>4086</v>
      </c>
      <c r="F983" s="111" t="s">
        <v>126</v>
      </c>
      <c r="G983" s="133">
        <v>155</v>
      </c>
      <c r="H983" s="124"/>
      <c r="I983" s="133" t="str">
        <f>IF(H983&gt;0,(#REF!*H983),"-")</f>
        <v>-</v>
      </c>
      <c r="J983" s="113">
        <v>1522</v>
      </c>
      <c r="K983" s="110" t="s">
        <v>389</v>
      </c>
      <c r="L983" s="110" t="s">
        <v>4030</v>
      </c>
      <c r="M983" s="110" t="s">
        <v>129</v>
      </c>
      <c r="N983" s="110" t="s">
        <v>130</v>
      </c>
      <c r="O983" s="110" t="s">
        <v>4087</v>
      </c>
      <c r="P983" s="110" t="s">
        <v>137</v>
      </c>
      <c r="Q983" s="110" t="s">
        <v>96</v>
      </c>
      <c r="R983" s="121">
        <v>0.191</v>
      </c>
      <c r="S983" s="113" t="e">
        <f t="shared" si="30"/>
        <v>#VALUE!</v>
      </c>
      <c r="T983" s="113">
        <f t="shared" si="31"/>
        <v>0</v>
      </c>
    </row>
    <row r="984" spans="1:20" s="109" customFormat="1" x14ac:dyDescent="0.2">
      <c r="A984" s="116"/>
      <c r="B984" s="111"/>
      <c r="C984" s="110" t="s">
        <v>4088</v>
      </c>
      <c r="D984" s="110" t="s">
        <v>4089</v>
      </c>
      <c r="E984" s="112" t="s">
        <v>4090</v>
      </c>
      <c r="F984" s="111" t="s">
        <v>126</v>
      </c>
      <c r="G984" s="133">
        <v>155</v>
      </c>
      <c r="H984" s="124"/>
      <c r="I984" s="133" t="str">
        <f>IF(H984&gt;0,(#REF!*H984),"-")</f>
        <v>-</v>
      </c>
      <c r="J984" s="113">
        <v>1046</v>
      </c>
      <c r="K984" s="110" t="s">
        <v>389</v>
      </c>
      <c r="L984" s="110" t="s">
        <v>4030</v>
      </c>
      <c r="M984" s="110" t="s">
        <v>129</v>
      </c>
      <c r="N984" s="110" t="s">
        <v>130</v>
      </c>
      <c r="O984" s="110" t="s">
        <v>4091</v>
      </c>
      <c r="P984" s="110" t="s">
        <v>137</v>
      </c>
      <c r="Q984" s="110" t="s">
        <v>96</v>
      </c>
      <c r="R984" s="121">
        <v>0.1492</v>
      </c>
      <c r="S984" s="113" t="e">
        <f t="shared" si="30"/>
        <v>#VALUE!</v>
      </c>
      <c r="T984" s="113">
        <f t="shared" si="31"/>
        <v>0</v>
      </c>
    </row>
    <row r="985" spans="1:20" s="109" customFormat="1" x14ac:dyDescent="0.2">
      <c r="A985" s="116"/>
      <c r="B985" s="111"/>
      <c r="C985" s="110" t="s">
        <v>4092</v>
      </c>
      <c r="D985" s="110" t="s">
        <v>4093</v>
      </c>
      <c r="E985" s="112" t="s">
        <v>4094</v>
      </c>
      <c r="F985" s="111" t="s">
        <v>126</v>
      </c>
      <c r="G985" s="133">
        <v>80</v>
      </c>
      <c r="H985" s="124"/>
      <c r="I985" s="133" t="str">
        <f>IF(H985&gt;0,(#REF!*H985),"-")</f>
        <v>-</v>
      </c>
      <c r="J985" s="113">
        <v>1144</v>
      </c>
      <c r="K985" s="110" t="s">
        <v>389</v>
      </c>
      <c r="L985" s="110" t="s">
        <v>148</v>
      </c>
      <c r="M985" s="110" t="s">
        <v>129</v>
      </c>
      <c r="N985" s="110" t="s">
        <v>130</v>
      </c>
      <c r="O985" s="110" t="s">
        <v>4095</v>
      </c>
      <c r="P985" s="110" t="s">
        <v>132</v>
      </c>
      <c r="Q985" s="110" t="s">
        <v>96</v>
      </c>
      <c r="R985" s="121">
        <v>0.503</v>
      </c>
      <c r="S985" s="113" t="e">
        <f t="shared" si="30"/>
        <v>#VALUE!</v>
      </c>
      <c r="T985" s="113">
        <f t="shared" si="31"/>
        <v>0</v>
      </c>
    </row>
    <row r="986" spans="1:20" s="109" customFormat="1" x14ac:dyDescent="0.2">
      <c r="A986" s="116"/>
      <c r="B986" s="111"/>
      <c r="C986" s="110" t="s">
        <v>4096</v>
      </c>
      <c r="D986" s="110" t="s">
        <v>4097</v>
      </c>
      <c r="E986" s="112" t="s">
        <v>4098</v>
      </c>
      <c r="F986" s="111" t="s">
        <v>126</v>
      </c>
      <c r="G986" s="133">
        <v>80</v>
      </c>
      <c r="H986" s="124"/>
      <c r="I986" s="133" t="str">
        <f>IF(H986&gt;0,(#REF!*H986),"-")</f>
        <v>-</v>
      </c>
      <c r="J986" s="113">
        <v>1030</v>
      </c>
      <c r="K986" s="110" t="s">
        <v>389</v>
      </c>
      <c r="L986" s="110" t="s">
        <v>148</v>
      </c>
      <c r="M986" s="110" t="s">
        <v>129</v>
      </c>
      <c r="N986" s="110" t="s">
        <v>130</v>
      </c>
      <c r="O986" s="110" t="s">
        <v>4099</v>
      </c>
      <c r="P986" s="110" t="s">
        <v>132</v>
      </c>
      <c r="Q986" s="110" t="s">
        <v>96</v>
      </c>
      <c r="R986" s="121">
        <v>0.4219</v>
      </c>
      <c r="S986" s="113" t="e">
        <f t="shared" si="30"/>
        <v>#VALUE!</v>
      </c>
      <c r="T986" s="113">
        <f t="shared" si="31"/>
        <v>0</v>
      </c>
    </row>
    <row r="987" spans="1:20" s="109" customFormat="1" x14ac:dyDescent="0.2">
      <c r="A987" s="116"/>
      <c r="B987" s="111"/>
      <c r="C987" s="110" t="s">
        <v>4100</v>
      </c>
      <c r="D987" s="110" t="s">
        <v>4101</v>
      </c>
      <c r="E987" s="112" t="s">
        <v>4102</v>
      </c>
      <c r="F987" s="111" t="s">
        <v>126</v>
      </c>
      <c r="G987" s="133">
        <v>95</v>
      </c>
      <c r="H987" s="124"/>
      <c r="I987" s="133" t="str">
        <f>IF(H987&gt;0,(#REF!*H987),"-")</f>
        <v>-</v>
      </c>
      <c r="J987" s="113">
        <v>1493</v>
      </c>
      <c r="K987" s="110" t="s">
        <v>389</v>
      </c>
      <c r="L987" s="110" t="s">
        <v>148</v>
      </c>
      <c r="M987" s="110" t="s">
        <v>129</v>
      </c>
      <c r="N987" s="110" t="s">
        <v>130</v>
      </c>
      <c r="O987" s="110" t="s">
        <v>4103</v>
      </c>
      <c r="P987" s="110" t="s">
        <v>132</v>
      </c>
      <c r="Q987" s="110" t="s">
        <v>96</v>
      </c>
      <c r="R987" s="121">
        <v>0.66300000000000003</v>
      </c>
      <c r="S987" s="113" t="e">
        <f t="shared" si="30"/>
        <v>#VALUE!</v>
      </c>
      <c r="T987" s="113">
        <f t="shared" si="31"/>
        <v>0</v>
      </c>
    </row>
    <row r="988" spans="1:20" s="109" customFormat="1" x14ac:dyDescent="0.2">
      <c r="A988" s="116"/>
      <c r="B988" s="111" t="s">
        <v>2373</v>
      </c>
      <c r="C988" s="110" t="s">
        <v>4104</v>
      </c>
      <c r="D988" s="110" t="s">
        <v>4105</v>
      </c>
      <c r="E988" s="112" t="s">
        <v>4106</v>
      </c>
      <c r="F988" s="111" t="s">
        <v>130</v>
      </c>
      <c r="G988" s="133">
        <v>56</v>
      </c>
      <c r="H988" s="124"/>
      <c r="I988" s="133" t="str">
        <f>IF(H988&gt;0,(#REF!*H988),"-")</f>
        <v>-</v>
      </c>
      <c r="J988" s="113">
        <v>673</v>
      </c>
      <c r="K988" s="110" t="s">
        <v>389</v>
      </c>
      <c r="L988" s="110" t="s">
        <v>148</v>
      </c>
      <c r="M988" s="110" t="s">
        <v>129</v>
      </c>
      <c r="N988" s="110" t="s">
        <v>130</v>
      </c>
      <c r="O988" s="110" t="s">
        <v>4107</v>
      </c>
      <c r="P988" s="110" t="s">
        <v>132</v>
      </c>
      <c r="Q988" s="110" t="s">
        <v>96</v>
      </c>
      <c r="R988" s="121">
        <v>0.29399999999999998</v>
      </c>
      <c r="S988" s="113" t="e">
        <f t="shared" si="30"/>
        <v>#VALUE!</v>
      </c>
      <c r="T988" s="113">
        <f t="shared" si="31"/>
        <v>0</v>
      </c>
    </row>
    <row r="989" spans="1:20" s="109" customFormat="1" x14ac:dyDescent="0.2">
      <c r="A989" s="116"/>
      <c r="B989" s="111"/>
      <c r="C989" s="110" t="s">
        <v>4108</v>
      </c>
      <c r="D989" s="110" t="s">
        <v>4109</v>
      </c>
      <c r="E989" s="112" t="s">
        <v>4110</v>
      </c>
      <c r="F989" s="111" t="s">
        <v>126</v>
      </c>
      <c r="G989" s="133">
        <v>95</v>
      </c>
      <c r="H989" s="124"/>
      <c r="I989" s="133" t="str">
        <f>IF(H989&gt;0,(#REF!*H989),"-")</f>
        <v>-</v>
      </c>
      <c r="J989" s="113">
        <v>1287</v>
      </c>
      <c r="K989" s="110" t="s">
        <v>389</v>
      </c>
      <c r="L989" s="110" t="s">
        <v>148</v>
      </c>
      <c r="M989" s="110" t="s">
        <v>129</v>
      </c>
      <c r="N989" s="110" t="s">
        <v>130</v>
      </c>
      <c r="O989" s="110" t="s">
        <v>4111</v>
      </c>
      <c r="P989" s="110" t="s">
        <v>132</v>
      </c>
      <c r="Q989" s="110" t="s">
        <v>96</v>
      </c>
      <c r="R989" s="121">
        <v>0.55500000000000005</v>
      </c>
      <c r="S989" s="113" t="e">
        <f t="shared" si="30"/>
        <v>#VALUE!</v>
      </c>
      <c r="T989" s="113">
        <f t="shared" si="31"/>
        <v>0</v>
      </c>
    </row>
    <row r="990" spans="1:20" s="109" customFormat="1" x14ac:dyDescent="0.2">
      <c r="A990" s="116"/>
      <c r="B990" s="111"/>
      <c r="C990" s="110" t="s">
        <v>4112</v>
      </c>
      <c r="D990" s="110" t="s">
        <v>4113</v>
      </c>
      <c r="E990" s="112" t="s">
        <v>4114</v>
      </c>
      <c r="F990" s="111" t="s">
        <v>126</v>
      </c>
      <c r="G990" s="133">
        <v>95</v>
      </c>
      <c r="H990" s="124"/>
      <c r="I990" s="133" t="str">
        <f>IF(H990&gt;0,(#REF!*H990),"-")</f>
        <v>-</v>
      </c>
      <c r="J990" s="113">
        <v>1534</v>
      </c>
      <c r="K990" s="110" t="s">
        <v>389</v>
      </c>
      <c r="L990" s="110" t="s">
        <v>148</v>
      </c>
      <c r="M990" s="110" t="s">
        <v>129</v>
      </c>
      <c r="N990" s="110" t="s">
        <v>130</v>
      </c>
      <c r="O990" s="110" t="s">
        <v>4115</v>
      </c>
      <c r="P990" s="110" t="s">
        <v>132</v>
      </c>
      <c r="Q990" s="110" t="s">
        <v>96</v>
      </c>
      <c r="R990" s="121">
        <v>0.64800000000000002</v>
      </c>
      <c r="S990" s="113" t="e">
        <f t="shared" si="30"/>
        <v>#VALUE!</v>
      </c>
      <c r="T990" s="113">
        <f t="shared" si="31"/>
        <v>0</v>
      </c>
    </row>
    <row r="991" spans="1:20" s="109" customFormat="1" x14ac:dyDescent="0.2">
      <c r="A991" s="116"/>
      <c r="B991" s="111" t="s">
        <v>2373</v>
      </c>
      <c r="C991" s="110" t="s">
        <v>4116</v>
      </c>
      <c r="D991" s="110" t="s">
        <v>4117</v>
      </c>
      <c r="E991" s="112" t="s">
        <v>4118</v>
      </c>
      <c r="F991" s="111" t="s">
        <v>130</v>
      </c>
      <c r="G991" s="133">
        <v>56</v>
      </c>
      <c r="H991" s="124"/>
      <c r="I991" s="133" t="str">
        <f>IF(H991&gt;0,(#REF!*H991),"-")</f>
        <v>-</v>
      </c>
      <c r="J991" s="113">
        <v>669</v>
      </c>
      <c r="K991" s="110" t="s">
        <v>389</v>
      </c>
      <c r="L991" s="110" t="s">
        <v>148</v>
      </c>
      <c r="M991" s="110" t="s">
        <v>129</v>
      </c>
      <c r="N991" s="110" t="s">
        <v>130</v>
      </c>
      <c r="O991" s="110" t="s">
        <v>4119</v>
      </c>
      <c r="P991" s="110" t="s">
        <v>132</v>
      </c>
      <c r="Q991" s="110" t="s">
        <v>97</v>
      </c>
      <c r="R991" s="121">
        <v>0.27800000000000002</v>
      </c>
      <c r="S991" s="113" t="e">
        <f t="shared" si="30"/>
        <v>#VALUE!</v>
      </c>
      <c r="T991" s="113">
        <f t="shared" si="31"/>
        <v>0</v>
      </c>
    </row>
    <row r="992" spans="1:20" s="109" customFormat="1" x14ac:dyDescent="0.2">
      <c r="A992" s="116"/>
      <c r="B992" s="111"/>
      <c r="C992" s="110" t="s">
        <v>4120</v>
      </c>
      <c r="D992" s="110" t="s">
        <v>4121</v>
      </c>
      <c r="E992" s="112" t="s">
        <v>4122</v>
      </c>
      <c r="F992" s="111" t="s">
        <v>126</v>
      </c>
      <c r="G992" s="133">
        <v>95</v>
      </c>
      <c r="H992" s="124"/>
      <c r="I992" s="133" t="str">
        <f>IF(H992&gt;0,(#REF!*H992),"-")</f>
        <v>-</v>
      </c>
      <c r="J992" s="113">
        <v>1226</v>
      </c>
      <c r="K992" s="110" t="s">
        <v>389</v>
      </c>
      <c r="L992" s="110" t="s">
        <v>148</v>
      </c>
      <c r="M992" s="110" t="s">
        <v>129</v>
      </c>
      <c r="N992" s="110" t="s">
        <v>130</v>
      </c>
      <c r="O992" s="110" t="s">
        <v>4123</v>
      </c>
      <c r="P992" s="110" t="s">
        <v>132</v>
      </c>
      <c r="Q992" s="110" t="s">
        <v>96</v>
      </c>
      <c r="R992" s="121">
        <v>0.55000000000000004</v>
      </c>
      <c r="S992" s="113" t="e">
        <f t="shared" si="30"/>
        <v>#VALUE!</v>
      </c>
      <c r="T992" s="113">
        <f t="shared" si="31"/>
        <v>0</v>
      </c>
    </row>
    <row r="993" spans="1:20" s="109" customFormat="1" x14ac:dyDescent="0.2">
      <c r="A993" s="116"/>
      <c r="B993" s="111"/>
      <c r="C993" s="110" t="s">
        <v>4124</v>
      </c>
      <c r="D993" s="110" t="s">
        <v>4125</v>
      </c>
      <c r="E993" s="112" t="s">
        <v>4126</v>
      </c>
      <c r="F993" s="111" t="s">
        <v>126</v>
      </c>
      <c r="G993" s="133">
        <v>56</v>
      </c>
      <c r="H993" s="124"/>
      <c r="I993" s="133" t="str">
        <f>IF(H993&gt;0,(#REF!*H993),"-")</f>
        <v>-</v>
      </c>
      <c r="J993" s="113">
        <v>543</v>
      </c>
      <c r="K993" s="110" t="s">
        <v>389</v>
      </c>
      <c r="L993" s="110" t="s">
        <v>148</v>
      </c>
      <c r="M993" s="110" t="s">
        <v>129</v>
      </c>
      <c r="N993" s="110" t="s">
        <v>130</v>
      </c>
      <c r="O993" s="110" t="s">
        <v>4127</v>
      </c>
      <c r="P993" s="110" t="s">
        <v>132</v>
      </c>
      <c r="Q993" s="110" t="s">
        <v>96</v>
      </c>
      <c r="R993" s="121">
        <v>0.23200000000000001</v>
      </c>
      <c r="S993" s="113" t="e">
        <f t="shared" si="30"/>
        <v>#VALUE!</v>
      </c>
      <c r="T993" s="113">
        <f t="shared" si="31"/>
        <v>0</v>
      </c>
    </row>
    <row r="994" spans="1:20" s="109" customFormat="1" x14ac:dyDescent="0.2">
      <c r="A994" s="116"/>
      <c r="B994" s="111"/>
      <c r="C994" s="110" t="s">
        <v>4128</v>
      </c>
      <c r="D994" s="110" t="s">
        <v>4129</v>
      </c>
      <c r="E994" s="112" t="s">
        <v>4130</v>
      </c>
      <c r="F994" s="111" t="s">
        <v>126</v>
      </c>
      <c r="G994" s="133">
        <v>95</v>
      </c>
      <c r="H994" s="124"/>
      <c r="I994" s="133" t="str">
        <f>IF(H994&gt;0,(#REF!*H994),"-")</f>
        <v>-</v>
      </c>
      <c r="J994" s="113">
        <v>1287</v>
      </c>
      <c r="K994" s="110" t="s">
        <v>389</v>
      </c>
      <c r="L994" s="110" t="s">
        <v>148</v>
      </c>
      <c r="M994" s="110" t="s">
        <v>129</v>
      </c>
      <c r="N994" s="110" t="s">
        <v>130</v>
      </c>
      <c r="O994" s="110" t="s">
        <v>4131</v>
      </c>
      <c r="P994" s="110" t="s">
        <v>132</v>
      </c>
      <c r="Q994" s="110" t="s">
        <v>96</v>
      </c>
      <c r="R994" s="121">
        <v>0.54700000000000004</v>
      </c>
      <c r="S994" s="113" t="e">
        <f t="shared" si="30"/>
        <v>#VALUE!</v>
      </c>
      <c r="T994" s="113">
        <f t="shared" si="31"/>
        <v>0</v>
      </c>
    </row>
    <row r="995" spans="1:20" s="109" customFormat="1" x14ac:dyDescent="0.2">
      <c r="A995" s="116"/>
      <c r="B995" s="111"/>
      <c r="C995" s="110" t="s">
        <v>4132</v>
      </c>
      <c r="D995" s="110" t="s">
        <v>4133</v>
      </c>
      <c r="E995" s="112" t="s">
        <v>4134</v>
      </c>
      <c r="F995" s="111" t="s">
        <v>126</v>
      </c>
      <c r="G995" s="133">
        <v>95</v>
      </c>
      <c r="H995" s="124"/>
      <c r="I995" s="133" t="str">
        <f>IF(H995&gt;0,(#REF!*H995),"-")</f>
        <v>-</v>
      </c>
      <c r="J995" s="113">
        <v>1294</v>
      </c>
      <c r="K995" s="110" t="s">
        <v>389</v>
      </c>
      <c r="L995" s="110" t="s">
        <v>148</v>
      </c>
      <c r="M995" s="110" t="s">
        <v>129</v>
      </c>
      <c r="N995" s="110" t="s">
        <v>130</v>
      </c>
      <c r="O995" s="110" t="s">
        <v>4135</v>
      </c>
      <c r="P995" s="110" t="s">
        <v>132</v>
      </c>
      <c r="Q995" s="110" t="s">
        <v>96</v>
      </c>
      <c r="R995" s="121">
        <v>0.55200000000000005</v>
      </c>
      <c r="S995" s="113" t="e">
        <f t="shared" si="30"/>
        <v>#VALUE!</v>
      </c>
      <c r="T995" s="113">
        <f t="shared" si="31"/>
        <v>0</v>
      </c>
    </row>
    <row r="996" spans="1:20" s="109" customFormat="1" x14ac:dyDescent="0.2">
      <c r="A996" s="116"/>
      <c r="B996" s="111"/>
      <c r="C996" s="110" t="s">
        <v>4136</v>
      </c>
      <c r="D996" s="110" t="s">
        <v>4137</v>
      </c>
      <c r="E996" s="112" t="s">
        <v>4138</v>
      </c>
      <c r="F996" s="111" t="s">
        <v>126</v>
      </c>
      <c r="G996" s="133">
        <v>95</v>
      </c>
      <c r="H996" s="124"/>
      <c r="I996" s="133" t="str">
        <f>IF(H996&gt;0,(#REF!*H996),"-")</f>
        <v>-</v>
      </c>
      <c r="J996" s="113">
        <v>1441</v>
      </c>
      <c r="K996" s="110" t="s">
        <v>389</v>
      </c>
      <c r="L996" s="110" t="s">
        <v>148</v>
      </c>
      <c r="M996" s="110" t="s">
        <v>129</v>
      </c>
      <c r="N996" s="110" t="s">
        <v>130</v>
      </c>
      <c r="O996" s="110" t="s">
        <v>4139</v>
      </c>
      <c r="P996" s="110" t="s">
        <v>132</v>
      </c>
      <c r="Q996" s="110" t="s">
        <v>96</v>
      </c>
      <c r="R996" s="121">
        <v>0.61599999999999999</v>
      </c>
      <c r="S996" s="113" t="e">
        <f t="shared" si="30"/>
        <v>#VALUE!</v>
      </c>
      <c r="T996" s="113">
        <f t="shared" si="31"/>
        <v>0</v>
      </c>
    </row>
    <row r="997" spans="1:20" s="109" customFormat="1" x14ac:dyDescent="0.2">
      <c r="A997" s="116"/>
      <c r="B997" s="111"/>
      <c r="C997" s="110" t="s">
        <v>4140</v>
      </c>
      <c r="D997" s="110" t="s">
        <v>4141</v>
      </c>
      <c r="E997" s="112" t="s">
        <v>4142</v>
      </c>
      <c r="F997" s="111" t="s">
        <v>126</v>
      </c>
      <c r="G997" s="133">
        <v>95</v>
      </c>
      <c r="H997" s="124"/>
      <c r="I997" s="133" t="str">
        <f>IF(H997&gt;0,(#REF!*H997),"-")</f>
        <v>-</v>
      </c>
      <c r="J997" s="113">
        <v>1544</v>
      </c>
      <c r="K997" s="110" t="s">
        <v>389</v>
      </c>
      <c r="L997" s="110" t="s">
        <v>148</v>
      </c>
      <c r="M997" s="110" t="s">
        <v>129</v>
      </c>
      <c r="N997" s="110" t="s">
        <v>130</v>
      </c>
      <c r="O997" s="110" t="s">
        <v>4143</v>
      </c>
      <c r="P997" s="110" t="s">
        <v>132</v>
      </c>
      <c r="Q997" s="110" t="s">
        <v>96</v>
      </c>
      <c r="R997" s="121">
        <v>0.63400000000000001</v>
      </c>
      <c r="S997" s="113" t="e">
        <f t="shared" si="30"/>
        <v>#VALUE!</v>
      </c>
      <c r="T997" s="113">
        <f t="shared" si="31"/>
        <v>0</v>
      </c>
    </row>
    <row r="998" spans="1:20" s="109" customFormat="1" x14ac:dyDescent="0.2">
      <c r="A998" s="116"/>
      <c r="B998" s="111"/>
      <c r="C998" s="110" t="s">
        <v>4144</v>
      </c>
      <c r="D998" s="110" t="s">
        <v>4145</v>
      </c>
      <c r="E998" s="112" t="s">
        <v>4146</v>
      </c>
      <c r="F998" s="111" t="s">
        <v>126</v>
      </c>
      <c r="G998" s="133">
        <v>95</v>
      </c>
      <c r="H998" s="124"/>
      <c r="I998" s="133" t="str">
        <f>IF(H998&gt;0,(#REF!*H998),"-")</f>
        <v>-</v>
      </c>
      <c r="J998" s="113">
        <v>1467</v>
      </c>
      <c r="K998" s="110" t="s">
        <v>389</v>
      </c>
      <c r="L998" s="110" t="s">
        <v>148</v>
      </c>
      <c r="M998" s="110" t="s">
        <v>129</v>
      </c>
      <c r="N998" s="110" t="s">
        <v>130</v>
      </c>
      <c r="O998" s="110" t="s">
        <v>4147</v>
      </c>
      <c r="P998" s="110" t="s">
        <v>132</v>
      </c>
      <c r="Q998" s="110" t="s">
        <v>96</v>
      </c>
      <c r="R998" s="121">
        <v>0.63200000000000001</v>
      </c>
      <c r="S998" s="113" t="e">
        <f t="shared" si="30"/>
        <v>#VALUE!</v>
      </c>
      <c r="T998" s="113">
        <f t="shared" si="31"/>
        <v>0</v>
      </c>
    </row>
    <row r="999" spans="1:20" s="109" customFormat="1" x14ac:dyDescent="0.2">
      <c r="A999" s="116"/>
      <c r="B999" s="111" t="s">
        <v>2373</v>
      </c>
      <c r="C999" s="110" t="s">
        <v>4148</v>
      </c>
      <c r="D999" s="110" t="s">
        <v>4149</v>
      </c>
      <c r="E999" s="112" t="s">
        <v>4150</v>
      </c>
      <c r="F999" s="111" t="s">
        <v>130</v>
      </c>
      <c r="G999" s="133">
        <v>95</v>
      </c>
      <c r="H999" s="124"/>
      <c r="I999" s="133" t="str">
        <f>IF(H999&gt;0,(#REF!*H999),"-")</f>
        <v>-</v>
      </c>
      <c r="J999" s="113">
        <v>1338</v>
      </c>
      <c r="K999" s="110" t="s">
        <v>389</v>
      </c>
      <c r="L999" s="110" t="s">
        <v>148</v>
      </c>
      <c r="M999" s="110" t="s">
        <v>129</v>
      </c>
      <c r="N999" s="110" t="s">
        <v>130</v>
      </c>
      <c r="O999" s="110" t="s">
        <v>4151</v>
      </c>
      <c r="P999" s="110" t="s">
        <v>132</v>
      </c>
      <c r="Q999" s="110" t="s">
        <v>96</v>
      </c>
      <c r="R999" s="121">
        <v>0.55900000000000005</v>
      </c>
      <c r="S999" s="113" t="e">
        <f t="shared" si="30"/>
        <v>#VALUE!</v>
      </c>
      <c r="T999" s="113">
        <f t="shared" si="31"/>
        <v>0</v>
      </c>
    </row>
    <row r="1000" spans="1:20" s="109" customFormat="1" x14ac:dyDescent="0.2">
      <c r="A1000" s="116"/>
      <c r="B1000" s="111"/>
      <c r="C1000" s="110" t="s">
        <v>4152</v>
      </c>
      <c r="D1000" s="110" t="s">
        <v>4153</v>
      </c>
      <c r="E1000" s="112" t="s">
        <v>4154</v>
      </c>
      <c r="F1000" s="111" t="s">
        <v>126</v>
      </c>
      <c r="G1000" s="133">
        <v>220</v>
      </c>
      <c r="H1000" s="124"/>
      <c r="I1000" s="133" t="str">
        <f>IF(H1000&gt;0,(#REF!*H1000),"-")</f>
        <v>-</v>
      </c>
      <c r="J1000" s="113">
        <v>669</v>
      </c>
      <c r="K1000" s="110" t="s">
        <v>389</v>
      </c>
      <c r="L1000" s="110" t="s">
        <v>148</v>
      </c>
      <c r="M1000" s="110" t="s">
        <v>129</v>
      </c>
      <c r="N1000" s="110" t="s">
        <v>130</v>
      </c>
      <c r="O1000" s="110" t="s">
        <v>4155</v>
      </c>
      <c r="P1000" s="110" t="s">
        <v>153</v>
      </c>
      <c r="Q1000" s="110" t="s">
        <v>96</v>
      </c>
      <c r="R1000" s="121">
        <v>0.31</v>
      </c>
      <c r="S1000" s="113" t="e">
        <f t="shared" si="30"/>
        <v>#VALUE!</v>
      </c>
      <c r="T1000" s="113">
        <f t="shared" si="31"/>
        <v>0</v>
      </c>
    </row>
    <row r="1001" spans="1:20" s="109" customFormat="1" x14ac:dyDescent="0.2">
      <c r="A1001" s="116"/>
      <c r="B1001" s="111" t="s">
        <v>2373</v>
      </c>
      <c r="C1001" s="110" t="s">
        <v>4156</v>
      </c>
      <c r="D1001" s="110" t="s">
        <v>4157</v>
      </c>
      <c r="E1001" s="112" t="s">
        <v>4158</v>
      </c>
      <c r="F1001" s="111" t="s">
        <v>130</v>
      </c>
      <c r="G1001" s="133">
        <v>30</v>
      </c>
      <c r="H1001" s="124"/>
      <c r="I1001" s="133" t="str">
        <f>IF(H1001&gt;0,(#REF!*H1001),"-")</f>
        <v>-</v>
      </c>
      <c r="J1001" s="113">
        <v>875</v>
      </c>
      <c r="K1001" s="110" t="s">
        <v>389</v>
      </c>
      <c r="L1001" s="110" t="s">
        <v>148</v>
      </c>
      <c r="M1001" s="110" t="s">
        <v>129</v>
      </c>
      <c r="N1001" s="110" t="s">
        <v>130</v>
      </c>
      <c r="O1001" s="110" t="s">
        <v>4159</v>
      </c>
      <c r="P1001" s="110" t="s">
        <v>132</v>
      </c>
      <c r="Q1001" s="110" t="s">
        <v>96</v>
      </c>
      <c r="R1001" s="121">
        <v>0.36</v>
      </c>
      <c r="S1001" s="113" t="e">
        <f t="shared" si="30"/>
        <v>#VALUE!</v>
      </c>
      <c r="T1001" s="113">
        <f t="shared" si="31"/>
        <v>0</v>
      </c>
    </row>
    <row r="1002" spans="1:20" s="109" customFormat="1" x14ac:dyDescent="0.2">
      <c r="A1002" s="116"/>
      <c r="B1002" s="111"/>
      <c r="C1002" s="110" t="s">
        <v>4160</v>
      </c>
      <c r="D1002" s="110" t="s">
        <v>4161</v>
      </c>
      <c r="E1002" s="112" t="s">
        <v>4162</v>
      </c>
      <c r="F1002" s="111" t="s">
        <v>126</v>
      </c>
      <c r="G1002" s="133">
        <v>95</v>
      </c>
      <c r="H1002" s="124"/>
      <c r="I1002" s="133" t="str">
        <f>IF(H1002&gt;0,(#REF!*H1002),"-")</f>
        <v>-</v>
      </c>
      <c r="J1002" s="113">
        <v>1364</v>
      </c>
      <c r="K1002" s="110" t="s">
        <v>389</v>
      </c>
      <c r="L1002" s="110" t="s">
        <v>148</v>
      </c>
      <c r="M1002" s="110" t="s">
        <v>129</v>
      </c>
      <c r="N1002" s="110" t="s">
        <v>130</v>
      </c>
      <c r="O1002" s="110" t="s">
        <v>4163</v>
      </c>
      <c r="P1002" s="110" t="s">
        <v>132</v>
      </c>
      <c r="Q1002" s="110" t="s">
        <v>96</v>
      </c>
      <c r="R1002" s="121">
        <v>0.56899999999999995</v>
      </c>
      <c r="S1002" s="113" t="e">
        <f t="shared" si="30"/>
        <v>#VALUE!</v>
      </c>
      <c r="T1002" s="113">
        <f t="shared" si="31"/>
        <v>0</v>
      </c>
    </row>
    <row r="1003" spans="1:20" s="109" customFormat="1" x14ac:dyDescent="0.2">
      <c r="A1003" s="116"/>
      <c r="B1003" s="111"/>
      <c r="C1003" s="110" t="s">
        <v>4164</v>
      </c>
      <c r="D1003" s="110" t="s">
        <v>4165</v>
      </c>
      <c r="E1003" s="112" t="s">
        <v>4166</v>
      </c>
      <c r="F1003" s="111" t="s">
        <v>126</v>
      </c>
      <c r="G1003" s="133">
        <v>95</v>
      </c>
      <c r="H1003" s="124"/>
      <c r="I1003" s="133" t="str">
        <f>IF(H1003&gt;0,(#REF!*H1003),"-")</f>
        <v>-</v>
      </c>
      <c r="J1003" s="113">
        <v>1287</v>
      </c>
      <c r="K1003" s="110" t="s">
        <v>389</v>
      </c>
      <c r="L1003" s="110" t="s">
        <v>148</v>
      </c>
      <c r="M1003" s="110" t="s">
        <v>129</v>
      </c>
      <c r="N1003" s="110" t="s">
        <v>130</v>
      </c>
      <c r="O1003" s="110" t="s">
        <v>4167</v>
      </c>
      <c r="P1003" s="110" t="s">
        <v>132</v>
      </c>
      <c r="Q1003" s="110" t="s">
        <v>96</v>
      </c>
      <c r="R1003" s="121">
        <v>0.55000000000000004</v>
      </c>
      <c r="S1003" s="113" t="e">
        <f t="shared" si="30"/>
        <v>#VALUE!</v>
      </c>
      <c r="T1003" s="113">
        <f t="shared" si="31"/>
        <v>0</v>
      </c>
    </row>
    <row r="1004" spans="1:20" s="109" customFormat="1" x14ac:dyDescent="0.2">
      <c r="A1004" s="116"/>
      <c r="B1004" s="111"/>
      <c r="C1004" s="110" t="s">
        <v>4168</v>
      </c>
      <c r="D1004" s="110" t="s">
        <v>4169</v>
      </c>
      <c r="E1004" s="112" t="s">
        <v>4170</v>
      </c>
      <c r="F1004" s="111" t="s">
        <v>126</v>
      </c>
      <c r="G1004" s="133">
        <v>95</v>
      </c>
      <c r="H1004" s="124"/>
      <c r="I1004" s="133" t="str">
        <f>IF(H1004&gt;0,(#REF!*H1004),"-")</f>
        <v>-</v>
      </c>
      <c r="J1004" s="113">
        <v>1287</v>
      </c>
      <c r="K1004" s="110" t="s">
        <v>389</v>
      </c>
      <c r="L1004" s="110" t="s">
        <v>148</v>
      </c>
      <c r="M1004" s="110" t="s">
        <v>129</v>
      </c>
      <c r="N1004" s="110" t="s">
        <v>130</v>
      </c>
      <c r="O1004" s="110" t="s">
        <v>4171</v>
      </c>
      <c r="P1004" s="110" t="s">
        <v>132</v>
      </c>
      <c r="Q1004" s="110" t="s">
        <v>96</v>
      </c>
      <c r="R1004" s="121">
        <v>0.54700000000000004</v>
      </c>
      <c r="S1004" s="113" t="e">
        <f t="shared" si="30"/>
        <v>#VALUE!</v>
      </c>
      <c r="T1004" s="113">
        <f t="shared" si="31"/>
        <v>0</v>
      </c>
    </row>
    <row r="1005" spans="1:20" s="109" customFormat="1" x14ac:dyDescent="0.2">
      <c r="A1005" s="116"/>
      <c r="B1005" s="111"/>
      <c r="C1005" s="110" t="s">
        <v>4172</v>
      </c>
      <c r="D1005" s="110" t="s">
        <v>4173</v>
      </c>
      <c r="E1005" s="112" t="s">
        <v>4174</v>
      </c>
      <c r="F1005" s="111" t="s">
        <v>126</v>
      </c>
      <c r="G1005" s="133">
        <v>43</v>
      </c>
      <c r="H1005" s="124"/>
      <c r="I1005" s="133" t="str">
        <f>IF(H1005&gt;0,(#REF!*H1005),"-")</f>
        <v>-</v>
      </c>
      <c r="J1005" s="113">
        <v>386</v>
      </c>
      <c r="K1005" s="110" t="s">
        <v>389</v>
      </c>
      <c r="L1005" s="110" t="s">
        <v>148</v>
      </c>
      <c r="M1005" s="110" t="s">
        <v>129</v>
      </c>
      <c r="N1005" s="110" t="s">
        <v>130</v>
      </c>
      <c r="O1005" s="110" t="s">
        <v>4175</v>
      </c>
      <c r="P1005" s="110" t="s">
        <v>132</v>
      </c>
      <c r="Q1005" s="110" t="s">
        <v>96</v>
      </c>
      <c r="R1005" s="121">
        <v>0.151</v>
      </c>
      <c r="S1005" s="113" t="e">
        <f t="shared" si="30"/>
        <v>#VALUE!</v>
      </c>
      <c r="T1005" s="113">
        <f t="shared" si="31"/>
        <v>0</v>
      </c>
    </row>
    <row r="1006" spans="1:20" s="109" customFormat="1" x14ac:dyDescent="0.2">
      <c r="A1006" s="116"/>
      <c r="B1006" s="111"/>
      <c r="C1006" s="110" t="s">
        <v>4176</v>
      </c>
      <c r="D1006" s="110" t="s">
        <v>4177</v>
      </c>
      <c r="E1006" s="112" t="s">
        <v>4178</v>
      </c>
      <c r="F1006" s="111" t="s">
        <v>126</v>
      </c>
      <c r="G1006" s="133">
        <v>52</v>
      </c>
      <c r="H1006" s="124"/>
      <c r="I1006" s="133" t="str">
        <f>IF(H1006&gt;0,(#REF!*H1006),"-")</f>
        <v>-</v>
      </c>
      <c r="J1006" s="113">
        <v>180</v>
      </c>
      <c r="K1006" s="110" t="s">
        <v>389</v>
      </c>
      <c r="L1006" s="110" t="s">
        <v>148</v>
      </c>
      <c r="M1006" s="110" t="s">
        <v>129</v>
      </c>
      <c r="N1006" s="110" t="s">
        <v>130</v>
      </c>
      <c r="O1006" s="110" t="s">
        <v>4179</v>
      </c>
      <c r="P1006" s="110" t="s">
        <v>153</v>
      </c>
      <c r="Q1006" s="110" t="s">
        <v>96</v>
      </c>
      <c r="R1006" s="121">
        <v>0.115</v>
      </c>
      <c r="S1006" s="113" t="e">
        <f t="shared" si="30"/>
        <v>#VALUE!</v>
      </c>
      <c r="T1006" s="113">
        <f t="shared" si="31"/>
        <v>0</v>
      </c>
    </row>
    <row r="1007" spans="1:20" s="109" customFormat="1" x14ac:dyDescent="0.2">
      <c r="A1007" s="116"/>
      <c r="B1007" s="111"/>
      <c r="C1007" s="110" t="s">
        <v>4180</v>
      </c>
      <c r="D1007" s="110" t="s">
        <v>4181</v>
      </c>
      <c r="E1007" s="112" t="s">
        <v>4182</v>
      </c>
      <c r="F1007" s="111" t="s">
        <v>126</v>
      </c>
      <c r="G1007" s="133">
        <v>56</v>
      </c>
      <c r="H1007" s="124"/>
      <c r="I1007" s="133" t="str">
        <f>IF(H1007&gt;0,(#REF!*H1007),"-")</f>
        <v>-</v>
      </c>
      <c r="J1007" s="113">
        <v>644</v>
      </c>
      <c r="K1007" s="110" t="s">
        <v>389</v>
      </c>
      <c r="L1007" s="110" t="s">
        <v>148</v>
      </c>
      <c r="M1007" s="110" t="s">
        <v>129</v>
      </c>
      <c r="N1007" s="110" t="s">
        <v>130</v>
      </c>
      <c r="O1007" s="110" t="s">
        <v>4183</v>
      </c>
      <c r="P1007" s="110" t="s">
        <v>132</v>
      </c>
      <c r="Q1007" s="110" t="s">
        <v>96</v>
      </c>
      <c r="R1007" s="121">
        <v>0.25900000000000001</v>
      </c>
      <c r="S1007" s="113" t="e">
        <f t="shared" si="30"/>
        <v>#VALUE!</v>
      </c>
      <c r="T1007" s="113">
        <f t="shared" si="31"/>
        <v>0</v>
      </c>
    </row>
    <row r="1008" spans="1:20" s="109" customFormat="1" x14ac:dyDescent="0.2">
      <c r="A1008" s="116"/>
      <c r="B1008" s="111"/>
      <c r="C1008" s="110" t="s">
        <v>4184</v>
      </c>
      <c r="D1008" s="110" t="s">
        <v>4185</v>
      </c>
      <c r="E1008" s="112" t="s">
        <v>4186</v>
      </c>
      <c r="F1008" s="111" t="s">
        <v>126</v>
      </c>
      <c r="G1008" s="133">
        <v>95</v>
      </c>
      <c r="H1008" s="124"/>
      <c r="I1008" s="133" t="str">
        <f>IF(H1008&gt;0,(#REF!*H1008),"-")</f>
        <v>-</v>
      </c>
      <c r="J1008" s="113">
        <v>1364</v>
      </c>
      <c r="K1008" s="110" t="s">
        <v>389</v>
      </c>
      <c r="L1008" s="110" t="s">
        <v>148</v>
      </c>
      <c r="M1008" s="110" t="s">
        <v>129</v>
      </c>
      <c r="N1008" s="110" t="s">
        <v>130</v>
      </c>
      <c r="O1008" s="110" t="s">
        <v>4187</v>
      </c>
      <c r="P1008" s="110" t="s">
        <v>132</v>
      </c>
      <c r="Q1008" s="110" t="s">
        <v>96</v>
      </c>
      <c r="R1008" s="121">
        <v>0.58899999999999997</v>
      </c>
      <c r="S1008" s="113" t="e">
        <f t="shared" si="30"/>
        <v>#VALUE!</v>
      </c>
      <c r="T1008" s="113">
        <f t="shared" si="31"/>
        <v>0</v>
      </c>
    </row>
    <row r="1009" spans="1:20" s="109" customFormat="1" x14ac:dyDescent="0.2">
      <c r="A1009" s="116"/>
      <c r="B1009" s="111"/>
      <c r="C1009" s="110" t="s">
        <v>4188</v>
      </c>
      <c r="D1009" s="110" t="s">
        <v>4189</v>
      </c>
      <c r="E1009" s="112" t="s">
        <v>4190</v>
      </c>
      <c r="F1009" s="111" t="s">
        <v>126</v>
      </c>
      <c r="G1009" s="133">
        <v>95</v>
      </c>
      <c r="H1009" s="124"/>
      <c r="I1009" s="133" t="str">
        <f>IF(H1009&gt;0,(#REF!*H1009),"-")</f>
        <v>-</v>
      </c>
      <c r="J1009" s="113">
        <v>1371</v>
      </c>
      <c r="K1009" s="110" t="s">
        <v>389</v>
      </c>
      <c r="L1009" s="110" t="s">
        <v>148</v>
      </c>
      <c r="M1009" s="110" t="s">
        <v>129</v>
      </c>
      <c r="N1009" s="110" t="s">
        <v>130</v>
      </c>
      <c r="O1009" s="110" t="s">
        <v>4191</v>
      </c>
      <c r="P1009" s="110" t="s">
        <v>132</v>
      </c>
      <c r="Q1009" s="110" t="s">
        <v>96</v>
      </c>
      <c r="R1009" s="121">
        <v>0.60399999999999998</v>
      </c>
      <c r="S1009" s="113" t="e">
        <f t="shared" si="30"/>
        <v>#VALUE!</v>
      </c>
      <c r="T1009" s="113">
        <f t="shared" si="31"/>
        <v>0</v>
      </c>
    </row>
    <row r="1010" spans="1:20" s="109" customFormat="1" x14ac:dyDescent="0.2">
      <c r="A1010" s="116"/>
      <c r="B1010" s="111"/>
      <c r="C1010" s="110" t="s">
        <v>4192</v>
      </c>
      <c r="D1010" s="110" t="s">
        <v>4193</v>
      </c>
      <c r="E1010" s="112" t="s">
        <v>4194</v>
      </c>
      <c r="F1010" s="111" t="s">
        <v>126</v>
      </c>
      <c r="G1010" s="133">
        <v>56</v>
      </c>
      <c r="H1010" s="124"/>
      <c r="I1010" s="133" t="str">
        <f>IF(H1010&gt;0,(#REF!*H1010),"-")</f>
        <v>-</v>
      </c>
      <c r="J1010" s="113">
        <v>493</v>
      </c>
      <c r="K1010" s="110" t="s">
        <v>389</v>
      </c>
      <c r="L1010" s="110" t="s">
        <v>148</v>
      </c>
      <c r="M1010" s="110" t="s">
        <v>129</v>
      </c>
      <c r="N1010" s="110" t="s">
        <v>130</v>
      </c>
      <c r="O1010" s="110" t="s">
        <v>4195</v>
      </c>
      <c r="P1010" s="110" t="s">
        <v>132</v>
      </c>
      <c r="Q1010" s="110" t="s">
        <v>96</v>
      </c>
      <c r="R1010" s="121">
        <v>0.21</v>
      </c>
      <c r="S1010" s="113" t="e">
        <f t="shared" si="30"/>
        <v>#VALUE!</v>
      </c>
      <c r="T1010" s="113">
        <f t="shared" si="31"/>
        <v>0</v>
      </c>
    </row>
    <row r="1011" spans="1:20" s="109" customFormat="1" x14ac:dyDescent="0.2">
      <c r="A1011" s="116"/>
      <c r="B1011" s="111"/>
      <c r="C1011" s="110" t="s">
        <v>4196</v>
      </c>
      <c r="D1011" s="110" t="s">
        <v>4197</v>
      </c>
      <c r="E1011" s="112" t="s">
        <v>4198</v>
      </c>
      <c r="F1011" s="111" t="s">
        <v>126</v>
      </c>
      <c r="G1011" s="133">
        <v>75</v>
      </c>
      <c r="H1011" s="124"/>
      <c r="I1011" s="133" t="str">
        <f>IF(H1011&gt;0,(#REF!*H1011),"-")</f>
        <v>-</v>
      </c>
      <c r="J1011" s="113">
        <v>194</v>
      </c>
      <c r="K1011" s="110" t="s">
        <v>389</v>
      </c>
      <c r="L1011" s="110" t="s">
        <v>148</v>
      </c>
      <c r="M1011" s="110" t="s">
        <v>129</v>
      </c>
      <c r="N1011" s="110" t="s">
        <v>130</v>
      </c>
      <c r="O1011" s="110" t="s">
        <v>4199</v>
      </c>
      <c r="P1011" s="110" t="s">
        <v>153</v>
      </c>
      <c r="Q1011" s="110" t="s">
        <v>96</v>
      </c>
      <c r="R1011" s="121">
        <v>9.9000000000000005E-2</v>
      </c>
      <c r="S1011" s="113" t="e">
        <f t="shared" si="30"/>
        <v>#VALUE!</v>
      </c>
      <c r="T1011" s="113">
        <f t="shared" si="31"/>
        <v>0</v>
      </c>
    </row>
    <row r="1012" spans="1:20" s="109" customFormat="1" x14ac:dyDescent="0.2">
      <c r="A1012" s="116"/>
      <c r="B1012" s="111"/>
      <c r="C1012" s="110" t="s">
        <v>4200</v>
      </c>
      <c r="D1012" s="110" t="s">
        <v>4201</v>
      </c>
      <c r="E1012" s="112" t="s">
        <v>4202</v>
      </c>
      <c r="F1012" s="111" t="s">
        <v>126</v>
      </c>
      <c r="G1012" s="133">
        <v>56</v>
      </c>
      <c r="H1012" s="124"/>
      <c r="I1012" s="133" t="str">
        <f>IF(H1012&gt;0,(#REF!*H1012),"-")</f>
        <v>-</v>
      </c>
      <c r="J1012" s="113">
        <v>543</v>
      </c>
      <c r="K1012" s="110" t="s">
        <v>389</v>
      </c>
      <c r="L1012" s="110" t="s">
        <v>148</v>
      </c>
      <c r="M1012" s="110" t="s">
        <v>129</v>
      </c>
      <c r="N1012" s="110" t="s">
        <v>130</v>
      </c>
      <c r="O1012" s="110" t="s">
        <v>4203</v>
      </c>
      <c r="P1012" s="110" t="s">
        <v>132</v>
      </c>
      <c r="Q1012" s="110" t="s">
        <v>96</v>
      </c>
      <c r="R1012" s="121">
        <v>0.23899999999999999</v>
      </c>
      <c r="S1012" s="113" t="e">
        <f t="shared" si="30"/>
        <v>#VALUE!</v>
      </c>
      <c r="T1012" s="113">
        <f t="shared" si="31"/>
        <v>0</v>
      </c>
    </row>
    <row r="1013" spans="1:20" s="109" customFormat="1" x14ac:dyDescent="0.2">
      <c r="A1013" s="116"/>
      <c r="B1013" s="111"/>
      <c r="C1013" s="110" t="s">
        <v>4204</v>
      </c>
      <c r="D1013" s="110" t="s">
        <v>4205</v>
      </c>
      <c r="E1013" s="112" t="s">
        <v>4206</v>
      </c>
      <c r="F1013" s="111" t="s">
        <v>126</v>
      </c>
      <c r="G1013" s="133">
        <v>56</v>
      </c>
      <c r="H1013" s="124"/>
      <c r="I1013" s="133" t="str">
        <f>IF(H1013&gt;0,(#REF!*H1013),"-")</f>
        <v>-</v>
      </c>
      <c r="J1013" s="113">
        <v>770</v>
      </c>
      <c r="K1013" s="110" t="s">
        <v>389</v>
      </c>
      <c r="L1013" s="110" t="s">
        <v>148</v>
      </c>
      <c r="M1013" s="110" t="s">
        <v>129</v>
      </c>
      <c r="N1013" s="110" t="s">
        <v>130</v>
      </c>
      <c r="O1013" s="110" t="s">
        <v>4207</v>
      </c>
      <c r="P1013" s="110" t="s">
        <v>132</v>
      </c>
      <c r="Q1013" s="110" t="s">
        <v>96</v>
      </c>
      <c r="R1013" s="121">
        <v>0.34200000000000003</v>
      </c>
      <c r="S1013" s="113" t="e">
        <f t="shared" si="30"/>
        <v>#VALUE!</v>
      </c>
      <c r="T1013" s="113">
        <f t="shared" si="31"/>
        <v>0</v>
      </c>
    </row>
    <row r="1014" spans="1:20" s="109" customFormat="1" x14ac:dyDescent="0.2">
      <c r="A1014" s="116"/>
      <c r="B1014" s="111"/>
      <c r="C1014" s="110" t="s">
        <v>4208</v>
      </c>
      <c r="D1014" s="110" t="s">
        <v>4209</v>
      </c>
      <c r="E1014" s="112" t="s">
        <v>4210</v>
      </c>
      <c r="F1014" s="111" t="s">
        <v>126</v>
      </c>
      <c r="G1014" s="133">
        <v>43</v>
      </c>
      <c r="H1014" s="124"/>
      <c r="I1014" s="133" t="str">
        <f>IF(H1014&gt;0,(#REF!*H1014),"-")</f>
        <v>-</v>
      </c>
      <c r="J1014" s="113">
        <v>338</v>
      </c>
      <c r="K1014" s="110" t="s">
        <v>389</v>
      </c>
      <c r="L1014" s="110" t="s">
        <v>148</v>
      </c>
      <c r="M1014" s="110" t="s">
        <v>129</v>
      </c>
      <c r="N1014" s="110" t="s">
        <v>130</v>
      </c>
      <c r="O1014" s="110" t="s">
        <v>4211</v>
      </c>
      <c r="P1014" s="110" t="s">
        <v>132</v>
      </c>
      <c r="Q1014" s="110" t="s">
        <v>96</v>
      </c>
      <c r="R1014" s="121">
        <v>0.14099999999999999</v>
      </c>
      <c r="S1014" s="113" t="e">
        <f t="shared" si="30"/>
        <v>#VALUE!</v>
      </c>
      <c r="T1014" s="113">
        <f t="shared" si="31"/>
        <v>0</v>
      </c>
    </row>
    <row r="1015" spans="1:20" s="109" customFormat="1" x14ac:dyDescent="0.2">
      <c r="A1015" s="116"/>
      <c r="B1015" s="111"/>
      <c r="C1015" s="110" t="s">
        <v>4212</v>
      </c>
      <c r="D1015" s="110" t="s">
        <v>4213</v>
      </c>
      <c r="E1015" s="112" t="s">
        <v>4214</v>
      </c>
      <c r="F1015" s="111" t="s">
        <v>126</v>
      </c>
      <c r="G1015" s="133">
        <v>75</v>
      </c>
      <c r="H1015" s="124"/>
      <c r="I1015" s="133" t="str">
        <f>IF(H1015&gt;0,(#REF!*H1015),"-")</f>
        <v>-</v>
      </c>
      <c r="J1015" s="113">
        <v>178</v>
      </c>
      <c r="K1015" s="110" t="s">
        <v>389</v>
      </c>
      <c r="L1015" s="110" t="s">
        <v>148</v>
      </c>
      <c r="M1015" s="110" t="s">
        <v>129</v>
      </c>
      <c r="N1015" s="110" t="s">
        <v>130</v>
      </c>
      <c r="O1015" s="110" t="s">
        <v>4215</v>
      </c>
      <c r="P1015" s="110" t="s">
        <v>153</v>
      </c>
      <c r="Q1015" s="110" t="s">
        <v>96</v>
      </c>
      <c r="R1015" s="121">
        <v>8.6099999999999996E-2</v>
      </c>
      <c r="S1015" s="113" t="e">
        <f t="shared" si="30"/>
        <v>#VALUE!</v>
      </c>
      <c r="T1015" s="113">
        <f t="shared" si="31"/>
        <v>0</v>
      </c>
    </row>
    <row r="1016" spans="1:20" s="109" customFormat="1" x14ac:dyDescent="0.2">
      <c r="A1016" s="116"/>
      <c r="B1016" s="111"/>
      <c r="C1016" s="110" t="s">
        <v>4216</v>
      </c>
      <c r="D1016" s="110" t="s">
        <v>4217</v>
      </c>
      <c r="E1016" s="112" t="s">
        <v>4218</v>
      </c>
      <c r="F1016" s="111" t="s">
        <v>126</v>
      </c>
      <c r="G1016" s="133">
        <v>56</v>
      </c>
      <c r="H1016" s="124"/>
      <c r="I1016" s="133" t="str">
        <f>IF(H1016&gt;0,(#REF!*H1016),"-")</f>
        <v>-</v>
      </c>
      <c r="J1016" s="113">
        <v>724</v>
      </c>
      <c r="K1016" s="110" t="s">
        <v>389</v>
      </c>
      <c r="L1016" s="110" t="s">
        <v>148</v>
      </c>
      <c r="M1016" s="110" t="s">
        <v>129</v>
      </c>
      <c r="N1016" s="110" t="s">
        <v>130</v>
      </c>
      <c r="O1016" s="110" t="s">
        <v>4219</v>
      </c>
      <c r="P1016" s="110" t="s">
        <v>132</v>
      </c>
      <c r="Q1016" s="110" t="s">
        <v>96</v>
      </c>
      <c r="R1016" s="121">
        <v>0.313</v>
      </c>
      <c r="S1016" s="113" t="e">
        <f t="shared" si="30"/>
        <v>#VALUE!</v>
      </c>
      <c r="T1016" s="113">
        <f t="shared" si="31"/>
        <v>0</v>
      </c>
    </row>
    <row r="1017" spans="1:20" s="109" customFormat="1" x14ac:dyDescent="0.2">
      <c r="A1017" s="116"/>
      <c r="B1017" s="111" t="s">
        <v>2373</v>
      </c>
      <c r="C1017" s="110" t="s">
        <v>4220</v>
      </c>
      <c r="D1017" s="110" t="s">
        <v>4221</v>
      </c>
      <c r="E1017" s="112" t="s">
        <v>4222</v>
      </c>
      <c r="F1017" s="111" t="s">
        <v>130</v>
      </c>
      <c r="G1017" s="133">
        <v>56</v>
      </c>
      <c r="H1017" s="124"/>
      <c r="I1017" s="133" t="str">
        <f>IF(H1017&gt;0,(#REF!*H1017),"-")</f>
        <v>-</v>
      </c>
      <c r="J1017" s="113">
        <v>746</v>
      </c>
      <c r="K1017" s="110" t="s">
        <v>389</v>
      </c>
      <c r="L1017" s="110" t="s">
        <v>148</v>
      </c>
      <c r="M1017" s="110" t="s">
        <v>129</v>
      </c>
      <c r="N1017" s="110" t="s">
        <v>130</v>
      </c>
      <c r="O1017" s="110" t="s">
        <v>4223</v>
      </c>
      <c r="P1017" s="110" t="s">
        <v>132</v>
      </c>
      <c r="Q1017" s="110" t="s">
        <v>96</v>
      </c>
      <c r="R1017" s="121">
        <v>0.32700000000000001</v>
      </c>
      <c r="S1017" s="113" t="e">
        <f t="shared" si="30"/>
        <v>#VALUE!</v>
      </c>
      <c r="T1017" s="113">
        <f t="shared" si="31"/>
        <v>0</v>
      </c>
    </row>
    <row r="1018" spans="1:20" s="109" customFormat="1" x14ac:dyDescent="0.2">
      <c r="A1018" s="116"/>
      <c r="B1018" s="111"/>
      <c r="C1018" s="110" t="s">
        <v>4224</v>
      </c>
      <c r="D1018" s="110" t="s">
        <v>4225</v>
      </c>
      <c r="E1018" s="112" t="s">
        <v>4226</v>
      </c>
      <c r="F1018" s="111" t="s">
        <v>126</v>
      </c>
      <c r="G1018" s="133">
        <v>95</v>
      </c>
      <c r="H1018" s="124"/>
      <c r="I1018" s="133" t="str">
        <f>IF(H1018&gt;0,(#REF!*H1018),"-")</f>
        <v>-</v>
      </c>
      <c r="J1018" s="113">
        <v>1338</v>
      </c>
      <c r="K1018" s="110" t="s">
        <v>389</v>
      </c>
      <c r="L1018" s="110" t="s">
        <v>148</v>
      </c>
      <c r="M1018" s="110" t="s">
        <v>129</v>
      </c>
      <c r="N1018" s="110" t="s">
        <v>130</v>
      </c>
      <c r="O1018" s="110" t="s">
        <v>4227</v>
      </c>
      <c r="P1018" s="110" t="s">
        <v>132</v>
      </c>
      <c r="Q1018" s="110" t="s">
        <v>96</v>
      </c>
      <c r="R1018" s="121">
        <v>0.58099999999999996</v>
      </c>
      <c r="S1018" s="113" t="e">
        <f t="shared" si="30"/>
        <v>#VALUE!</v>
      </c>
      <c r="T1018" s="113">
        <f t="shared" si="31"/>
        <v>0</v>
      </c>
    </row>
    <row r="1019" spans="1:20" s="109" customFormat="1" x14ac:dyDescent="0.2">
      <c r="A1019" s="116"/>
      <c r="B1019" s="111"/>
      <c r="C1019" s="110" t="s">
        <v>4228</v>
      </c>
      <c r="D1019" s="110" t="s">
        <v>4229</v>
      </c>
      <c r="E1019" s="112" t="s">
        <v>4230</v>
      </c>
      <c r="F1019" s="111" t="s">
        <v>126</v>
      </c>
      <c r="G1019" s="133">
        <v>43</v>
      </c>
      <c r="H1019" s="124"/>
      <c r="I1019" s="133" t="str">
        <f>IF(H1019&gt;0,(#REF!*H1019),"-")</f>
        <v>-</v>
      </c>
      <c r="J1019" s="113">
        <v>310</v>
      </c>
      <c r="K1019" s="110" t="s">
        <v>389</v>
      </c>
      <c r="L1019" s="110" t="s">
        <v>148</v>
      </c>
      <c r="M1019" s="110" t="s">
        <v>129</v>
      </c>
      <c r="N1019" s="110" t="s">
        <v>130</v>
      </c>
      <c r="O1019" s="110" t="s">
        <v>4231</v>
      </c>
      <c r="P1019" s="110" t="s">
        <v>132</v>
      </c>
      <c r="Q1019" s="110" t="s">
        <v>96</v>
      </c>
      <c r="R1019" s="121">
        <v>0.81</v>
      </c>
      <c r="S1019" s="113" t="e">
        <f t="shared" si="30"/>
        <v>#VALUE!</v>
      </c>
      <c r="T1019" s="113">
        <f t="shared" si="31"/>
        <v>0</v>
      </c>
    </row>
    <row r="1020" spans="1:20" s="109" customFormat="1" x14ac:dyDescent="0.2">
      <c r="A1020" s="116"/>
      <c r="B1020" s="111"/>
      <c r="C1020" s="110" t="s">
        <v>4232</v>
      </c>
      <c r="D1020" s="110" t="s">
        <v>4233</v>
      </c>
      <c r="E1020" s="112" t="s">
        <v>4234</v>
      </c>
      <c r="F1020" s="111" t="s">
        <v>126</v>
      </c>
      <c r="G1020" s="133">
        <v>56</v>
      </c>
      <c r="H1020" s="124"/>
      <c r="I1020" s="133" t="str">
        <f>IF(H1020&gt;0,(#REF!*H1020),"-")</f>
        <v>-</v>
      </c>
      <c r="J1020" s="113">
        <v>673</v>
      </c>
      <c r="K1020" s="110" t="s">
        <v>389</v>
      </c>
      <c r="L1020" s="110" t="s">
        <v>148</v>
      </c>
      <c r="M1020" s="110" t="s">
        <v>129</v>
      </c>
      <c r="N1020" s="110" t="s">
        <v>130</v>
      </c>
      <c r="O1020" s="110" t="s">
        <v>4235</v>
      </c>
      <c r="P1020" s="110" t="s">
        <v>132</v>
      </c>
      <c r="Q1020" s="110" t="s">
        <v>96</v>
      </c>
      <c r="R1020" s="121">
        <v>0.27700000000000002</v>
      </c>
      <c r="S1020" s="113" t="e">
        <f t="shared" si="30"/>
        <v>#VALUE!</v>
      </c>
      <c r="T1020" s="113">
        <f t="shared" si="31"/>
        <v>0</v>
      </c>
    </row>
    <row r="1021" spans="1:20" s="109" customFormat="1" x14ac:dyDescent="0.2">
      <c r="A1021" s="116"/>
      <c r="B1021" s="111"/>
      <c r="C1021" s="110" t="s">
        <v>4236</v>
      </c>
      <c r="D1021" s="110" t="s">
        <v>4237</v>
      </c>
      <c r="E1021" s="112" t="s">
        <v>4238</v>
      </c>
      <c r="F1021" s="111" t="s">
        <v>126</v>
      </c>
      <c r="G1021" s="133">
        <v>56</v>
      </c>
      <c r="H1021" s="124"/>
      <c r="I1021" s="133" t="str">
        <f>IF(H1021&gt;0,(#REF!*H1021),"-")</f>
        <v>-</v>
      </c>
      <c r="J1021" s="113">
        <v>566</v>
      </c>
      <c r="K1021" s="110" t="s">
        <v>389</v>
      </c>
      <c r="L1021" s="110" t="s">
        <v>148</v>
      </c>
      <c r="M1021" s="110" t="s">
        <v>129</v>
      </c>
      <c r="N1021" s="110" t="s">
        <v>130</v>
      </c>
      <c r="O1021" s="110" t="s">
        <v>4239</v>
      </c>
      <c r="P1021" s="110" t="s">
        <v>132</v>
      </c>
      <c r="Q1021" s="110" t="s">
        <v>96</v>
      </c>
      <c r="R1021" s="121">
        <v>0.255</v>
      </c>
      <c r="S1021" s="113" t="e">
        <f t="shared" si="30"/>
        <v>#VALUE!</v>
      </c>
      <c r="T1021" s="113">
        <f t="shared" si="31"/>
        <v>0</v>
      </c>
    </row>
    <row r="1022" spans="1:20" s="109" customFormat="1" x14ac:dyDescent="0.2">
      <c r="A1022" s="116"/>
      <c r="B1022" s="111"/>
      <c r="C1022" s="110" t="s">
        <v>4240</v>
      </c>
      <c r="D1022" s="110" t="s">
        <v>4241</v>
      </c>
      <c r="E1022" s="112" t="s">
        <v>4242</v>
      </c>
      <c r="F1022" s="111" t="s">
        <v>126</v>
      </c>
      <c r="G1022" s="133">
        <v>56</v>
      </c>
      <c r="H1022" s="124"/>
      <c r="I1022" s="133" t="str">
        <f>IF(H1022&gt;0,(#REF!*H1022),"-")</f>
        <v>-</v>
      </c>
      <c r="J1022" s="113">
        <v>541</v>
      </c>
      <c r="K1022" s="110" t="s">
        <v>389</v>
      </c>
      <c r="L1022" s="110" t="s">
        <v>148</v>
      </c>
      <c r="M1022" s="110" t="s">
        <v>129</v>
      </c>
      <c r="N1022" s="110" t="s">
        <v>130</v>
      </c>
      <c r="O1022" s="110" t="s">
        <v>4243</v>
      </c>
      <c r="P1022" s="110" t="s">
        <v>132</v>
      </c>
      <c r="Q1022" s="110" t="s">
        <v>96</v>
      </c>
      <c r="R1022" s="121">
        <v>0.23400000000000001</v>
      </c>
      <c r="S1022" s="113" t="e">
        <f t="shared" si="30"/>
        <v>#VALUE!</v>
      </c>
      <c r="T1022" s="113">
        <f t="shared" si="31"/>
        <v>0</v>
      </c>
    </row>
    <row r="1023" spans="1:20" s="109" customFormat="1" x14ac:dyDescent="0.2">
      <c r="A1023" s="116"/>
      <c r="B1023" s="111"/>
      <c r="C1023" s="110" t="s">
        <v>4244</v>
      </c>
      <c r="D1023" s="110" t="s">
        <v>4245</v>
      </c>
      <c r="E1023" s="112" t="s">
        <v>4246</v>
      </c>
      <c r="F1023" s="111" t="s">
        <v>126</v>
      </c>
      <c r="G1023" s="133">
        <v>56</v>
      </c>
      <c r="H1023" s="124"/>
      <c r="I1023" s="133" t="str">
        <f>IF(H1023&gt;0,(#REF!*H1023),"-")</f>
        <v>-</v>
      </c>
      <c r="J1023" s="113">
        <v>741</v>
      </c>
      <c r="K1023" s="110" t="s">
        <v>389</v>
      </c>
      <c r="L1023" s="110" t="s">
        <v>148</v>
      </c>
      <c r="M1023" s="110" t="s">
        <v>129</v>
      </c>
      <c r="N1023" s="110" t="s">
        <v>130</v>
      </c>
      <c r="O1023" s="110" t="s">
        <v>4247</v>
      </c>
      <c r="P1023" s="110" t="s">
        <v>132</v>
      </c>
      <c r="Q1023" s="110" t="s">
        <v>96</v>
      </c>
      <c r="R1023" s="121">
        <v>0.34739999999999999</v>
      </c>
      <c r="S1023" s="113" t="e">
        <f t="shared" si="30"/>
        <v>#VALUE!</v>
      </c>
      <c r="T1023" s="113">
        <f t="shared" si="31"/>
        <v>0</v>
      </c>
    </row>
    <row r="1024" spans="1:20" s="109" customFormat="1" x14ac:dyDescent="0.2">
      <c r="A1024" s="116"/>
      <c r="B1024" s="111"/>
      <c r="C1024" s="110" t="s">
        <v>4248</v>
      </c>
      <c r="D1024" s="110" t="s">
        <v>4249</v>
      </c>
      <c r="E1024" s="112" t="s">
        <v>4250</v>
      </c>
      <c r="F1024" s="111" t="s">
        <v>126</v>
      </c>
      <c r="G1024" s="133">
        <v>75</v>
      </c>
      <c r="H1024" s="124"/>
      <c r="I1024" s="133" t="str">
        <f>IF(H1024&gt;0,(#REF!*H1024),"-")</f>
        <v>-</v>
      </c>
      <c r="J1024" s="113">
        <v>123</v>
      </c>
      <c r="K1024" s="110" t="s">
        <v>389</v>
      </c>
      <c r="L1024" s="110" t="s">
        <v>148</v>
      </c>
      <c r="M1024" s="110" t="s">
        <v>129</v>
      </c>
      <c r="N1024" s="110" t="s">
        <v>130</v>
      </c>
      <c r="O1024" s="110" t="s">
        <v>4251</v>
      </c>
      <c r="P1024" s="110" t="s">
        <v>153</v>
      </c>
      <c r="Q1024" s="110" t="s">
        <v>96</v>
      </c>
      <c r="R1024" s="121">
        <v>6.8000000000000005E-2</v>
      </c>
      <c r="S1024" s="113" t="e">
        <f t="shared" si="30"/>
        <v>#VALUE!</v>
      </c>
      <c r="T1024" s="113">
        <f t="shared" si="31"/>
        <v>0</v>
      </c>
    </row>
    <row r="1025" spans="1:20" s="109" customFormat="1" x14ac:dyDescent="0.2">
      <c r="A1025" s="116"/>
      <c r="B1025" s="111"/>
      <c r="C1025" s="110" t="s">
        <v>4252</v>
      </c>
      <c r="D1025" s="110" t="s">
        <v>4253</v>
      </c>
      <c r="E1025" s="112" t="s">
        <v>4254</v>
      </c>
      <c r="F1025" s="111" t="s">
        <v>126</v>
      </c>
      <c r="G1025" s="133">
        <v>112</v>
      </c>
      <c r="H1025" s="124"/>
      <c r="I1025" s="133" t="str">
        <f>IF(H1025&gt;0,(#REF!*H1025),"-")</f>
        <v>-</v>
      </c>
      <c r="J1025" s="113">
        <v>1176</v>
      </c>
      <c r="K1025" s="110" t="s">
        <v>389</v>
      </c>
      <c r="L1025" s="110" t="s">
        <v>148</v>
      </c>
      <c r="M1025" s="110" t="s">
        <v>129</v>
      </c>
      <c r="N1025" s="110" t="s">
        <v>130</v>
      </c>
      <c r="O1025" s="110" t="s">
        <v>4255</v>
      </c>
      <c r="P1025" s="110" t="s">
        <v>132</v>
      </c>
      <c r="Q1025" s="110" t="s">
        <v>97</v>
      </c>
      <c r="R1025" s="121">
        <v>0.62729999999999997</v>
      </c>
      <c r="S1025" s="113" t="e">
        <f t="shared" si="30"/>
        <v>#VALUE!</v>
      </c>
      <c r="T1025" s="113">
        <f t="shared" si="31"/>
        <v>0</v>
      </c>
    </row>
    <row r="1026" spans="1:20" s="109" customFormat="1" x14ac:dyDescent="0.2">
      <c r="A1026" s="116"/>
      <c r="B1026" s="111"/>
      <c r="C1026" s="110" t="s">
        <v>4256</v>
      </c>
      <c r="D1026" s="110" t="s">
        <v>4257</v>
      </c>
      <c r="E1026" s="112" t="s">
        <v>4258</v>
      </c>
      <c r="F1026" s="111" t="s">
        <v>126</v>
      </c>
      <c r="G1026" s="133">
        <v>56</v>
      </c>
      <c r="H1026" s="124"/>
      <c r="I1026" s="133" t="str">
        <f>IF(H1026&gt;0,(#REF!*H1026),"-")</f>
        <v>-</v>
      </c>
      <c r="J1026" s="113">
        <v>515</v>
      </c>
      <c r="K1026" s="110" t="s">
        <v>389</v>
      </c>
      <c r="L1026" s="110" t="s">
        <v>148</v>
      </c>
      <c r="M1026" s="110" t="s">
        <v>129</v>
      </c>
      <c r="N1026" s="110" t="s">
        <v>130</v>
      </c>
      <c r="O1026" s="110" t="s">
        <v>4259</v>
      </c>
      <c r="P1026" s="110" t="s">
        <v>132</v>
      </c>
      <c r="Q1026" s="110" t="s">
        <v>96</v>
      </c>
      <c r="R1026" s="121">
        <v>0.214</v>
      </c>
      <c r="S1026" s="113" t="e">
        <f t="shared" ref="S1026:S1089" si="32">Q1026*H1026</f>
        <v>#VALUE!</v>
      </c>
      <c r="T1026" s="113">
        <f t="shared" ref="T1026:T1089" si="33">R1026*H1026</f>
        <v>0</v>
      </c>
    </row>
    <row r="1027" spans="1:20" s="109" customFormat="1" x14ac:dyDescent="0.2">
      <c r="A1027" s="116"/>
      <c r="B1027" s="111"/>
      <c r="C1027" s="110" t="s">
        <v>4260</v>
      </c>
      <c r="D1027" s="110" t="s">
        <v>4261</v>
      </c>
      <c r="E1027" s="112" t="s">
        <v>4262</v>
      </c>
      <c r="F1027" s="111" t="s">
        <v>126</v>
      </c>
      <c r="G1027" s="133">
        <v>80</v>
      </c>
      <c r="H1027" s="124"/>
      <c r="I1027" s="133" t="str">
        <f>IF(H1027&gt;0,(#REF!*H1027),"-")</f>
        <v>-</v>
      </c>
      <c r="J1027" s="113">
        <v>1242</v>
      </c>
      <c r="K1027" s="110" t="s">
        <v>389</v>
      </c>
      <c r="L1027" s="110" t="s">
        <v>148</v>
      </c>
      <c r="M1027" s="110" t="s">
        <v>129</v>
      </c>
      <c r="N1027" s="110" t="s">
        <v>130</v>
      </c>
      <c r="O1027" s="110" t="s">
        <v>4263</v>
      </c>
      <c r="P1027" s="110" t="s">
        <v>132</v>
      </c>
      <c r="Q1027" s="110" t="s">
        <v>96</v>
      </c>
      <c r="R1027" s="121">
        <v>0.53200000000000003</v>
      </c>
      <c r="S1027" s="113" t="e">
        <f t="shared" si="32"/>
        <v>#VALUE!</v>
      </c>
      <c r="T1027" s="113">
        <f t="shared" si="33"/>
        <v>0</v>
      </c>
    </row>
    <row r="1028" spans="1:20" s="109" customFormat="1" x14ac:dyDescent="0.2">
      <c r="A1028" s="116"/>
      <c r="B1028" s="111"/>
      <c r="C1028" s="110" t="s">
        <v>4264</v>
      </c>
      <c r="D1028" s="110" t="s">
        <v>4265</v>
      </c>
      <c r="E1028" s="112" t="s">
        <v>4266</v>
      </c>
      <c r="F1028" s="111" t="s">
        <v>126</v>
      </c>
      <c r="G1028" s="133">
        <v>95</v>
      </c>
      <c r="H1028" s="124"/>
      <c r="I1028" s="133" t="str">
        <f>IF(H1028&gt;0,(#REF!*H1028),"-")</f>
        <v>-</v>
      </c>
      <c r="J1028" s="113">
        <v>1467</v>
      </c>
      <c r="K1028" s="110" t="s">
        <v>389</v>
      </c>
      <c r="L1028" s="110" t="s">
        <v>148</v>
      </c>
      <c r="M1028" s="110" t="s">
        <v>129</v>
      </c>
      <c r="N1028" s="110" t="s">
        <v>130</v>
      </c>
      <c r="O1028" s="110" t="s">
        <v>4267</v>
      </c>
      <c r="P1028" s="110" t="s">
        <v>132</v>
      </c>
      <c r="Q1028" s="110" t="s">
        <v>96</v>
      </c>
      <c r="R1028" s="121">
        <v>0.624</v>
      </c>
      <c r="S1028" s="113" t="e">
        <f t="shared" si="32"/>
        <v>#VALUE!</v>
      </c>
      <c r="T1028" s="113">
        <f t="shared" si="33"/>
        <v>0</v>
      </c>
    </row>
    <row r="1029" spans="1:20" s="109" customFormat="1" x14ac:dyDescent="0.2">
      <c r="A1029" s="116"/>
      <c r="B1029" s="111"/>
      <c r="C1029" s="110" t="s">
        <v>4268</v>
      </c>
      <c r="D1029" s="110" t="s">
        <v>4269</v>
      </c>
      <c r="E1029" s="112" t="s">
        <v>4270</v>
      </c>
      <c r="F1029" s="111" t="s">
        <v>126</v>
      </c>
      <c r="G1029" s="133">
        <v>220</v>
      </c>
      <c r="H1029" s="124"/>
      <c r="I1029" s="133" t="str">
        <f>IF(H1029&gt;0,(#REF!*H1029),"-")</f>
        <v>-</v>
      </c>
      <c r="J1029" s="113">
        <v>660</v>
      </c>
      <c r="K1029" s="110" t="s">
        <v>389</v>
      </c>
      <c r="L1029" s="110" t="s">
        <v>148</v>
      </c>
      <c r="M1029" s="110" t="s">
        <v>129</v>
      </c>
      <c r="N1029" s="110" t="s">
        <v>130</v>
      </c>
      <c r="O1029" s="110" t="s">
        <v>4271</v>
      </c>
      <c r="P1029" s="110" t="s">
        <v>153</v>
      </c>
      <c r="Q1029" s="110" t="s">
        <v>96</v>
      </c>
      <c r="R1029" s="121">
        <v>0.31359999999999999</v>
      </c>
      <c r="S1029" s="113" t="e">
        <f t="shared" si="32"/>
        <v>#VALUE!</v>
      </c>
      <c r="T1029" s="113">
        <f t="shared" si="33"/>
        <v>0</v>
      </c>
    </row>
    <row r="1030" spans="1:20" s="109" customFormat="1" x14ac:dyDescent="0.2">
      <c r="A1030" s="116"/>
      <c r="B1030" s="111"/>
      <c r="C1030" s="110" t="s">
        <v>4272</v>
      </c>
      <c r="D1030" s="110" t="s">
        <v>4273</v>
      </c>
      <c r="E1030" s="112" t="s">
        <v>4274</v>
      </c>
      <c r="F1030" s="111" t="s">
        <v>126</v>
      </c>
      <c r="G1030" s="133">
        <v>56</v>
      </c>
      <c r="H1030" s="124"/>
      <c r="I1030" s="133" t="str">
        <f>IF(H1030&gt;0,(#REF!*H1030),"-")</f>
        <v>-</v>
      </c>
      <c r="J1030" s="113">
        <v>520</v>
      </c>
      <c r="K1030" s="110" t="s">
        <v>389</v>
      </c>
      <c r="L1030" s="110" t="s">
        <v>148</v>
      </c>
      <c r="M1030" s="110" t="s">
        <v>129</v>
      </c>
      <c r="N1030" s="110" t="s">
        <v>130</v>
      </c>
      <c r="O1030" s="110" t="s">
        <v>4275</v>
      </c>
      <c r="P1030" s="110" t="s">
        <v>132</v>
      </c>
      <c r="Q1030" s="110" t="s">
        <v>96</v>
      </c>
      <c r="R1030" s="121">
        <v>0.2228</v>
      </c>
      <c r="S1030" s="113" t="e">
        <f t="shared" si="32"/>
        <v>#VALUE!</v>
      </c>
      <c r="T1030" s="113">
        <f t="shared" si="33"/>
        <v>0</v>
      </c>
    </row>
    <row r="1031" spans="1:20" s="109" customFormat="1" x14ac:dyDescent="0.2">
      <c r="A1031" s="116"/>
      <c r="B1031" s="111" t="s">
        <v>2373</v>
      </c>
      <c r="C1031" s="110" t="s">
        <v>4276</v>
      </c>
      <c r="D1031" s="110" t="s">
        <v>4277</v>
      </c>
      <c r="E1031" s="112" t="s">
        <v>4278</v>
      </c>
      <c r="F1031" s="111" t="s">
        <v>130</v>
      </c>
      <c r="G1031" s="133">
        <v>56</v>
      </c>
      <c r="H1031" s="124"/>
      <c r="I1031" s="133" t="str">
        <f>IF(H1031&gt;0,(#REF!*H1031),"-")</f>
        <v>-</v>
      </c>
      <c r="J1031" s="113">
        <v>721</v>
      </c>
      <c r="K1031" s="110" t="s">
        <v>389</v>
      </c>
      <c r="L1031" s="110" t="s">
        <v>148</v>
      </c>
      <c r="M1031" s="110" t="s">
        <v>129</v>
      </c>
      <c r="N1031" s="110" t="s">
        <v>130</v>
      </c>
      <c r="O1031" s="110" t="s">
        <v>4279</v>
      </c>
      <c r="P1031" s="110" t="s">
        <v>132</v>
      </c>
      <c r="Q1031" s="110" t="s">
        <v>96</v>
      </c>
      <c r="R1031" s="121">
        <v>0.29399999999999998</v>
      </c>
      <c r="S1031" s="113" t="e">
        <f t="shared" si="32"/>
        <v>#VALUE!</v>
      </c>
      <c r="T1031" s="113">
        <f t="shared" si="33"/>
        <v>0</v>
      </c>
    </row>
    <row r="1032" spans="1:20" s="109" customFormat="1" x14ac:dyDescent="0.2">
      <c r="A1032" s="116"/>
      <c r="B1032" s="111"/>
      <c r="C1032" s="110" t="s">
        <v>4280</v>
      </c>
      <c r="D1032" s="110" t="s">
        <v>4281</v>
      </c>
      <c r="E1032" s="112" t="s">
        <v>4282</v>
      </c>
      <c r="F1032" s="111" t="s">
        <v>126</v>
      </c>
      <c r="G1032" s="133">
        <v>56</v>
      </c>
      <c r="H1032" s="124"/>
      <c r="I1032" s="133" t="str">
        <f>IF(H1032&gt;0,(#REF!*H1032),"-")</f>
        <v>-</v>
      </c>
      <c r="J1032" s="113">
        <v>595</v>
      </c>
      <c r="K1032" s="110" t="s">
        <v>389</v>
      </c>
      <c r="L1032" s="110" t="s">
        <v>148</v>
      </c>
      <c r="M1032" s="110" t="s">
        <v>129</v>
      </c>
      <c r="N1032" s="110" t="s">
        <v>130</v>
      </c>
      <c r="O1032" s="110" t="s">
        <v>4283</v>
      </c>
      <c r="P1032" s="110" t="s">
        <v>132</v>
      </c>
      <c r="Q1032" s="110" t="s">
        <v>96</v>
      </c>
      <c r="R1032" s="121">
        <v>0.25900000000000001</v>
      </c>
      <c r="S1032" s="113" t="e">
        <f t="shared" si="32"/>
        <v>#VALUE!</v>
      </c>
      <c r="T1032" s="113">
        <f t="shared" si="33"/>
        <v>0</v>
      </c>
    </row>
    <row r="1033" spans="1:20" s="109" customFormat="1" x14ac:dyDescent="0.2">
      <c r="A1033" s="116"/>
      <c r="B1033" s="111"/>
      <c r="C1033" s="110" t="s">
        <v>4284</v>
      </c>
      <c r="D1033" s="110" t="s">
        <v>4285</v>
      </c>
      <c r="E1033" s="112" t="s">
        <v>4286</v>
      </c>
      <c r="F1033" s="111" t="s">
        <v>126</v>
      </c>
      <c r="G1033" s="133">
        <v>112</v>
      </c>
      <c r="H1033" s="124"/>
      <c r="I1033" s="133" t="str">
        <f>IF(H1033&gt;0,(#REF!*H1033),"-")</f>
        <v>-</v>
      </c>
      <c r="J1033" s="113">
        <v>1162</v>
      </c>
      <c r="K1033" s="110" t="s">
        <v>389</v>
      </c>
      <c r="L1033" s="110" t="s">
        <v>148</v>
      </c>
      <c r="M1033" s="110" t="s">
        <v>129</v>
      </c>
      <c r="N1033" s="110" t="s">
        <v>130</v>
      </c>
      <c r="O1033" s="110" t="s">
        <v>4287</v>
      </c>
      <c r="P1033" s="110" t="s">
        <v>132</v>
      </c>
      <c r="Q1033" s="110" t="s">
        <v>97</v>
      </c>
      <c r="R1033" s="121">
        <v>0.83599999999999997</v>
      </c>
      <c r="S1033" s="113" t="e">
        <f t="shared" si="32"/>
        <v>#VALUE!</v>
      </c>
      <c r="T1033" s="113">
        <f t="shared" si="33"/>
        <v>0</v>
      </c>
    </row>
    <row r="1034" spans="1:20" s="109" customFormat="1" x14ac:dyDescent="0.2">
      <c r="A1034" s="116"/>
      <c r="B1034" s="111"/>
      <c r="C1034" s="110" t="s">
        <v>4288</v>
      </c>
      <c r="D1034" s="110" t="s">
        <v>4289</v>
      </c>
      <c r="E1034" s="112" t="s">
        <v>4290</v>
      </c>
      <c r="F1034" s="111" t="s">
        <v>126</v>
      </c>
      <c r="G1034" s="133">
        <v>20</v>
      </c>
      <c r="H1034" s="124"/>
      <c r="I1034" s="133" t="str">
        <f>IF(H1034&gt;0,(#REF!*H1034),"-")</f>
        <v>-</v>
      </c>
      <c r="J1034" s="113">
        <v>285</v>
      </c>
      <c r="K1034" s="110" t="s">
        <v>389</v>
      </c>
      <c r="L1034" s="110" t="s">
        <v>148</v>
      </c>
      <c r="M1034" s="110" t="s">
        <v>129</v>
      </c>
      <c r="N1034" s="110" t="s">
        <v>130</v>
      </c>
      <c r="O1034" s="110" t="s">
        <v>4291</v>
      </c>
      <c r="P1034" s="110" t="s">
        <v>132</v>
      </c>
      <c r="Q1034" s="110" t="s">
        <v>96</v>
      </c>
      <c r="R1034" s="121">
        <v>0.1179</v>
      </c>
      <c r="S1034" s="113" t="e">
        <f t="shared" si="32"/>
        <v>#VALUE!</v>
      </c>
      <c r="T1034" s="113">
        <f t="shared" si="33"/>
        <v>0</v>
      </c>
    </row>
    <row r="1035" spans="1:20" s="109" customFormat="1" x14ac:dyDescent="0.2">
      <c r="A1035" s="116"/>
      <c r="B1035" s="111"/>
      <c r="C1035" s="110" t="s">
        <v>4292</v>
      </c>
      <c r="D1035" s="110" t="s">
        <v>4293</v>
      </c>
      <c r="E1035" s="112" t="s">
        <v>4294</v>
      </c>
      <c r="F1035" s="111" t="s">
        <v>126</v>
      </c>
      <c r="G1035" s="133">
        <v>20</v>
      </c>
      <c r="H1035" s="124"/>
      <c r="I1035" s="133" t="str">
        <f>IF(H1035&gt;0,(#REF!*H1035),"-")</f>
        <v>-</v>
      </c>
      <c r="J1035" s="113">
        <v>206</v>
      </c>
      <c r="K1035" s="110" t="s">
        <v>389</v>
      </c>
      <c r="L1035" s="110" t="s">
        <v>148</v>
      </c>
      <c r="M1035" s="110" t="s">
        <v>129</v>
      </c>
      <c r="N1035" s="110" t="s">
        <v>130</v>
      </c>
      <c r="O1035" s="110" t="s">
        <v>4295</v>
      </c>
      <c r="P1035" s="110" t="s">
        <v>132</v>
      </c>
      <c r="Q1035" s="110" t="s">
        <v>96</v>
      </c>
      <c r="R1035" s="121">
        <v>9.8000000000000004E-2</v>
      </c>
      <c r="S1035" s="113" t="e">
        <f t="shared" si="32"/>
        <v>#VALUE!</v>
      </c>
      <c r="T1035" s="113">
        <f t="shared" si="33"/>
        <v>0</v>
      </c>
    </row>
    <row r="1036" spans="1:20" s="109" customFormat="1" x14ac:dyDescent="0.2">
      <c r="A1036" s="116"/>
      <c r="B1036" s="111"/>
      <c r="C1036" s="110" t="s">
        <v>4296</v>
      </c>
      <c r="D1036" s="110" t="s">
        <v>4297</v>
      </c>
      <c r="E1036" s="112" t="s">
        <v>4298</v>
      </c>
      <c r="F1036" s="111" t="s">
        <v>126</v>
      </c>
      <c r="G1036" s="133">
        <v>20</v>
      </c>
      <c r="H1036" s="124"/>
      <c r="I1036" s="133" t="str">
        <f>IF(H1036&gt;0,(#REF!*H1036),"-")</f>
        <v>-</v>
      </c>
      <c r="J1036" s="113">
        <v>206</v>
      </c>
      <c r="K1036" s="110" t="s">
        <v>389</v>
      </c>
      <c r="L1036" s="110" t="s">
        <v>148</v>
      </c>
      <c r="M1036" s="110" t="s">
        <v>129</v>
      </c>
      <c r="N1036" s="110" t="s">
        <v>130</v>
      </c>
      <c r="O1036" s="110" t="s">
        <v>4299</v>
      </c>
      <c r="P1036" s="110" t="s">
        <v>132</v>
      </c>
      <c r="Q1036" s="110" t="s">
        <v>96</v>
      </c>
      <c r="R1036" s="121">
        <v>9.7299999999999998E-2</v>
      </c>
      <c r="S1036" s="113" t="e">
        <f t="shared" si="32"/>
        <v>#VALUE!</v>
      </c>
      <c r="T1036" s="113">
        <f t="shared" si="33"/>
        <v>0</v>
      </c>
    </row>
    <row r="1037" spans="1:20" s="109" customFormat="1" x14ac:dyDescent="0.2">
      <c r="A1037" s="116"/>
      <c r="B1037" s="111"/>
      <c r="C1037" s="110" t="s">
        <v>4300</v>
      </c>
      <c r="D1037" s="110" t="s">
        <v>4301</v>
      </c>
      <c r="E1037" s="112" t="s">
        <v>4302</v>
      </c>
      <c r="F1037" s="111" t="s">
        <v>126</v>
      </c>
      <c r="G1037" s="133">
        <v>80</v>
      </c>
      <c r="H1037" s="124"/>
      <c r="I1037" s="133" t="str">
        <f>IF(H1037&gt;0,(#REF!*H1037),"-")</f>
        <v>-</v>
      </c>
      <c r="J1037" s="113">
        <v>762</v>
      </c>
      <c r="K1037" s="110" t="s">
        <v>389</v>
      </c>
      <c r="L1037" s="110" t="s">
        <v>148</v>
      </c>
      <c r="M1037" s="110" t="s">
        <v>129</v>
      </c>
      <c r="N1037" s="110" t="s">
        <v>130</v>
      </c>
      <c r="O1037" s="110" t="s">
        <v>4303</v>
      </c>
      <c r="P1037" s="110" t="s">
        <v>132</v>
      </c>
      <c r="Q1037" s="110" t="s">
        <v>97</v>
      </c>
      <c r="R1037" s="121">
        <v>0.52090000000000003</v>
      </c>
      <c r="S1037" s="113" t="e">
        <f t="shared" si="32"/>
        <v>#VALUE!</v>
      </c>
      <c r="T1037" s="113">
        <f t="shared" si="33"/>
        <v>0</v>
      </c>
    </row>
    <row r="1038" spans="1:20" s="109" customFormat="1" x14ac:dyDescent="0.2">
      <c r="A1038" s="116"/>
      <c r="B1038" s="111"/>
      <c r="C1038" s="110" t="s">
        <v>4304</v>
      </c>
      <c r="D1038" s="110" t="s">
        <v>4305</v>
      </c>
      <c r="E1038" s="112" t="s">
        <v>4306</v>
      </c>
      <c r="F1038" s="111" t="s">
        <v>126</v>
      </c>
      <c r="G1038" s="133">
        <v>80</v>
      </c>
      <c r="H1038" s="124"/>
      <c r="I1038" s="133" t="str">
        <f>IF(H1038&gt;0,(#REF!*H1038),"-")</f>
        <v>-</v>
      </c>
      <c r="J1038" s="113">
        <v>1133</v>
      </c>
      <c r="K1038" s="110" t="s">
        <v>389</v>
      </c>
      <c r="L1038" s="110" t="s">
        <v>148</v>
      </c>
      <c r="M1038" s="110" t="s">
        <v>129</v>
      </c>
      <c r="N1038" s="110" t="s">
        <v>130</v>
      </c>
      <c r="O1038" s="110" t="s">
        <v>4307</v>
      </c>
      <c r="P1038" s="110" t="s">
        <v>132</v>
      </c>
      <c r="Q1038" s="110" t="s">
        <v>96</v>
      </c>
      <c r="R1038" s="121">
        <v>0.50700000000000001</v>
      </c>
      <c r="S1038" s="113" t="e">
        <f t="shared" si="32"/>
        <v>#VALUE!</v>
      </c>
      <c r="T1038" s="113">
        <f t="shared" si="33"/>
        <v>0</v>
      </c>
    </row>
    <row r="1039" spans="1:20" s="109" customFormat="1" x14ac:dyDescent="0.2">
      <c r="A1039" s="116"/>
      <c r="B1039" s="111"/>
      <c r="C1039" s="110" t="s">
        <v>4308</v>
      </c>
      <c r="D1039" s="110" t="s">
        <v>4309</v>
      </c>
      <c r="E1039" s="112" t="s">
        <v>4310</v>
      </c>
      <c r="F1039" s="111" t="s">
        <v>126</v>
      </c>
      <c r="G1039" s="133">
        <v>124</v>
      </c>
      <c r="H1039" s="124"/>
      <c r="I1039" s="133" t="str">
        <f>IF(H1039&gt;0,(#REF!*H1039),"-")</f>
        <v>-</v>
      </c>
      <c r="J1039" s="113">
        <v>1316</v>
      </c>
      <c r="K1039" s="110" t="s">
        <v>389</v>
      </c>
      <c r="L1039" s="110" t="s">
        <v>148</v>
      </c>
      <c r="M1039" s="110" t="s">
        <v>129</v>
      </c>
      <c r="N1039" s="110" t="s">
        <v>130</v>
      </c>
      <c r="O1039" s="110" t="s">
        <v>4311</v>
      </c>
      <c r="P1039" s="110" t="s">
        <v>132</v>
      </c>
      <c r="Q1039" s="110" t="s">
        <v>97</v>
      </c>
      <c r="R1039" s="121">
        <v>0.71879999999999999</v>
      </c>
      <c r="S1039" s="113" t="e">
        <f t="shared" si="32"/>
        <v>#VALUE!</v>
      </c>
      <c r="T1039" s="113">
        <f t="shared" si="33"/>
        <v>0</v>
      </c>
    </row>
    <row r="1040" spans="1:20" s="109" customFormat="1" x14ac:dyDescent="0.2">
      <c r="A1040" s="116"/>
      <c r="B1040" s="111"/>
      <c r="C1040" s="110" t="s">
        <v>4312</v>
      </c>
      <c r="D1040" s="110" t="s">
        <v>4313</v>
      </c>
      <c r="E1040" s="112" t="s">
        <v>4314</v>
      </c>
      <c r="F1040" s="111" t="s">
        <v>126</v>
      </c>
      <c r="G1040" s="133">
        <v>112</v>
      </c>
      <c r="H1040" s="124"/>
      <c r="I1040" s="133" t="str">
        <f>IF(H1040&gt;0,(#REF!*H1040),"-")</f>
        <v>-</v>
      </c>
      <c r="J1040" s="113">
        <v>1364</v>
      </c>
      <c r="K1040" s="110" t="s">
        <v>389</v>
      </c>
      <c r="L1040" s="110" t="s">
        <v>148</v>
      </c>
      <c r="M1040" s="110" t="s">
        <v>129</v>
      </c>
      <c r="N1040" s="110" t="s">
        <v>130</v>
      </c>
      <c r="O1040" s="110" t="s">
        <v>4315</v>
      </c>
      <c r="P1040" s="110" t="s">
        <v>132</v>
      </c>
      <c r="Q1040" s="110" t="s">
        <v>97</v>
      </c>
      <c r="R1040" s="121">
        <v>0.71740000000000004</v>
      </c>
      <c r="S1040" s="113" t="e">
        <f t="shared" si="32"/>
        <v>#VALUE!</v>
      </c>
      <c r="T1040" s="113">
        <f t="shared" si="33"/>
        <v>0</v>
      </c>
    </row>
    <row r="1041" spans="1:20" s="109" customFormat="1" x14ac:dyDescent="0.2">
      <c r="A1041" s="116"/>
      <c r="B1041" s="111"/>
      <c r="C1041" s="110" t="s">
        <v>4316</v>
      </c>
      <c r="D1041" s="110" t="s">
        <v>4317</v>
      </c>
      <c r="E1041" s="112" t="s">
        <v>4318</v>
      </c>
      <c r="F1041" s="111" t="s">
        <v>126</v>
      </c>
      <c r="G1041" s="133">
        <v>56</v>
      </c>
      <c r="H1041" s="124"/>
      <c r="I1041" s="133" t="str">
        <f>IF(H1041&gt;0,(#REF!*H1041),"-")</f>
        <v>-</v>
      </c>
      <c r="J1041" s="113">
        <v>515</v>
      </c>
      <c r="K1041" s="110" t="s">
        <v>389</v>
      </c>
      <c r="L1041" s="110" t="s">
        <v>148</v>
      </c>
      <c r="M1041" s="110" t="s">
        <v>129</v>
      </c>
      <c r="N1041" s="110" t="s">
        <v>130</v>
      </c>
      <c r="O1041" s="110" t="s">
        <v>4319</v>
      </c>
      <c r="P1041" s="110" t="s">
        <v>132</v>
      </c>
      <c r="Q1041" s="110" t="s">
        <v>96</v>
      </c>
      <c r="R1041" s="121">
        <v>0.21390000000000001</v>
      </c>
      <c r="S1041" s="113" t="e">
        <f t="shared" si="32"/>
        <v>#VALUE!</v>
      </c>
      <c r="T1041" s="113">
        <f t="shared" si="33"/>
        <v>0</v>
      </c>
    </row>
    <row r="1042" spans="1:20" s="109" customFormat="1" x14ac:dyDescent="0.2">
      <c r="A1042" s="116"/>
      <c r="B1042" s="111"/>
      <c r="C1042" s="110" t="s">
        <v>4320</v>
      </c>
      <c r="D1042" s="110" t="s">
        <v>4321</v>
      </c>
      <c r="E1042" s="112" t="s">
        <v>4322</v>
      </c>
      <c r="F1042" s="111" t="s">
        <v>126</v>
      </c>
      <c r="G1042" s="133">
        <v>215</v>
      </c>
      <c r="H1042" s="124"/>
      <c r="I1042" s="133" t="str">
        <f>IF(H1042&gt;0,(#REF!*H1042),"-")</f>
        <v>-</v>
      </c>
      <c r="J1042" s="113">
        <v>1232</v>
      </c>
      <c r="K1042" s="110" t="s">
        <v>4323</v>
      </c>
      <c r="L1042" s="110" t="s">
        <v>4324</v>
      </c>
      <c r="M1042" s="110" t="s">
        <v>129</v>
      </c>
      <c r="N1042" s="110" t="s">
        <v>130</v>
      </c>
      <c r="O1042" s="110" t="s">
        <v>4325</v>
      </c>
      <c r="P1042" s="110" t="s">
        <v>132</v>
      </c>
      <c r="Q1042" s="110" t="s">
        <v>97</v>
      </c>
      <c r="R1042" s="121">
        <v>1.0129999999999999</v>
      </c>
      <c r="S1042" s="113" t="e">
        <f t="shared" si="32"/>
        <v>#VALUE!</v>
      </c>
      <c r="T1042" s="113">
        <f t="shared" si="33"/>
        <v>0</v>
      </c>
    </row>
    <row r="1043" spans="1:20" s="109" customFormat="1" x14ac:dyDescent="0.2">
      <c r="A1043" s="116"/>
      <c r="B1043" s="111"/>
      <c r="C1043" s="110" t="s">
        <v>4326</v>
      </c>
      <c r="D1043" s="110" t="s">
        <v>4327</v>
      </c>
      <c r="E1043" s="112" t="s">
        <v>4328</v>
      </c>
      <c r="F1043" s="111" t="s">
        <v>126</v>
      </c>
      <c r="G1043" s="133">
        <v>215</v>
      </c>
      <c r="H1043" s="124"/>
      <c r="I1043" s="133" t="str">
        <f>IF(H1043&gt;0,(#REF!*H1043),"-")</f>
        <v>-</v>
      </c>
      <c r="J1043" s="113">
        <v>1465</v>
      </c>
      <c r="K1043" s="110" t="s">
        <v>4323</v>
      </c>
      <c r="L1043" s="110" t="s">
        <v>4324</v>
      </c>
      <c r="M1043" s="110" t="s">
        <v>129</v>
      </c>
      <c r="N1043" s="110" t="s">
        <v>130</v>
      </c>
      <c r="O1043" s="110" t="s">
        <v>4329</v>
      </c>
      <c r="P1043" s="110" t="s">
        <v>132</v>
      </c>
      <c r="Q1043" s="110" t="s">
        <v>97</v>
      </c>
      <c r="R1043" s="121">
        <v>1.1248</v>
      </c>
      <c r="S1043" s="113" t="e">
        <f t="shared" si="32"/>
        <v>#VALUE!</v>
      </c>
      <c r="T1043" s="113">
        <f t="shared" si="33"/>
        <v>0</v>
      </c>
    </row>
    <row r="1044" spans="1:20" s="109" customFormat="1" x14ac:dyDescent="0.2">
      <c r="A1044" s="116"/>
      <c r="B1044" s="111" t="s">
        <v>202</v>
      </c>
      <c r="C1044" s="110" t="s">
        <v>4330</v>
      </c>
      <c r="D1044" s="110" t="s">
        <v>4331</v>
      </c>
      <c r="E1044" s="112" t="s">
        <v>4332</v>
      </c>
      <c r="F1044" s="111" t="s">
        <v>130</v>
      </c>
      <c r="G1044" s="133">
        <v>560</v>
      </c>
      <c r="H1044" s="124"/>
      <c r="I1044" s="133" t="str">
        <f>IF(H1044&gt;0,(#REF!*H1044),"-")</f>
        <v>-</v>
      </c>
      <c r="J1044" s="113">
        <v>9504</v>
      </c>
      <c r="K1044" s="110" t="s">
        <v>4323</v>
      </c>
      <c r="L1044" s="110" t="s">
        <v>4324</v>
      </c>
      <c r="M1044" s="110" t="s">
        <v>129</v>
      </c>
      <c r="N1044" s="110" t="s">
        <v>130</v>
      </c>
      <c r="O1044" s="110" t="s">
        <v>4333</v>
      </c>
      <c r="P1044" s="110" t="s">
        <v>589</v>
      </c>
      <c r="Q1044" s="110" t="s">
        <v>96</v>
      </c>
      <c r="R1044" s="121">
        <v>2.3330000000000002</v>
      </c>
      <c r="S1044" s="113" t="e">
        <f t="shared" si="32"/>
        <v>#VALUE!</v>
      </c>
      <c r="T1044" s="113">
        <f t="shared" si="33"/>
        <v>0</v>
      </c>
    </row>
    <row r="1045" spans="1:20" s="109" customFormat="1" x14ac:dyDescent="0.2">
      <c r="A1045" s="116"/>
      <c r="B1045" s="111"/>
      <c r="C1045" s="110" t="s">
        <v>4334</v>
      </c>
      <c r="D1045" s="110" t="s">
        <v>4335</v>
      </c>
      <c r="E1045" s="112" t="s">
        <v>4336</v>
      </c>
      <c r="F1045" s="111" t="s">
        <v>126</v>
      </c>
      <c r="G1045" s="133">
        <v>215</v>
      </c>
      <c r="H1045" s="124"/>
      <c r="I1045" s="133" t="str">
        <f>IF(H1045&gt;0,(#REF!*H1045),"-")</f>
        <v>-</v>
      </c>
      <c r="J1045" s="113">
        <v>938</v>
      </c>
      <c r="K1045" s="110" t="s">
        <v>4323</v>
      </c>
      <c r="L1045" s="110" t="s">
        <v>4324</v>
      </c>
      <c r="M1045" s="110" t="s">
        <v>129</v>
      </c>
      <c r="N1045" s="110" t="s">
        <v>130</v>
      </c>
      <c r="O1045" s="110" t="s">
        <v>4337</v>
      </c>
      <c r="P1045" s="110" t="s">
        <v>132</v>
      </c>
      <c r="Q1045" s="110" t="s">
        <v>97</v>
      </c>
      <c r="R1045" s="121">
        <v>0.83299999999999996</v>
      </c>
      <c r="S1045" s="113" t="e">
        <f t="shared" si="32"/>
        <v>#VALUE!</v>
      </c>
      <c r="T1045" s="113">
        <f t="shared" si="33"/>
        <v>0</v>
      </c>
    </row>
    <row r="1046" spans="1:20" s="109" customFormat="1" x14ac:dyDescent="0.2">
      <c r="A1046" s="116"/>
      <c r="B1046" s="111"/>
      <c r="C1046" s="110" t="s">
        <v>4338</v>
      </c>
      <c r="D1046" s="110" t="s">
        <v>4339</v>
      </c>
      <c r="E1046" s="112" t="s">
        <v>4340</v>
      </c>
      <c r="F1046" s="111" t="s">
        <v>126</v>
      </c>
      <c r="G1046" s="133">
        <v>185</v>
      </c>
      <c r="H1046" s="124"/>
      <c r="I1046" s="133" t="str">
        <f>IF(H1046&gt;0,(#REF!*H1046),"-")</f>
        <v>-</v>
      </c>
      <c r="J1046" s="113">
        <v>883</v>
      </c>
      <c r="K1046" s="110" t="s">
        <v>4323</v>
      </c>
      <c r="L1046" s="110" t="s">
        <v>4324</v>
      </c>
      <c r="M1046" s="110" t="s">
        <v>129</v>
      </c>
      <c r="N1046" s="110" t="s">
        <v>130</v>
      </c>
      <c r="O1046" s="110" t="s">
        <v>4341</v>
      </c>
      <c r="P1046" s="110" t="s">
        <v>132</v>
      </c>
      <c r="Q1046" s="110" t="s">
        <v>97</v>
      </c>
      <c r="R1046" s="121">
        <v>0.73099999999999998</v>
      </c>
      <c r="S1046" s="113" t="e">
        <f t="shared" si="32"/>
        <v>#VALUE!</v>
      </c>
      <c r="T1046" s="113">
        <f t="shared" si="33"/>
        <v>0</v>
      </c>
    </row>
    <row r="1047" spans="1:20" s="109" customFormat="1" x14ac:dyDescent="0.2">
      <c r="A1047" s="116"/>
      <c r="B1047" s="111"/>
      <c r="C1047" s="110" t="s">
        <v>4342</v>
      </c>
      <c r="D1047" s="110" t="s">
        <v>4343</v>
      </c>
      <c r="E1047" s="112" t="s">
        <v>4344</v>
      </c>
      <c r="F1047" s="111" t="s">
        <v>126</v>
      </c>
      <c r="G1047" s="133">
        <v>185</v>
      </c>
      <c r="H1047" s="124"/>
      <c r="I1047" s="133" t="str">
        <f>IF(H1047&gt;0,(#REF!*H1047),"-")</f>
        <v>-</v>
      </c>
      <c r="J1047" s="113">
        <v>876</v>
      </c>
      <c r="K1047" s="110" t="s">
        <v>4323</v>
      </c>
      <c r="L1047" s="110" t="s">
        <v>4324</v>
      </c>
      <c r="M1047" s="110" t="s">
        <v>129</v>
      </c>
      <c r="N1047" s="110" t="s">
        <v>130</v>
      </c>
      <c r="O1047" s="110" t="s">
        <v>4345</v>
      </c>
      <c r="P1047" s="110" t="s">
        <v>132</v>
      </c>
      <c r="Q1047" s="110" t="s">
        <v>97</v>
      </c>
      <c r="R1047" s="121">
        <v>0.74060000000000004</v>
      </c>
      <c r="S1047" s="113" t="e">
        <f t="shared" si="32"/>
        <v>#VALUE!</v>
      </c>
      <c r="T1047" s="113">
        <f t="shared" si="33"/>
        <v>0</v>
      </c>
    </row>
    <row r="1048" spans="1:20" s="109" customFormat="1" x14ac:dyDescent="0.2">
      <c r="A1048" s="116"/>
      <c r="B1048" s="111"/>
      <c r="C1048" s="110" t="s">
        <v>4346</v>
      </c>
      <c r="D1048" s="110" t="s">
        <v>4347</v>
      </c>
      <c r="E1048" s="112" t="s">
        <v>4348</v>
      </c>
      <c r="F1048" s="111" t="s">
        <v>126</v>
      </c>
      <c r="G1048" s="133">
        <v>185</v>
      </c>
      <c r="H1048" s="124"/>
      <c r="I1048" s="133" t="str">
        <f>IF(H1048&gt;0,(#REF!*H1048),"-")</f>
        <v>-</v>
      </c>
      <c r="J1048" s="113">
        <v>1046</v>
      </c>
      <c r="K1048" s="110" t="s">
        <v>4323</v>
      </c>
      <c r="L1048" s="110" t="s">
        <v>4324</v>
      </c>
      <c r="M1048" s="110" t="s">
        <v>129</v>
      </c>
      <c r="N1048" s="110" t="s">
        <v>130</v>
      </c>
      <c r="O1048" s="110" t="s">
        <v>4349</v>
      </c>
      <c r="P1048" s="110" t="s">
        <v>137</v>
      </c>
      <c r="Q1048" s="110" t="s">
        <v>96</v>
      </c>
      <c r="R1048" s="121">
        <v>7.7200000000000005E-2</v>
      </c>
      <c r="S1048" s="113" t="e">
        <f t="shared" si="32"/>
        <v>#VALUE!</v>
      </c>
      <c r="T1048" s="113">
        <f t="shared" si="33"/>
        <v>0</v>
      </c>
    </row>
    <row r="1049" spans="1:20" s="109" customFormat="1" x14ac:dyDescent="0.2">
      <c r="A1049" s="116"/>
      <c r="B1049" s="111"/>
      <c r="C1049" s="110" t="s">
        <v>4350</v>
      </c>
      <c r="D1049" s="110" t="s">
        <v>4351</v>
      </c>
      <c r="E1049" s="112" t="s">
        <v>4352</v>
      </c>
      <c r="F1049" s="111" t="s">
        <v>126</v>
      </c>
      <c r="G1049" s="133">
        <v>185</v>
      </c>
      <c r="H1049" s="124"/>
      <c r="I1049" s="133" t="str">
        <f>IF(H1049&gt;0,(#REF!*H1049),"-")</f>
        <v>-</v>
      </c>
      <c r="J1049" s="113">
        <v>1522</v>
      </c>
      <c r="K1049" s="110" t="s">
        <v>4323</v>
      </c>
      <c r="L1049" s="110" t="s">
        <v>4324</v>
      </c>
      <c r="M1049" s="110" t="s">
        <v>129</v>
      </c>
      <c r="N1049" s="110" t="s">
        <v>130</v>
      </c>
      <c r="O1049" s="110" t="s">
        <v>4353</v>
      </c>
      <c r="P1049" s="110" t="s">
        <v>137</v>
      </c>
      <c r="Q1049" s="110" t="s">
        <v>96</v>
      </c>
      <c r="R1049" s="121">
        <v>0.12809999999999999</v>
      </c>
      <c r="S1049" s="113" t="e">
        <f t="shared" si="32"/>
        <v>#VALUE!</v>
      </c>
      <c r="T1049" s="113">
        <f t="shared" si="33"/>
        <v>0</v>
      </c>
    </row>
    <row r="1050" spans="1:20" s="109" customFormat="1" x14ac:dyDescent="0.2">
      <c r="A1050" s="116"/>
      <c r="B1050" s="111"/>
      <c r="C1050" s="110" t="s">
        <v>4354</v>
      </c>
      <c r="D1050" s="110" t="s">
        <v>4355</v>
      </c>
      <c r="E1050" s="112" t="s">
        <v>4356</v>
      </c>
      <c r="F1050" s="111" t="s">
        <v>126</v>
      </c>
      <c r="G1050" s="133">
        <v>155</v>
      </c>
      <c r="H1050" s="124"/>
      <c r="I1050" s="133" t="str">
        <f>IF(H1050&gt;0,(#REF!*H1050),"-")</f>
        <v>-</v>
      </c>
      <c r="J1050" s="113">
        <v>756</v>
      </c>
      <c r="K1050" s="110" t="s">
        <v>4323</v>
      </c>
      <c r="L1050" s="110" t="s">
        <v>4324</v>
      </c>
      <c r="M1050" s="110" t="s">
        <v>129</v>
      </c>
      <c r="N1050" s="110" t="s">
        <v>130</v>
      </c>
      <c r="O1050" s="110" t="s">
        <v>4357</v>
      </c>
      <c r="P1050" s="110" t="s">
        <v>137</v>
      </c>
      <c r="Q1050" s="110" t="s">
        <v>96</v>
      </c>
      <c r="R1050" s="121">
        <v>6.6000000000000003E-2</v>
      </c>
      <c r="S1050" s="113" t="e">
        <f t="shared" si="32"/>
        <v>#VALUE!</v>
      </c>
      <c r="T1050" s="113">
        <f t="shared" si="33"/>
        <v>0</v>
      </c>
    </row>
    <row r="1051" spans="1:20" s="109" customFormat="1" x14ac:dyDescent="0.2">
      <c r="A1051" s="116"/>
      <c r="B1051" s="111"/>
      <c r="C1051" s="110" t="s">
        <v>4358</v>
      </c>
      <c r="D1051" s="110" t="s">
        <v>4359</v>
      </c>
      <c r="E1051" s="112" t="s">
        <v>4360</v>
      </c>
      <c r="F1051" s="111" t="s">
        <v>126</v>
      </c>
      <c r="G1051" s="133">
        <v>185</v>
      </c>
      <c r="H1051" s="124"/>
      <c r="I1051" s="133" t="str">
        <f>IF(H1051&gt;0,(#REF!*H1051),"-")</f>
        <v>-</v>
      </c>
      <c r="J1051" s="113">
        <v>1046</v>
      </c>
      <c r="K1051" s="110" t="s">
        <v>4323</v>
      </c>
      <c r="L1051" s="110" t="s">
        <v>4324</v>
      </c>
      <c r="M1051" s="110" t="s">
        <v>129</v>
      </c>
      <c r="N1051" s="110" t="s">
        <v>130</v>
      </c>
      <c r="O1051" s="110" t="s">
        <v>4361</v>
      </c>
      <c r="P1051" s="110" t="s">
        <v>137</v>
      </c>
      <c r="Q1051" s="110" t="s">
        <v>96</v>
      </c>
      <c r="R1051" s="121">
        <v>9.2999999999999999E-2</v>
      </c>
      <c r="S1051" s="113" t="e">
        <f t="shared" si="32"/>
        <v>#VALUE!</v>
      </c>
      <c r="T1051" s="113">
        <f t="shared" si="33"/>
        <v>0</v>
      </c>
    </row>
    <row r="1052" spans="1:20" s="109" customFormat="1" x14ac:dyDescent="0.2">
      <c r="A1052" s="116"/>
      <c r="B1052" s="111"/>
      <c r="C1052" s="110" t="s">
        <v>4362</v>
      </c>
      <c r="D1052" s="110" t="s">
        <v>4363</v>
      </c>
      <c r="E1052" s="112" t="s">
        <v>4364</v>
      </c>
      <c r="F1052" s="111" t="s">
        <v>126</v>
      </c>
      <c r="G1052" s="133">
        <v>155</v>
      </c>
      <c r="H1052" s="124"/>
      <c r="I1052" s="133" t="str">
        <f>IF(H1052&gt;0,(#REF!*H1052),"-")</f>
        <v>-</v>
      </c>
      <c r="J1052" s="113">
        <v>756</v>
      </c>
      <c r="K1052" s="110" t="s">
        <v>4323</v>
      </c>
      <c r="L1052" s="110" t="s">
        <v>4324</v>
      </c>
      <c r="M1052" s="110" t="s">
        <v>129</v>
      </c>
      <c r="N1052" s="110" t="s">
        <v>130</v>
      </c>
      <c r="O1052" s="110" t="s">
        <v>4365</v>
      </c>
      <c r="P1052" s="110" t="s">
        <v>137</v>
      </c>
      <c r="Q1052" s="110" t="s">
        <v>96</v>
      </c>
      <c r="R1052" s="121">
        <v>6.6000000000000003E-2</v>
      </c>
      <c r="S1052" s="113" t="e">
        <f t="shared" si="32"/>
        <v>#VALUE!</v>
      </c>
      <c r="T1052" s="113">
        <f t="shared" si="33"/>
        <v>0</v>
      </c>
    </row>
    <row r="1053" spans="1:20" s="109" customFormat="1" x14ac:dyDescent="0.2">
      <c r="A1053" s="116"/>
      <c r="B1053" s="111"/>
      <c r="C1053" s="110" t="s">
        <v>4366</v>
      </c>
      <c r="D1053" s="110" t="s">
        <v>4367</v>
      </c>
      <c r="E1053" s="112" t="s">
        <v>4368</v>
      </c>
      <c r="F1053" s="111" t="s">
        <v>126</v>
      </c>
      <c r="G1053" s="133">
        <v>155</v>
      </c>
      <c r="H1053" s="124"/>
      <c r="I1053" s="133" t="str">
        <f>IF(H1053&gt;0,(#REF!*H1053),"-")</f>
        <v>-</v>
      </c>
      <c r="J1053" s="113">
        <v>756</v>
      </c>
      <c r="K1053" s="110" t="s">
        <v>4323</v>
      </c>
      <c r="L1053" s="110" t="s">
        <v>4324</v>
      </c>
      <c r="M1053" s="110" t="s">
        <v>129</v>
      </c>
      <c r="N1053" s="110" t="s">
        <v>130</v>
      </c>
      <c r="O1053" s="110" t="s">
        <v>4369</v>
      </c>
      <c r="P1053" s="110" t="s">
        <v>137</v>
      </c>
      <c r="Q1053" s="110" t="s">
        <v>96</v>
      </c>
      <c r="R1053" s="121">
        <v>6.6100000000000006E-2</v>
      </c>
      <c r="S1053" s="113" t="e">
        <f t="shared" si="32"/>
        <v>#VALUE!</v>
      </c>
      <c r="T1053" s="113">
        <f t="shared" si="33"/>
        <v>0</v>
      </c>
    </row>
    <row r="1054" spans="1:20" s="109" customFormat="1" x14ac:dyDescent="0.2">
      <c r="A1054" s="116"/>
      <c r="B1054" s="111"/>
      <c r="C1054" s="110" t="s">
        <v>4370</v>
      </c>
      <c r="D1054" s="110" t="s">
        <v>4371</v>
      </c>
      <c r="E1054" s="112" t="s">
        <v>4372</v>
      </c>
      <c r="F1054" s="111" t="s">
        <v>126</v>
      </c>
      <c r="G1054" s="133">
        <v>165</v>
      </c>
      <c r="H1054" s="124"/>
      <c r="I1054" s="133" t="str">
        <f>IF(H1054&gt;0,(#REF!*H1054),"-")</f>
        <v>-</v>
      </c>
      <c r="J1054" s="113">
        <v>2378</v>
      </c>
      <c r="K1054" s="110" t="s">
        <v>4323</v>
      </c>
      <c r="L1054" s="110" t="s">
        <v>4324</v>
      </c>
      <c r="M1054" s="110" t="s">
        <v>129</v>
      </c>
      <c r="N1054" s="110" t="s">
        <v>130</v>
      </c>
      <c r="O1054" s="110" t="s">
        <v>4373</v>
      </c>
      <c r="P1054" s="110" t="s">
        <v>137</v>
      </c>
      <c r="Q1054" s="110" t="s">
        <v>97</v>
      </c>
      <c r="R1054" s="121">
        <v>0.35499999999999998</v>
      </c>
      <c r="S1054" s="113" t="e">
        <f t="shared" si="32"/>
        <v>#VALUE!</v>
      </c>
      <c r="T1054" s="113">
        <f t="shared" si="33"/>
        <v>0</v>
      </c>
    </row>
    <row r="1055" spans="1:20" s="109" customFormat="1" x14ac:dyDescent="0.2">
      <c r="A1055" s="116"/>
      <c r="B1055" s="111"/>
      <c r="C1055" s="110" t="s">
        <v>4374</v>
      </c>
      <c r="D1055" s="110" t="s">
        <v>4375</v>
      </c>
      <c r="E1055" s="112" t="s">
        <v>4376</v>
      </c>
      <c r="F1055" s="111" t="s">
        <v>126</v>
      </c>
      <c r="G1055" s="133">
        <v>250</v>
      </c>
      <c r="H1055" s="124"/>
      <c r="I1055" s="133" t="str">
        <f>IF(H1055&gt;0,(#REF!*H1055),"-")</f>
        <v>-</v>
      </c>
      <c r="J1055" s="113">
        <v>2378</v>
      </c>
      <c r="K1055" s="110" t="s">
        <v>4323</v>
      </c>
      <c r="L1055" s="110" t="s">
        <v>4324</v>
      </c>
      <c r="M1055" s="110" t="s">
        <v>129</v>
      </c>
      <c r="N1055" s="110" t="s">
        <v>130</v>
      </c>
      <c r="O1055" s="110" t="s">
        <v>4377</v>
      </c>
      <c r="P1055" s="110" t="s">
        <v>137</v>
      </c>
      <c r="Q1055" s="110" t="s">
        <v>97</v>
      </c>
      <c r="R1055" s="121">
        <v>0.66500000000000004</v>
      </c>
      <c r="S1055" s="113" t="e">
        <f t="shared" si="32"/>
        <v>#VALUE!</v>
      </c>
      <c r="T1055" s="113">
        <f t="shared" si="33"/>
        <v>0</v>
      </c>
    </row>
    <row r="1056" spans="1:20" s="109" customFormat="1" x14ac:dyDescent="0.2">
      <c r="A1056" s="116"/>
      <c r="B1056" s="111"/>
      <c r="C1056" s="110" t="s">
        <v>4378</v>
      </c>
      <c r="D1056" s="110" t="s">
        <v>4379</v>
      </c>
      <c r="E1056" s="112" t="s">
        <v>4380</v>
      </c>
      <c r="F1056" s="111" t="s">
        <v>126</v>
      </c>
      <c r="G1056" s="133">
        <v>165</v>
      </c>
      <c r="H1056" s="124"/>
      <c r="I1056" s="133" t="str">
        <f>IF(H1056&gt;0,(#REF!*H1056),"-")</f>
        <v>-</v>
      </c>
      <c r="J1056" s="113">
        <v>1119</v>
      </c>
      <c r="K1056" s="110" t="s">
        <v>4323</v>
      </c>
      <c r="L1056" s="110" t="s">
        <v>4381</v>
      </c>
      <c r="M1056" s="110" t="s">
        <v>129</v>
      </c>
      <c r="N1056" s="110" t="s">
        <v>130</v>
      </c>
      <c r="O1056" s="110" t="s">
        <v>4382</v>
      </c>
      <c r="P1056" s="110" t="s">
        <v>137</v>
      </c>
      <c r="Q1056" s="110" t="s">
        <v>96</v>
      </c>
      <c r="R1056" s="121">
        <v>0.11700000000000001</v>
      </c>
      <c r="S1056" s="113" t="e">
        <f t="shared" si="32"/>
        <v>#VALUE!</v>
      </c>
      <c r="T1056" s="113">
        <f t="shared" si="33"/>
        <v>0</v>
      </c>
    </row>
    <row r="1057" spans="1:20" s="109" customFormat="1" x14ac:dyDescent="0.2">
      <c r="A1057" s="116"/>
      <c r="B1057" s="111"/>
      <c r="C1057" s="110" t="s">
        <v>4383</v>
      </c>
      <c r="D1057" s="110" t="s">
        <v>4384</v>
      </c>
      <c r="E1057" s="112" t="s">
        <v>4385</v>
      </c>
      <c r="F1057" s="111" t="s">
        <v>126</v>
      </c>
      <c r="G1057" s="133">
        <v>165</v>
      </c>
      <c r="H1057" s="124"/>
      <c r="I1057" s="133" t="str">
        <f>IF(H1057&gt;0,(#REF!*H1057),"-")</f>
        <v>-</v>
      </c>
      <c r="J1057" s="113">
        <v>1437</v>
      </c>
      <c r="K1057" s="110" t="s">
        <v>4323</v>
      </c>
      <c r="L1057" s="110" t="s">
        <v>4381</v>
      </c>
      <c r="M1057" s="110" t="s">
        <v>129</v>
      </c>
      <c r="N1057" s="110" t="s">
        <v>130</v>
      </c>
      <c r="O1057" s="110" t="s">
        <v>4386</v>
      </c>
      <c r="P1057" s="110" t="s">
        <v>137</v>
      </c>
      <c r="Q1057" s="110" t="s">
        <v>96</v>
      </c>
      <c r="R1057" s="121">
        <v>0.128</v>
      </c>
      <c r="S1057" s="113" t="e">
        <f t="shared" si="32"/>
        <v>#VALUE!</v>
      </c>
      <c r="T1057" s="113">
        <f t="shared" si="33"/>
        <v>0</v>
      </c>
    </row>
    <row r="1058" spans="1:20" s="109" customFormat="1" x14ac:dyDescent="0.2">
      <c r="A1058" s="116"/>
      <c r="B1058" s="111"/>
      <c r="C1058" s="110" t="s">
        <v>4387</v>
      </c>
      <c r="D1058" s="110" t="s">
        <v>4388</v>
      </c>
      <c r="E1058" s="112" t="s">
        <v>4389</v>
      </c>
      <c r="F1058" s="111" t="s">
        <v>126</v>
      </c>
      <c r="G1058" s="133">
        <v>165</v>
      </c>
      <c r="H1058" s="124"/>
      <c r="I1058" s="133" t="str">
        <f>IF(H1058&gt;0,(#REF!*H1058),"-")</f>
        <v>-</v>
      </c>
      <c r="J1058" s="113">
        <v>1443</v>
      </c>
      <c r="K1058" s="110" t="s">
        <v>4323</v>
      </c>
      <c r="L1058" s="110" t="s">
        <v>4381</v>
      </c>
      <c r="M1058" s="110" t="s">
        <v>129</v>
      </c>
      <c r="N1058" s="110" t="s">
        <v>130</v>
      </c>
      <c r="O1058" s="110" t="s">
        <v>4390</v>
      </c>
      <c r="P1058" s="110" t="s">
        <v>137</v>
      </c>
      <c r="Q1058" s="110" t="s">
        <v>96</v>
      </c>
      <c r="R1058" s="121">
        <v>0.128</v>
      </c>
      <c r="S1058" s="113" t="e">
        <f t="shared" si="32"/>
        <v>#VALUE!</v>
      </c>
      <c r="T1058" s="113">
        <f t="shared" si="33"/>
        <v>0</v>
      </c>
    </row>
    <row r="1059" spans="1:20" s="109" customFormat="1" x14ac:dyDescent="0.2">
      <c r="A1059" s="116"/>
      <c r="B1059" s="111"/>
      <c r="C1059" s="110" t="s">
        <v>4391</v>
      </c>
      <c r="D1059" s="110" t="s">
        <v>4392</v>
      </c>
      <c r="E1059" s="112" t="s">
        <v>4393</v>
      </c>
      <c r="F1059" s="111" t="s">
        <v>126</v>
      </c>
      <c r="G1059" s="133">
        <v>125</v>
      </c>
      <c r="H1059" s="124"/>
      <c r="I1059" s="133" t="str">
        <f>IF(H1059&gt;0,(#REF!*H1059),"-")</f>
        <v>-</v>
      </c>
      <c r="J1059" s="113">
        <v>1208</v>
      </c>
      <c r="K1059" s="110" t="s">
        <v>4323</v>
      </c>
      <c r="L1059" s="110" t="s">
        <v>4381</v>
      </c>
      <c r="M1059" s="110" t="s">
        <v>129</v>
      </c>
      <c r="N1059" s="110" t="s">
        <v>130</v>
      </c>
      <c r="O1059" s="110" t="s">
        <v>4394</v>
      </c>
      <c r="P1059" s="110" t="s">
        <v>137</v>
      </c>
      <c r="Q1059" s="110" t="s">
        <v>96</v>
      </c>
      <c r="R1059" s="121">
        <v>0.114</v>
      </c>
      <c r="S1059" s="113" t="e">
        <f t="shared" si="32"/>
        <v>#VALUE!</v>
      </c>
      <c r="T1059" s="113">
        <f t="shared" si="33"/>
        <v>0</v>
      </c>
    </row>
    <row r="1060" spans="1:20" s="109" customFormat="1" x14ac:dyDescent="0.2">
      <c r="A1060" s="116"/>
      <c r="B1060" s="111"/>
      <c r="C1060" s="110" t="s">
        <v>4395</v>
      </c>
      <c r="D1060" s="110" t="s">
        <v>4396</v>
      </c>
      <c r="E1060" s="112" t="s">
        <v>4397</v>
      </c>
      <c r="F1060" s="111" t="s">
        <v>126</v>
      </c>
      <c r="G1060" s="133">
        <v>125</v>
      </c>
      <c r="H1060" s="124"/>
      <c r="I1060" s="133" t="str">
        <f>IF(H1060&gt;0,(#REF!*H1060),"-")</f>
        <v>-</v>
      </c>
      <c r="J1060" s="113">
        <v>1046</v>
      </c>
      <c r="K1060" s="110" t="s">
        <v>4323</v>
      </c>
      <c r="L1060" s="110" t="s">
        <v>4398</v>
      </c>
      <c r="M1060" s="110" t="s">
        <v>129</v>
      </c>
      <c r="N1060" s="110" t="s">
        <v>130</v>
      </c>
      <c r="O1060" s="110" t="s">
        <v>4399</v>
      </c>
      <c r="P1060" s="110" t="s">
        <v>137</v>
      </c>
      <c r="Q1060" s="110" t="s">
        <v>96</v>
      </c>
      <c r="R1060" s="121">
        <v>0.11020000000000001</v>
      </c>
      <c r="S1060" s="113" t="e">
        <f t="shared" si="32"/>
        <v>#VALUE!</v>
      </c>
      <c r="T1060" s="113">
        <f t="shared" si="33"/>
        <v>0</v>
      </c>
    </row>
    <row r="1061" spans="1:20" s="109" customFormat="1" x14ac:dyDescent="0.2">
      <c r="A1061" s="116"/>
      <c r="B1061" s="111"/>
      <c r="C1061" s="110" t="s">
        <v>4400</v>
      </c>
      <c r="D1061" s="110" t="s">
        <v>4401</v>
      </c>
      <c r="E1061" s="112" t="s">
        <v>4402</v>
      </c>
      <c r="F1061" s="111" t="s">
        <v>126</v>
      </c>
      <c r="G1061" s="133">
        <v>165</v>
      </c>
      <c r="H1061" s="124"/>
      <c r="I1061" s="133" t="str">
        <f>IF(H1061&gt;0,(#REF!*H1061),"-")</f>
        <v>-</v>
      </c>
      <c r="J1061" s="113">
        <v>1221</v>
      </c>
      <c r="K1061" s="110" t="s">
        <v>4323</v>
      </c>
      <c r="L1061" s="110" t="s">
        <v>4398</v>
      </c>
      <c r="M1061" s="110" t="s">
        <v>129</v>
      </c>
      <c r="N1061" s="110" t="s">
        <v>130</v>
      </c>
      <c r="O1061" s="110" t="s">
        <v>4403</v>
      </c>
      <c r="P1061" s="110" t="s">
        <v>137</v>
      </c>
      <c r="Q1061" s="110" t="s">
        <v>96</v>
      </c>
      <c r="R1061" s="121">
        <v>0.123</v>
      </c>
      <c r="S1061" s="113" t="e">
        <f t="shared" si="32"/>
        <v>#VALUE!</v>
      </c>
      <c r="T1061" s="113">
        <f t="shared" si="33"/>
        <v>0</v>
      </c>
    </row>
    <row r="1062" spans="1:20" s="109" customFormat="1" x14ac:dyDescent="0.2">
      <c r="A1062" s="116"/>
      <c r="B1062" s="111"/>
      <c r="C1062" s="110" t="s">
        <v>4404</v>
      </c>
      <c r="D1062" s="110" t="s">
        <v>4405</v>
      </c>
      <c r="E1062" s="112" t="s">
        <v>4406</v>
      </c>
      <c r="F1062" s="111" t="s">
        <v>126</v>
      </c>
      <c r="G1062" s="133">
        <v>165</v>
      </c>
      <c r="H1062" s="124"/>
      <c r="I1062" s="133" t="str">
        <f>IF(H1062&gt;0,(#REF!*H1062),"-")</f>
        <v>-</v>
      </c>
      <c r="J1062" s="113">
        <v>1046</v>
      </c>
      <c r="K1062" s="110" t="s">
        <v>4323</v>
      </c>
      <c r="L1062" s="110" t="s">
        <v>4398</v>
      </c>
      <c r="M1062" s="110" t="s">
        <v>129</v>
      </c>
      <c r="N1062" s="110" t="s">
        <v>130</v>
      </c>
      <c r="O1062" s="110" t="s">
        <v>4407</v>
      </c>
      <c r="P1062" s="110" t="s">
        <v>137</v>
      </c>
      <c r="Q1062" s="110" t="s">
        <v>96</v>
      </c>
      <c r="R1062" s="121">
        <v>0.123</v>
      </c>
      <c r="S1062" s="113" t="e">
        <f t="shared" si="32"/>
        <v>#VALUE!</v>
      </c>
      <c r="T1062" s="113">
        <f t="shared" si="33"/>
        <v>0</v>
      </c>
    </row>
    <row r="1063" spans="1:20" s="109" customFormat="1" x14ac:dyDescent="0.2">
      <c r="A1063" s="116"/>
      <c r="B1063" s="111"/>
      <c r="C1063" s="110" t="s">
        <v>4408</v>
      </c>
      <c r="D1063" s="110" t="s">
        <v>4409</v>
      </c>
      <c r="E1063" s="112" t="s">
        <v>4410</v>
      </c>
      <c r="F1063" s="111" t="s">
        <v>126</v>
      </c>
      <c r="G1063" s="133">
        <v>155</v>
      </c>
      <c r="H1063" s="124"/>
      <c r="I1063" s="133" t="str">
        <f>IF(H1063&gt;0,(#REF!*H1063),"-")</f>
        <v>-</v>
      </c>
      <c r="J1063" s="113">
        <v>504</v>
      </c>
      <c r="K1063" s="110" t="s">
        <v>4323</v>
      </c>
      <c r="L1063" s="110" t="s">
        <v>4398</v>
      </c>
      <c r="M1063" s="110" t="s">
        <v>129</v>
      </c>
      <c r="N1063" s="110" t="s">
        <v>130</v>
      </c>
      <c r="O1063" s="110" t="s">
        <v>4411</v>
      </c>
      <c r="P1063" s="110" t="s">
        <v>137</v>
      </c>
      <c r="Q1063" s="110" t="s">
        <v>96</v>
      </c>
      <c r="R1063" s="121">
        <v>5.0999999999999997E-2</v>
      </c>
      <c r="S1063" s="113" t="e">
        <f t="shared" si="32"/>
        <v>#VALUE!</v>
      </c>
      <c r="T1063" s="113">
        <f t="shared" si="33"/>
        <v>0</v>
      </c>
    </row>
    <row r="1064" spans="1:20" s="109" customFormat="1" x14ac:dyDescent="0.2">
      <c r="A1064" s="116"/>
      <c r="B1064" s="111"/>
      <c r="C1064" s="110" t="s">
        <v>4412</v>
      </c>
      <c r="D1064" s="110" t="s">
        <v>4413</v>
      </c>
      <c r="E1064" s="112" t="s">
        <v>4414</v>
      </c>
      <c r="F1064" s="111" t="s">
        <v>126</v>
      </c>
      <c r="G1064" s="133">
        <v>155</v>
      </c>
      <c r="H1064" s="124"/>
      <c r="I1064" s="133" t="str">
        <f>IF(H1064&gt;0,(#REF!*H1064),"-")</f>
        <v>-</v>
      </c>
      <c r="J1064" s="113">
        <v>1046</v>
      </c>
      <c r="K1064" s="110" t="s">
        <v>4323</v>
      </c>
      <c r="L1064" s="110" t="s">
        <v>4415</v>
      </c>
      <c r="M1064" s="110" t="s">
        <v>129</v>
      </c>
      <c r="N1064" s="110" t="s">
        <v>130</v>
      </c>
      <c r="O1064" s="110" t="s">
        <v>4416</v>
      </c>
      <c r="P1064" s="110" t="s">
        <v>137</v>
      </c>
      <c r="Q1064" s="110" t="s">
        <v>96</v>
      </c>
      <c r="R1064" s="121">
        <v>0.11799999999999999</v>
      </c>
      <c r="S1064" s="113" t="e">
        <f t="shared" si="32"/>
        <v>#VALUE!</v>
      </c>
      <c r="T1064" s="113">
        <f t="shared" si="33"/>
        <v>0</v>
      </c>
    </row>
    <row r="1065" spans="1:20" s="109" customFormat="1" x14ac:dyDescent="0.2">
      <c r="A1065" s="116"/>
      <c r="B1065" s="111"/>
      <c r="C1065" s="110" t="s">
        <v>4417</v>
      </c>
      <c r="D1065" s="110" t="s">
        <v>4418</v>
      </c>
      <c r="E1065" s="112" t="s">
        <v>4419</v>
      </c>
      <c r="F1065" s="111" t="s">
        <v>126</v>
      </c>
      <c r="G1065" s="133">
        <v>370</v>
      </c>
      <c r="H1065" s="124"/>
      <c r="I1065" s="133" t="str">
        <f>IF(H1065&gt;0,(#REF!*H1065),"-")</f>
        <v>-</v>
      </c>
      <c r="J1065" s="113">
        <v>6170</v>
      </c>
      <c r="K1065" s="110" t="s">
        <v>4323</v>
      </c>
      <c r="L1065" s="110" t="s">
        <v>4415</v>
      </c>
      <c r="M1065" s="110" t="s">
        <v>129</v>
      </c>
      <c r="N1065" s="110" t="s">
        <v>130</v>
      </c>
      <c r="O1065" s="110" t="s">
        <v>4420</v>
      </c>
      <c r="P1065" s="110" t="s">
        <v>137</v>
      </c>
      <c r="Q1065" s="110" t="s">
        <v>96</v>
      </c>
      <c r="R1065" s="121">
        <v>0.62770000000000004</v>
      </c>
      <c r="S1065" s="113" t="e">
        <f t="shared" si="32"/>
        <v>#VALUE!</v>
      </c>
      <c r="T1065" s="113">
        <f t="shared" si="33"/>
        <v>0</v>
      </c>
    </row>
    <row r="1066" spans="1:20" s="109" customFormat="1" x14ac:dyDescent="0.2">
      <c r="A1066" s="116"/>
      <c r="B1066" s="111"/>
      <c r="C1066" s="110" t="s">
        <v>4421</v>
      </c>
      <c r="D1066" s="110" t="s">
        <v>4422</v>
      </c>
      <c r="E1066" s="112" t="s">
        <v>4423</v>
      </c>
      <c r="F1066" s="111" t="s">
        <v>126</v>
      </c>
      <c r="G1066" s="133">
        <v>235</v>
      </c>
      <c r="H1066" s="124"/>
      <c r="I1066" s="133" t="str">
        <f>IF(H1066&gt;0,(#REF!*H1066),"-")</f>
        <v>-</v>
      </c>
      <c r="J1066" s="113">
        <v>1640</v>
      </c>
      <c r="K1066" s="110" t="s">
        <v>4323</v>
      </c>
      <c r="L1066" s="110" t="s">
        <v>4415</v>
      </c>
      <c r="M1066" s="110" t="s">
        <v>129</v>
      </c>
      <c r="N1066" s="110" t="s">
        <v>130</v>
      </c>
      <c r="O1066" s="110" t="s">
        <v>4424</v>
      </c>
      <c r="P1066" s="110" t="s">
        <v>137</v>
      </c>
      <c r="Q1066" s="110" t="s">
        <v>96</v>
      </c>
      <c r="R1066" s="121">
        <v>0.156</v>
      </c>
      <c r="S1066" s="113" t="e">
        <f t="shared" si="32"/>
        <v>#VALUE!</v>
      </c>
      <c r="T1066" s="113">
        <f t="shared" si="33"/>
        <v>0</v>
      </c>
    </row>
    <row r="1067" spans="1:20" s="109" customFormat="1" x14ac:dyDescent="0.2">
      <c r="A1067" s="116"/>
      <c r="B1067" s="111"/>
      <c r="C1067" s="110" t="s">
        <v>4425</v>
      </c>
      <c r="D1067" s="110" t="s">
        <v>4426</v>
      </c>
      <c r="E1067" s="112" t="s">
        <v>4427</v>
      </c>
      <c r="F1067" s="111" t="s">
        <v>126</v>
      </c>
      <c r="G1067" s="133">
        <v>235</v>
      </c>
      <c r="H1067" s="124"/>
      <c r="I1067" s="133" t="str">
        <f>IF(H1067&gt;0,(#REF!*H1067),"-")</f>
        <v>-</v>
      </c>
      <c r="J1067" s="113">
        <v>1522</v>
      </c>
      <c r="K1067" s="110" t="s">
        <v>4323</v>
      </c>
      <c r="L1067" s="110" t="s">
        <v>4415</v>
      </c>
      <c r="M1067" s="110" t="s">
        <v>129</v>
      </c>
      <c r="N1067" s="110" t="s">
        <v>130</v>
      </c>
      <c r="O1067" s="110" t="s">
        <v>4428</v>
      </c>
      <c r="P1067" s="110" t="s">
        <v>137</v>
      </c>
      <c r="Q1067" s="110" t="s">
        <v>96</v>
      </c>
      <c r="R1067" s="121">
        <v>0.14799999999999999</v>
      </c>
      <c r="S1067" s="113" t="e">
        <f t="shared" si="32"/>
        <v>#VALUE!</v>
      </c>
      <c r="T1067" s="113">
        <f t="shared" si="33"/>
        <v>0</v>
      </c>
    </row>
    <row r="1068" spans="1:20" s="109" customFormat="1" x14ac:dyDescent="0.2">
      <c r="A1068" s="116"/>
      <c r="B1068" s="111"/>
      <c r="C1068" s="110" t="s">
        <v>4429</v>
      </c>
      <c r="D1068" s="110" t="s">
        <v>4430</v>
      </c>
      <c r="E1068" s="112" t="s">
        <v>4431</v>
      </c>
      <c r="F1068" s="111" t="s">
        <v>126</v>
      </c>
      <c r="G1068" s="133">
        <v>155</v>
      </c>
      <c r="H1068" s="124"/>
      <c r="I1068" s="133" t="str">
        <f>IF(H1068&gt;0,(#REF!*H1068),"-")</f>
        <v>-</v>
      </c>
      <c r="J1068" s="113">
        <v>773</v>
      </c>
      <c r="K1068" s="110" t="s">
        <v>4323</v>
      </c>
      <c r="L1068" s="110" t="s">
        <v>4415</v>
      </c>
      <c r="M1068" s="110" t="s">
        <v>129</v>
      </c>
      <c r="N1068" s="110" t="s">
        <v>130</v>
      </c>
      <c r="O1068" s="110" t="s">
        <v>4432</v>
      </c>
      <c r="P1068" s="110" t="s">
        <v>137</v>
      </c>
      <c r="Q1068" s="110" t="s">
        <v>96</v>
      </c>
      <c r="R1068" s="121">
        <v>6.4100000000000004E-2</v>
      </c>
      <c r="S1068" s="113" t="e">
        <f t="shared" si="32"/>
        <v>#VALUE!</v>
      </c>
      <c r="T1068" s="113">
        <f t="shared" si="33"/>
        <v>0</v>
      </c>
    </row>
    <row r="1069" spans="1:20" s="109" customFormat="1" x14ac:dyDescent="0.2">
      <c r="A1069" s="116"/>
      <c r="B1069" s="111" t="s">
        <v>289</v>
      </c>
      <c r="C1069" s="110" t="s">
        <v>4433</v>
      </c>
      <c r="D1069" s="110" t="s">
        <v>4434</v>
      </c>
      <c r="E1069" s="112" t="s">
        <v>4435</v>
      </c>
      <c r="F1069" s="111" t="s">
        <v>130</v>
      </c>
      <c r="G1069" s="133">
        <v>280</v>
      </c>
      <c r="H1069" s="124"/>
      <c r="I1069" s="133" t="str">
        <f>IF(H1069&gt;0,(#REF!*H1069),"-")</f>
        <v>-</v>
      </c>
      <c r="J1069" s="113">
        <v>4889</v>
      </c>
      <c r="K1069" s="110" t="s">
        <v>129</v>
      </c>
      <c r="L1069" s="110" t="s">
        <v>129</v>
      </c>
      <c r="M1069" s="110" t="s">
        <v>129</v>
      </c>
      <c r="N1069" s="110" t="s">
        <v>130</v>
      </c>
      <c r="O1069" s="110" t="s">
        <v>4436</v>
      </c>
      <c r="P1069" s="110" t="s">
        <v>589</v>
      </c>
      <c r="Q1069" s="110" t="s">
        <v>96</v>
      </c>
      <c r="R1069" s="121">
        <v>1.5309999999999999</v>
      </c>
      <c r="S1069" s="113" t="e">
        <f t="shared" si="32"/>
        <v>#VALUE!</v>
      </c>
      <c r="T1069" s="113">
        <f t="shared" si="33"/>
        <v>0</v>
      </c>
    </row>
    <row r="1070" spans="1:20" s="109" customFormat="1" x14ac:dyDescent="0.2">
      <c r="A1070" s="116"/>
      <c r="B1070" s="111" t="s">
        <v>289</v>
      </c>
      <c r="C1070" s="110" t="s">
        <v>4433</v>
      </c>
      <c r="D1070" s="110" t="s">
        <v>4437</v>
      </c>
      <c r="E1070" s="112" t="s">
        <v>4438</v>
      </c>
      <c r="F1070" s="111" t="s">
        <v>130</v>
      </c>
      <c r="G1070" s="133">
        <v>280</v>
      </c>
      <c r="H1070" s="124"/>
      <c r="I1070" s="133" t="str">
        <f>IF(H1070&gt;0,(#REF!*H1070),"-")</f>
        <v>-</v>
      </c>
      <c r="J1070" s="113">
        <v>4889</v>
      </c>
      <c r="K1070" s="110" t="s">
        <v>129</v>
      </c>
      <c r="L1070" s="110" t="s">
        <v>129</v>
      </c>
      <c r="M1070" s="110" t="s">
        <v>129</v>
      </c>
      <c r="N1070" s="110" t="s">
        <v>130</v>
      </c>
      <c r="O1070" s="110" t="s">
        <v>4439</v>
      </c>
      <c r="P1070" s="110" t="s">
        <v>589</v>
      </c>
      <c r="Q1070" s="110" t="s">
        <v>96</v>
      </c>
      <c r="R1070" s="121">
        <v>1.5309999999999999</v>
      </c>
      <c r="S1070" s="113" t="e">
        <f t="shared" si="32"/>
        <v>#VALUE!</v>
      </c>
      <c r="T1070" s="113">
        <f t="shared" si="33"/>
        <v>0</v>
      </c>
    </row>
    <row r="1071" spans="1:20" s="109" customFormat="1" x14ac:dyDescent="0.2">
      <c r="A1071" s="116"/>
      <c r="B1071" s="111" t="s">
        <v>207</v>
      </c>
      <c r="C1071" s="110" t="s">
        <v>4440</v>
      </c>
      <c r="D1071" s="110" t="s">
        <v>4441</v>
      </c>
      <c r="E1071" s="112" t="s">
        <v>4442</v>
      </c>
      <c r="F1071" s="111" t="s">
        <v>130</v>
      </c>
      <c r="G1071" s="133">
        <v>110</v>
      </c>
      <c r="H1071" s="124"/>
      <c r="I1071" s="133" t="str">
        <f>IF(H1071&gt;0,(#REF!*H1071),"-")</f>
        <v>-</v>
      </c>
      <c r="J1071" s="113">
        <v>968</v>
      </c>
      <c r="K1071" s="110" t="s">
        <v>129</v>
      </c>
      <c r="L1071" s="110" t="s">
        <v>129</v>
      </c>
      <c r="M1071" s="110" t="s">
        <v>129</v>
      </c>
      <c r="N1071" s="110" t="s">
        <v>130</v>
      </c>
      <c r="O1071" s="110" t="s">
        <v>4443</v>
      </c>
      <c r="P1071" s="110" t="s">
        <v>137</v>
      </c>
      <c r="Q1071" s="110" t="s">
        <v>96</v>
      </c>
      <c r="R1071" s="121">
        <v>0.22620000000000001</v>
      </c>
      <c r="S1071" s="113" t="e">
        <f t="shared" si="32"/>
        <v>#VALUE!</v>
      </c>
      <c r="T1071" s="113">
        <f t="shared" si="33"/>
        <v>0</v>
      </c>
    </row>
    <row r="1072" spans="1:20" s="109" customFormat="1" x14ac:dyDescent="0.2">
      <c r="A1072" s="116"/>
      <c r="B1072" s="111" t="s">
        <v>207</v>
      </c>
      <c r="C1072" s="110" t="s">
        <v>4444</v>
      </c>
      <c r="D1072" s="110" t="s">
        <v>4445</v>
      </c>
      <c r="E1072" s="112" t="s">
        <v>4446</v>
      </c>
      <c r="F1072" s="111" t="s">
        <v>130</v>
      </c>
      <c r="G1072" s="133">
        <v>110</v>
      </c>
      <c r="H1072" s="124"/>
      <c r="I1072" s="133" t="str">
        <f>IF(H1072&gt;0,(#REF!*H1072),"-")</f>
        <v>-</v>
      </c>
      <c r="J1072" s="113">
        <v>968</v>
      </c>
      <c r="K1072" s="110" t="s">
        <v>129</v>
      </c>
      <c r="L1072" s="110" t="s">
        <v>129</v>
      </c>
      <c r="M1072" s="110" t="s">
        <v>129</v>
      </c>
      <c r="N1072" s="110" t="s">
        <v>130</v>
      </c>
      <c r="O1072" s="110" t="s">
        <v>4447</v>
      </c>
      <c r="P1072" s="110" t="s">
        <v>137</v>
      </c>
      <c r="Q1072" s="110" t="s">
        <v>96</v>
      </c>
      <c r="R1072" s="121">
        <v>0.22620000000000001</v>
      </c>
      <c r="S1072" s="113" t="e">
        <f t="shared" si="32"/>
        <v>#VALUE!</v>
      </c>
      <c r="T1072" s="113">
        <f t="shared" si="33"/>
        <v>0</v>
      </c>
    </row>
    <row r="1073" spans="1:20" s="109" customFormat="1" x14ac:dyDescent="0.2">
      <c r="A1073" s="116"/>
      <c r="B1073" s="111"/>
      <c r="C1073" s="110" t="s">
        <v>4448</v>
      </c>
      <c r="D1073" s="110" t="s">
        <v>4449</v>
      </c>
      <c r="E1073" s="112" t="s">
        <v>4450</v>
      </c>
      <c r="F1073" s="111" t="s">
        <v>126</v>
      </c>
      <c r="G1073" s="133">
        <v>80</v>
      </c>
      <c r="H1073" s="124"/>
      <c r="I1073" s="133" t="str">
        <f>IF(H1073&gt;0,(#REF!*H1073),"-")</f>
        <v>-</v>
      </c>
      <c r="J1073" s="113">
        <v>171</v>
      </c>
      <c r="K1073" s="110" t="s">
        <v>129</v>
      </c>
      <c r="L1073" s="110" t="s">
        <v>129</v>
      </c>
      <c r="M1073" s="110" t="s">
        <v>129</v>
      </c>
      <c r="N1073" s="110" t="s">
        <v>130</v>
      </c>
      <c r="O1073" s="110" t="s">
        <v>4451</v>
      </c>
      <c r="P1073" s="110" t="s">
        <v>400</v>
      </c>
      <c r="Q1073" s="110" t="s">
        <v>97</v>
      </c>
      <c r="R1073" s="121">
        <v>0.13300000000000001</v>
      </c>
      <c r="S1073" s="113" t="e">
        <f t="shared" si="32"/>
        <v>#VALUE!</v>
      </c>
      <c r="T1073" s="113">
        <f t="shared" si="33"/>
        <v>0</v>
      </c>
    </row>
    <row r="1074" spans="1:20" s="109" customFormat="1" x14ac:dyDescent="0.2">
      <c r="A1074" s="116"/>
      <c r="B1074" s="111"/>
      <c r="C1074" s="110" t="s">
        <v>4452</v>
      </c>
      <c r="D1074" s="110" t="s">
        <v>4453</v>
      </c>
      <c r="E1074" s="112" t="s">
        <v>4454</v>
      </c>
      <c r="F1074" s="111" t="s">
        <v>126</v>
      </c>
      <c r="G1074" s="133">
        <v>75</v>
      </c>
      <c r="H1074" s="124"/>
      <c r="I1074" s="133" t="str">
        <f>IF(H1074&gt;0,(#REF!*H1074),"-")</f>
        <v>-</v>
      </c>
      <c r="J1074" s="113">
        <v>171</v>
      </c>
      <c r="K1074" s="110" t="s">
        <v>129</v>
      </c>
      <c r="L1074" s="110" t="s">
        <v>129</v>
      </c>
      <c r="M1074" s="110" t="s">
        <v>129</v>
      </c>
      <c r="N1074" s="110" t="s">
        <v>130</v>
      </c>
      <c r="O1074" s="110" t="s">
        <v>4455</v>
      </c>
      <c r="P1074" s="110" t="s">
        <v>400</v>
      </c>
      <c r="Q1074" s="110" t="s">
        <v>97</v>
      </c>
      <c r="R1074" s="121">
        <v>0.13300000000000001</v>
      </c>
      <c r="S1074" s="113" t="e">
        <f t="shared" si="32"/>
        <v>#VALUE!</v>
      </c>
      <c r="T1074" s="113">
        <f t="shared" si="33"/>
        <v>0</v>
      </c>
    </row>
    <row r="1075" spans="1:20" s="109" customFormat="1" x14ac:dyDescent="0.2">
      <c r="A1075" s="116"/>
      <c r="B1075" s="111"/>
      <c r="C1075" s="110" t="s">
        <v>4456</v>
      </c>
      <c r="D1075" s="110" t="s">
        <v>4457</v>
      </c>
      <c r="E1075" s="112" t="s">
        <v>4458</v>
      </c>
      <c r="F1075" s="111" t="s">
        <v>126</v>
      </c>
      <c r="G1075" s="133">
        <v>75</v>
      </c>
      <c r="H1075" s="124"/>
      <c r="I1075" s="133" t="str">
        <f>IF(H1075&gt;0,(#REF!*H1075),"-")</f>
        <v>-</v>
      </c>
      <c r="J1075" s="113">
        <v>866</v>
      </c>
      <c r="K1075" s="110" t="s">
        <v>129</v>
      </c>
      <c r="L1075" s="110" t="s">
        <v>129</v>
      </c>
      <c r="M1075" s="110" t="s">
        <v>129</v>
      </c>
      <c r="N1075" s="110" t="s">
        <v>130</v>
      </c>
      <c r="O1075" s="110" t="s">
        <v>4459</v>
      </c>
      <c r="P1075" s="110" t="s">
        <v>423</v>
      </c>
      <c r="Q1075" s="110" t="s">
        <v>97</v>
      </c>
      <c r="R1075" s="121">
        <v>0.14699999999999999</v>
      </c>
      <c r="S1075" s="113" t="e">
        <f t="shared" si="32"/>
        <v>#VALUE!</v>
      </c>
      <c r="T1075" s="113">
        <f t="shared" si="33"/>
        <v>0</v>
      </c>
    </row>
    <row r="1076" spans="1:20" s="109" customFormat="1" x14ac:dyDescent="0.2">
      <c r="A1076" s="116"/>
      <c r="B1076" s="111"/>
      <c r="C1076" s="110" t="s">
        <v>4460</v>
      </c>
      <c r="D1076" s="110" t="s">
        <v>4461</v>
      </c>
      <c r="E1076" s="112" t="s">
        <v>4462</v>
      </c>
      <c r="F1076" s="111" t="s">
        <v>126</v>
      </c>
      <c r="G1076" s="133">
        <v>30</v>
      </c>
      <c r="H1076" s="124"/>
      <c r="I1076" s="133" t="str">
        <f>IF(H1076&gt;0,(#REF!*H1076),"-")</f>
        <v>-</v>
      </c>
      <c r="J1076" s="113">
        <v>343</v>
      </c>
      <c r="K1076" s="110" t="s">
        <v>129</v>
      </c>
      <c r="L1076" s="110" t="s">
        <v>129</v>
      </c>
      <c r="M1076" s="110" t="s">
        <v>129</v>
      </c>
      <c r="N1076" s="110" t="s">
        <v>130</v>
      </c>
      <c r="O1076" s="110" t="s">
        <v>4463</v>
      </c>
      <c r="P1076" s="110" t="s">
        <v>4464</v>
      </c>
      <c r="Q1076" s="110" t="s">
        <v>97</v>
      </c>
      <c r="R1076" s="121">
        <v>5.6000000000000001E-2</v>
      </c>
      <c r="S1076" s="113" t="e">
        <f t="shared" si="32"/>
        <v>#VALUE!</v>
      </c>
      <c r="T1076" s="113">
        <f t="shared" si="33"/>
        <v>0</v>
      </c>
    </row>
    <row r="1077" spans="1:20" s="109" customFormat="1" x14ac:dyDescent="0.2">
      <c r="A1077" s="116"/>
      <c r="B1077" s="111"/>
      <c r="C1077" s="110" t="s">
        <v>4465</v>
      </c>
      <c r="D1077" s="110" t="s">
        <v>4466</v>
      </c>
      <c r="E1077" s="112" t="s">
        <v>4467</v>
      </c>
      <c r="F1077" s="111" t="s">
        <v>126</v>
      </c>
      <c r="G1077" s="133">
        <v>215</v>
      </c>
      <c r="H1077" s="124"/>
      <c r="I1077" s="133" t="str">
        <f>IF(H1077&gt;0,(#REF!*H1077),"-")</f>
        <v>-</v>
      </c>
      <c r="J1077" s="113">
        <v>2126</v>
      </c>
      <c r="K1077" s="110" t="s">
        <v>129</v>
      </c>
      <c r="L1077" s="110" t="s">
        <v>129</v>
      </c>
      <c r="M1077" s="110" t="s">
        <v>129</v>
      </c>
      <c r="N1077" s="110" t="s">
        <v>130</v>
      </c>
      <c r="O1077" s="110" t="s">
        <v>4468</v>
      </c>
      <c r="P1077" s="110" t="s">
        <v>137</v>
      </c>
      <c r="Q1077" s="110" t="s">
        <v>96</v>
      </c>
      <c r="R1077" s="121">
        <v>0.28660000000000002</v>
      </c>
      <c r="S1077" s="113" t="e">
        <f t="shared" si="32"/>
        <v>#VALUE!</v>
      </c>
      <c r="T1077" s="113">
        <f t="shared" si="33"/>
        <v>0</v>
      </c>
    </row>
    <row r="1078" spans="1:20" s="109" customFormat="1" x14ac:dyDescent="0.2">
      <c r="A1078" s="116"/>
      <c r="B1078" s="111"/>
      <c r="C1078" s="110" t="s">
        <v>4465</v>
      </c>
      <c r="D1078" s="110" t="s">
        <v>4469</v>
      </c>
      <c r="E1078" s="112" t="s">
        <v>4470</v>
      </c>
      <c r="F1078" s="111" t="s">
        <v>126</v>
      </c>
      <c r="G1078" s="133">
        <v>215</v>
      </c>
      <c r="H1078" s="124"/>
      <c r="I1078" s="133" t="str">
        <f>IF(H1078&gt;0,(#REF!*H1078),"-")</f>
        <v>-</v>
      </c>
      <c r="J1078" s="113">
        <v>2126</v>
      </c>
      <c r="K1078" s="110" t="s">
        <v>129</v>
      </c>
      <c r="L1078" s="110" t="s">
        <v>129</v>
      </c>
      <c r="M1078" s="110" t="s">
        <v>129</v>
      </c>
      <c r="N1078" s="110" t="s">
        <v>130</v>
      </c>
      <c r="O1078" s="110" t="s">
        <v>4471</v>
      </c>
      <c r="P1078" s="110" t="s">
        <v>137</v>
      </c>
      <c r="Q1078" s="110" t="s">
        <v>96</v>
      </c>
      <c r="R1078" s="121">
        <v>0.29199999999999998</v>
      </c>
      <c r="S1078" s="113" t="e">
        <f t="shared" si="32"/>
        <v>#VALUE!</v>
      </c>
      <c r="T1078" s="113">
        <f t="shared" si="33"/>
        <v>0</v>
      </c>
    </row>
    <row r="1079" spans="1:20" s="109" customFormat="1" x14ac:dyDescent="0.2">
      <c r="A1079" s="116"/>
      <c r="B1079" s="111"/>
      <c r="C1079" s="110" t="s">
        <v>4472</v>
      </c>
      <c r="D1079" s="110" t="s">
        <v>4473</v>
      </c>
      <c r="E1079" s="112" t="s">
        <v>4474</v>
      </c>
      <c r="F1079" s="111" t="s">
        <v>126</v>
      </c>
      <c r="G1079" s="133">
        <v>125</v>
      </c>
      <c r="H1079" s="124"/>
      <c r="I1079" s="133" t="str">
        <f>IF(H1079&gt;0,(#REF!*H1079),"-")</f>
        <v>-</v>
      </c>
      <c r="J1079" s="113">
        <v>2153</v>
      </c>
      <c r="K1079" s="110" t="s">
        <v>129</v>
      </c>
      <c r="L1079" s="110" t="s">
        <v>129</v>
      </c>
      <c r="M1079" s="110" t="s">
        <v>129</v>
      </c>
      <c r="N1079" s="110" t="s">
        <v>130</v>
      </c>
      <c r="O1079" s="110" t="s">
        <v>4475</v>
      </c>
      <c r="P1079" s="110" t="s">
        <v>137</v>
      </c>
      <c r="Q1079" s="110" t="s">
        <v>97</v>
      </c>
      <c r="R1079" s="121">
        <v>0.23</v>
      </c>
      <c r="S1079" s="113" t="e">
        <f t="shared" si="32"/>
        <v>#VALUE!</v>
      </c>
      <c r="T1079" s="113">
        <f t="shared" si="33"/>
        <v>0</v>
      </c>
    </row>
    <row r="1080" spans="1:20" s="109" customFormat="1" x14ac:dyDescent="0.2">
      <c r="A1080" s="116"/>
      <c r="B1080" s="111"/>
      <c r="C1080" s="110" t="s">
        <v>4476</v>
      </c>
      <c r="D1080" s="110" t="s">
        <v>4477</v>
      </c>
      <c r="E1080" s="112" t="s">
        <v>4478</v>
      </c>
      <c r="F1080" s="111" t="s">
        <v>126</v>
      </c>
      <c r="G1080" s="133">
        <v>60</v>
      </c>
      <c r="H1080" s="124"/>
      <c r="I1080" s="133" t="str">
        <f>IF(H1080&gt;0,(#REF!*H1080),"-")</f>
        <v>-</v>
      </c>
      <c r="J1080" s="113">
        <v>464</v>
      </c>
      <c r="K1080" s="110" t="s">
        <v>129</v>
      </c>
      <c r="L1080" s="110" t="s">
        <v>129</v>
      </c>
      <c r="M1080" s="110" t="s">
        <v>129</v>
      </c>
      <c r="N1080" s="110" t="s">
        <v>130</v>
      </c>
      <c r="O1080" s="110" t="s">
        <v>4479</v>
      </c>
      <c r="P1080" s="110" t="s">
        <v>589</v>
      </c>
      <c r="Q1080" s="110" t="s">
        <v>97</v>
      </c>
      <c r="R1080" s="121">
        <v>0.12</v>
      </c>
      <c r="S1080" s="113" t="e">
        <f t="shared" si="32"/>
        <v>#VALUE!</v>
      </c>
      <c r="T1080" s="113">
        <f t="shared" si="33"/>
        <v>0</v>
      </c>
    </row>
    <row r="1081" spans="1:20" s="109" customFormat="1" x14ac:dyDescent="0.2">
      <c r="A1081" s="116"/>
      <c r="B1081" s="111"/>
      <c r="C1081" s="110" t="s">
        <v>4480</v>
      </c>
      <c r="D1081" s="110" t="s">
        <v>4481</v>
      </c>
      <c r="E1081" s="112" t="s">
        <v>4482</v>
      </c>
      <c r="F1081" s="111" t="s">
        <v>126</v>
      </c>
      <c r="G1081" s="133">
        <v>185</v>
      </c>
      <c r="H1081" s="124"/>
      <c r="I1081" s="133" t="str">
        <f>IF(H1081&gt;0,(#REF!*H1081),"-")</f>
        <v>-</v>
      </c>
      <c r="J1081" s="113">
        <v>5891</v>
      </c>
      <c r="K1081" s="110" t="s">
        <v>129</v>
      </c>
      <c r="L1081" s="110" t="s">
        <v>129</v>
      </c>
      <c r="M1081" s="110" t="s">
        <v>129</v>
      </c>
      <c r="N1081" s="110" t="s">
        <v>130</v>
      </c>
      <c r="O1081" s="110" t="s">
        <v>4483</v>
      </c>
      <c r="P1081" s="110" t="s">
        <v>1036</v>
      </c>
      <c r="Q1081" s="110" t="s">
        <v>97</v>
      </c>
      <c r="R1081" s="121">
        <v>0.372</v>
      </c>
      <c r="S1081" s="113" t="e">
        <f t="shared" si="32"/>
        <v>#VALUE!</v>
      </c>
      <c r="T1081" s="113">
        <f t="shared" si="33"/>
        <v>0</v>
      </c>
    </row>
    <row r="1082" spans="1:20" s="109" customFormat="1" x14ac:dyDescent="0.2">
      <c r="A1082" s="116"/>
      <c r="B1082" s="111"/>
      <c r="C1082" s="110" t="s">
        <v>4484</v>
      </c>
      <c r="D1082" s="110" t="s">
        <v>4485</v>
      </c>
      <c r="E1082" s="112" t="s">
        <v>4486</v>
      </c>
      <c r="F1082" s="111" t="s">
        <v>126</v>
      </c>
      <c r="G1082" s="133">
        <v>140</v>
      </c>
      <c r="H1082" s="124"/>
      <c r="I1082" s="133" t="str">
        <f>IF(H1082&gt;0,(#REF!*H1082),"-")</f>
        <v>-</v>
      </c>
      <c r="J1082" s="113">
        <v>1901</v>
      </c>
      <c r="K1082" s="110" t="s">
        <v>129</v>
      </c>
      <c r="L1082" s="110" t="s">
        <v>129</v>
      </c>
      <c r="M1082" s="110" t="s">
        <v>129</v>
      </c>
      <c r="N1082" s="110" t="s">
        <v>130</v>
      </c>
      <c r="O1082" s="110" t="s">
        <v>4487</v>
      </c>
      <c r="P1082" s="110" t="s">
        <v>400</v>
      </c>
      <c r="Q1082" s="110" t="s">
        <v>97</v>
      </c>
      <c r="R1082" s="121">
        <v>0.25900000000000001</v>
      </c>
      <c r="S1082" s="113" t="e">
        <f t="shared" si="32"/>
        <v>#VALUE!</v>
      </c>
      <c r="T1082" s="113">
        <f t="shared" si="33"/>
        <v>0</v>
      </c>
    </row>
    <row r="1083" spans="1:20" s="109" customFormat="1" x14ac:dyDescent="0.2">
      <c r="A1083" s="116"/>
      <c r="B1083" s="111"/>
      <c r="C1083" s="110" t="s">
        <v>4484</v>
      </c>
      <c r="D1083" s="110" t="s">
        <v>4488</v>
      </c>
      <c r="E1083" s="112" t="s">
        <v>4489</v>
      </c>
      <c r="F1083" s="111" t="s">
        <v>126</v>
      </c>
      <c r="G1083" s="133">
        <v>140</v>
      </c>
      <c r="H1083" s="124"/>
      <c r="I1083" s="133" t="str">
        <f>IF(H1083&gt;0,(#REF!*H1083),"-")</f>
        <v>-</v>
      </c>
      <c r="J1083" s="113">
        <v>1901</v>
      </c>
      <c r="K1083" s="110" t="s">
        <v>129</v>
      </c>
      <c r="L1083" s="110" t="s">
        <v>129</v>
      </c>
      <c r="M1083" s="110" t="s">
        <v>129</v>
      </c>
      <c r="N1083" s="110" t="s">
        <v>130</v>
      </c>
      <c r="O1083" s="110" t="s">
        <v>4490</v>
      </c>
      <c r="P1083" s="110" t="s">
        <v>400</v>
      </c>
      <c r="Q1083" s="110" t="s">
        <v>97</v>
      </c>
      <c r="R1083" s="121">
        <v>0.25900000000000001</v>
      </c>
      <c r="S1083" s="113" t="e">
        <f t="shared" si="32"/>
        <v>#VALUE!</v>
      </c>
      <c r="T1083" s="113">
        <f t="shared" si="33"/>
        <v>0</v>
      </c>
    </row>
    <row r="1084" spans="1:20" s="109" customFormat="1" x14ac:dyDescent="0.2">
      <c r="A1084" s="116"/>
      <c r="B1084" s="111" t="s">
        <v>207</v>
      </c>
      <c r="C1084" s="110" t="s">
        <v>4491</v>
      </c>
      <c r="D1084" s="110" t="s">
        <v>4492</v>
      </c>
      <c r="E1084" s="112" t="s">
        <v>4493</v>
      </c>
      <c r="F1084" s="111" t="s">
        <v>130</v>
      </c>
      <c r="G1084" s="133">
        <v>435</v>
      </c>
      <c r="H1084" s="124"/>
      <c r="I1084" s="133" t="str">
        <f>IF(H1084&gt;0,(#REF!*H1084),"-")</f>
        <v>-</v>
      </c>
      <c r="J1084" s="113">
        <v>6749</v>
      </c>
      <c r="K1084" s="110" t="s">
        <v>129</v>
      </c>
      <c r="L1084" s="110" t="s">
        <v>129</v>
      </c>
      <c r="M1084" s="110" t="s">
        <v>129</v>
      </c>
      <c r="N1084" s="110" t="s">
        <v>130</v>
      </c>
      <c r="O1084" s="110" t="s">
        <v>4494</v>
      </c>
      <c r="P1084" s="110" t="s">
        <v>589</v>
      </c>
      <c r="Q1084" s="110" t="s">
        <v>96</v>
      </c>
      <c r="R1084" s="121">
        <v>2.2999999999999998</v>
      </c>
      <c r="S1084" s="113" t="e">
        <f t="shared" si="32"/>
        <v>#VALUE!</v>
      </c>
      <c r="T1084" s="113">
        <f t="shared" si="33"/>
        <v>0</v>
      </c>
    </row>
    <row r="1085" spans="1:20" s="109" customFormat="1" x14ac:dyDescent="0.2">
      <c r="A1085" s="116"/>
      <c r="B1085" s="111"/>
      <c r="C1085" s="110" t="s">
        <v>4495</v>
      </c>
      <c r="D1085" s="110" t="s">
        <v>4496</v>
      </c>
      <c r="E1085" s="112" t="s">
        <v>4497</v>
      </c>
      <c r="F1085" s="111" t="s">
        <v>126</v>
      </c>
      <c r="G1085" s="133">
        <v>72</v>
      </c>
      <c r="H1085" s="124"/>
      <c r="I1085" s="133" t="str">
        <f>IF(H1085&gt;0,(#REF!*H1085),"-")</f>
        <v>-</v>
      </c>
      <c r="J1085" s="113">
        <v>504</v>
      </c>
      <c r="K1085" s="110" t="s">
        <v>129</v>
      </c>
      <c r="L1085" s="110" t="s">
        <v>129</v>
      </c>
      <c r="M1085" s="110" t="s">
        <v>129</v>
      </c>
      <c r="N1085" s="110" t="s">
        <v>130</v>
      </c>
      <c r="O1085" s="110" t="s">
        <v>4498</v>
      </c>
      <c r="P1085" s="110" t="s">
        <v>137</v>
      </c>
      <c r="Q1085" s="110" t="s">
        <v>96</v>
      </c>
      <c r="R1085" s="121">
        <v>4.9099999999999998E-2</v>
      </c>
      <c r="S1085" s="113" t="e">
        <f t="shared" si="32"/>
        <v>#VALUE!</v>
      </c>
      <c r="T1085" s="113">
        <f t="shared" si="33"/>
        <v>0</v>
      </c>
    </row>
    <row r="1086" spans="1:20" s="109" customFormat="1" x14ac:dyDescent="0.2">
      <c r="A1086" s="116"/>
      <c r="B1086" s="111"/>
      <c r="C1086" s="110" t="s">
        <v>4499</v>
      </c>
      <c r="D1086" s="110" t="s">
        <v>4500</v>
      </c>
      <c r="E1086" s="112" t="s">
        <v>4501</v>
      </c>
      <c r="F1086" s="111" t="s">
        <v>126</v>
      </c>
      <c r="G1086" s="133">
        <v>90</v>
      </c>
      <c r="H1086" s="124"/>
      <c r="I1086" s="133" t="str">
        <f>IF(H1086&gt;0,(#REF!*H1086),"-")</f>
        <v>-</v>
      </c>
      <c r="J1086" s="113">
        <v>756</v>
      </c>
      <c r="K1086" s="110" t="s">
        <v>129</v>
      </c>
      <c r="L1086" s="110" t="s">
        <v>129</v>
      </c>
      <c r="M1086" s="110" t="s">
        <v>129</v>
      </c>
      <c r="N1086" s="110" t="s">
        <v>130</v>
      </c>
      <c r="O1086" s="110" t="s">
        <v>4502</v>
      </c>
      <c r="P1086" s="110" t="s">
        <v>137</v>
      </c>
      <c r="Q1086" s="110" t="s">
        <v>96</v>
      </c>
      <c r="R1086" s="121">
        <v>5.8999999999999997E-2</v>
      </c>
      <c r="S1086" s="113" t="e">
        <f t="shared" si="32"/>
        <v>#VALUE!</v>
      </c>
      <c r="T1086" s="113">
        <f t="shared" si="33"/>
        <v>0</v>
      </c>
    </row>
    <row r="1087" spans="1:20" s="109" customFormat="1" x14ac:dyDescent="0.2">
      <c r="A1087" s="116"/>
      <c r="B1087" s="111"/>
      <c r="C1087" s="110" t="s">
        <v>4503</v>
      </c>
      <c r="D1087" s="110" t="s">
        <v>4504</v>
      </c>
      <c r="E1087" s="112" t="s">
        <v>4505</v>
      </c>
      <c r="F1087" s="111" t="s">
        <v>126</v>
      </c>
      <c r="G1087" s="133">
        <v>140</v>
      </c>
      <c r="H1087" s="124"/>
      <c r="I1087" s="133" t="str">
        <f>IF(H1087&gt;0,(#REF!*H1087),"-")</f>
        <v>-</v>
      </c>
      <c r="J1087" s="113">
        <v>1121</v>
      </c>
      <c r="K1087" s="110" t="s">
        <v>129</v>
      </c>
      <c r="L1087" s="110" t="s">
        <v>129</v>
      </c>
      <c r="M1087" s="110" t="s">
        <v>129</v>
      </c>
      <c r="N1087" s="110" t="s">
        <v>130</v>
      </c>
      <c r="O1087" s="110" t="s">
        <v>4506</v>
      </c>
      <c r="P1087" s="110" t="s">
        <v>137</v>
      </c>
      <c r="Q1087" s="110" t="s">
        <v>96</v>
      </c>
      <c r="R1087" s="121">
        <v>0.152</v>
      </c>
      <c r="S1087" s="113" t="e">
        <f t="shared" si="32"/>
        <v>#VALUE!</v>
      </c>
      <c r="T1087" s="113">
        <f t="shared" si="33"/>
        <v>0</v>
      </c>
    </row>
    <row r="1088" spans="1:20" s="109" customFormat="1" x14ac:dyDescent="0.2">
      <c r="A1088" s="116"/>
      <c r="B1088" s="111"/>
      <c r="C1088" s="110" t="s">
        <v>4507</v>
      </c>
      <c r="D1088" s="110" t="s">
        <v>4508</v>
      </c>
      <c r="E1088" s="112" t="s">
        <v>4509</v>
      </c>
      <c r="F1088" s="111" t="s">
        <v>126</v>
      </c>
      <c r="G1088" s="133">
        <v>140</v>
      </c>
      <c r="H1088" s="124"/>
      <c r="I1088" s="133" t="str">
        <f>IF(H1088&gt;0,(#REF!*H1088),"-")</f>
        <v>-</v>
      </c>
      <c r="J1088" s="113">
        <v>1104</v>
      </c>
      <c r="K1088" s="110" t="s">
        <v>129</v>
      </c>
      <c r="L1088" s="110" t="s">
        <v>129</v>
      </c>
      <c r="M1088" s="110" t="s">
        <v>129</v>
      </c>
      <c r="N1088" s="110" t="s">
        <v>130</v>
      </c>
      <c r="O1088" s="110" t="s">
        <v>4510</v>
      </c>
      <c r="P1088" s="110" t="s">
        <v>137</v>
      </c>
      <c r="Q1088" s="110" t="s">
        <v>96</v>
      </c>
      <c r="R1088" s="121">
        <v>0.15110000000000001</v>
      </c>
      <c r="S1088" s="113" t="e">
        <f t="shared" si="32"/>
        <v>#VALUE!</v>
      </c>
      <c r="T1088" s="113">
        <f t="shared" si="33"/>
        <v>0</v>
      </c>
    </row>
    <row r="1089" spans="1:20" s="109" customFormat="1" x14ac:dyDescent="0.2">
      <c r="A1089" s="116"/>
      <c r="B1089" s="111"/>
      <c r="C1089" s="110" t="s">
        <v>4511</v>
      </c>
      <c r="D1089" s="110" t="s">
        <v>4512</v>
      </c>
      <c r="E1089" s="112" t="s">
        <v>4513</v>
      </c>
      <c r="F1089" s="111" t="s">
        <v>126</v>
      </c>
      <c r="G1089" s="133">
        <v>155</v>
      </c>
      <c r="H1089" s="124"/>
      <c r="I1089" s="133" t="str">
        <f>IF(H1089&gt;0,(#REF!*H1089),"-")</f>
        <v>-</v>
      </c>
      <c r="J1089" s="113">
        <v>1278</v>
      </c>
      <c r="K1089" s="110" t="s">
        <v>129</v>
      </c>
      <c r="L1089" s="110" t="s">
        <v>129</v>
      </c>
      <c r="M1089" s="110" t="s">
        <v>129</v>
      </c>
      <c r="N1089" s="110" t="s">
        <v>130</v>
      </c>
      <c r="O1089" s="110" t="s">
        <v>4514</v>
      </c>
      <c r="P1089" s="110" t="s">
        <v>137</v>
      </c>
      <c r="Q1089" s="110" t="s">
        <v>97</v>
      </c>
      <c r="R1089" s="121">
        <v>0.71899999999999997</v>
      </c>
      <c r="S1089" s="113" t="e">
        <f t="shared" si="32"/>
        <v>#VALUE!</v>
      </c>
      <c r="T1089" s="113">
        <f t="shared" si="33"/>
        <v>0</v>
      </c>
    </row>
    <row r="1090" spans="1:20" s="109" customFormat="1" x14ac:dyDescent="0.2">
      <c r="A1090" s="116"/>
      <c r="B1090" s="111"/>
      <c r="C1090" s="110" t="s">
        <v>4515</v>
      </c>
      <c r="D1090" s="110" t="s">
        <v>4516</v>
      </c>
      <c r="E1090" s="112" t="s">
        <v>4517</v>
      </c>
      <c r="F1090" s="111" t="s">
        <v>126</v>
      </c>
      <c r="G1090" s="133">
        <v>62</v>
      </c>
      <c r="H1090" s="124"/>
      <c r="I1090" s="133" t="str">
        <f>IF(H1090&gt;0,(#REF!*H1090),"-")</f>
        <v>-</v>
      </c>
      <c r="J1090" s="113">
        <v>1869</v>
      </c>
      <c r="K1090" s="110" t="s">
        <v>129</v>
      </c>
      <c r="L1090" s="110" t="s">
        <v>129</v>
      </c>
      <c r="M1090" s="110" t="s">
        <v>129</v>
      </c>
      <c r="N1090" s="110" t="s">
        <v>4518</v>
      </c>
      <c r="O1090" s="110" t="s">
        <v>4519</v>
      </c>
      <c r="P1090" s="110" t="s">
        <v>4520</v>
      </c>
      <c r="Q1090" s="110" t="s">
        <v>96</v>
      </c>
      <c r="R1090" s="121">
        <v>0.81599999999999995</v>
      </c>
      <c r="S1090" s="113" t="e">
        <f t="shared" ref="S1090:S1153" si="34">Q1090*H1090</f>
        <v>#VALUE!</v>
      </c>
      <c r="T1090" s="113">
        <f t="shared" ref="T1090:T1153" si="35">R1090*H1090</f>
        <v>0</v>
      </c>
    </row>
    <row r="1091" spans="1:20" s="109" customFormat="1" x14ac:dyDescent="0.2">
      <c r="A1091" s="116"/>
      <c r="B1091" s="111"/>
      <c r="C1091" s="110" t="s">
        <v>4521</v>
      </c>
      <c r="D1091" s="110" t="s">
        <v>4522</v>
      </c>
      <c r="E1091" s="112" t="s">
        <v>4523</v>
      </c>
      <c r="F1091" s="111" t="s">
        <v>126</v>
      </c>
      <c r="G1091" s="133">
        <v>1080</v>
      </c>
      <c r="H1091" s="124"/>
      <c r="I1091" s="133" t="str">
        <f>IF(H1091&gt;0,(#REF!*H1091),"-")</f>
        <v>-</v>
      </c>
      <c r="J1091" s="113">
        <v>21340</v>
      </c>
      <c r="K1091" s="110" t="s">
        <v>129</v>
      </c>
      <c r="L1091" s="110" t="s">
        <v>129</v>
      </c>
      <c r="M1091" s="110" t="s">
        <v>129</v>
      </c>
      <c r="N1091" s="110" t="s">
        <v>130</v>
      </c>
      <c r="O1091" s="110" t="s">
        <v>4524</v>
      </c>
      <c r="P1091" s="110" t="s">
        <v>589</v>
      </c>
      <c r="Q1091" s="110" t="s">
        <v>96</v>
      </c>
      <c r="R1091" s="121">
        <v>4.6680000000000001</v>
      </c>
      <c r="S1091" s="113" t="e">
        <f t="shared" si="34"/>
        <v>#VALUE!</v>
      </c>
      <c r="T1091" s="113">
        <f t="shared" si="35"/>
        <v>0</v>
      </c>
    </row>
    <row r="1092" spans="1:20" s="109" customFormat="1" x14ac:dyDescent="0.2">
      <c r="A1092" s="116"/>
      <c r="B1092" s="111"/>
      <c r="C1092" s="110" t="s">
        <v>4525</v>
      </c>
      <c r="D1092" s="110" t="s">
        <v>4526</v>
      </c>
      <c r="E1092" s="112" t="s">
        <v>4527</v>
      </c>
      <c r="F1092" s="111" t="s">
        <v>126</v>
      </c>
      <c r="G1092" s="133">
        <v>165</v>
      </c>
      <c r="H1092" s="124"/>
      <c r="I1092" s="133" t="str">
        <f>IF(H1092&gt;0,(#REF!*H1092),"-")</f>
        <v>-</v>
      </c>
      <c r="J1092" s="113">
        <v>1384</v>
      </c>
      <c r="K1092" s="110" t="s">
        <v>129</v>
      </c>
      <c r="L1092" s="110" t="s">
        <v>129</v>
      </c>
      <c r="M1092" s="110" t="s">
        <v>129</v>
      </c>
      <c r="N1092" s="110" t="s">
        <v>130</v>
      </c>
      <c r="O1092" s="110" t="s">
        <v>4528</v>
      </c>
      <c r="P1092" s="110" t="s">
        <v>137</v>
      </c>
      <c r="Q1092" s="110" t="s">
        <v>96</v>
      </c>
      <c r="R1092" s="121">
        <v>0.161</v>
      </c>
      <c r="S1092" s="113" t="e">
        <f t="shared" si="34"/>
        <v>#VALUE!</v>
      </c>
      <c r="T1092" s="113">
        <f t="shared" si="35"/>
        <v>0</v>
      </c>
    </row>
    <row r="1093" spans="1:20" s="109" customFormat="1" x14ac:dyDescent="0.2">
      <c r="A1093" s="116"/>
      <c r="B1093" s="111"/>
      <c r="C1093" s="110" t="s">
        <v>4529</v>
      </c>
      <c r="D1093" s="110" t="s">
        <v>4530</v>
      </c>
      <c r="E1093" s="112" t="s">
        <v>4531</v>
      </c>
      <c r="F1093" s="111" t="s">
        <v>126</v>
      </c>
      <c r="G1093" s="133">
        <v>165</v>
      </c>
      <c r="H1093" s="124"/>
      <c r="I1093" s="133" t="str">
        <f>IF(H1093&gt;0,(#REF!*H1093),"-")</f>
        <v>-</v>
      </c>
      <c r="J1093" s="113">
        <v>1181</v>
      </c>
      <c r="K1093" s="110" t="s">
        <v>129</v>
      </c>
      <c r="L1093" s="110" t="s">
        <v>129</v>
      </c>
      <c r="M1093" s="110" t="s">
        <v>129</v>
      </c>
      <c r="N1093" s="110" t="s">
        <v>130</v>
      </c>
      <c r="O1093" s="110" t="s">
        <v>4532</v>
      </c>
      <c r="P1093" s="110" t="s">
        <v>137</v>
      </c>
      <c r="Q1093" s="110" t="s">
        <v>96</v>
      </c>
      <c r="R1093" s="121">
        <v>0.14199999999999999</v>
      </c>
      <c r="S1093" s="113" t="e">
        <f t="shared" si="34"/>
        <v>#VALUE!</v>
      </c>
      <c r="T1093" s="113">
        <f t="shared" si="35"/>
        <v>0</v>
      </c>
    </row>
    <row r="1094" spans="1:20" s="109" customFormat="1" x14ac:dyDescent="0.2">
      <c r="A1094" s="116"/>
      <c r="B1094" s="111"/>
      <c r="C1094" s="110" t="s">
        <v>4533</v>
      </c>
      <c r="D1094" s="110" t="s">
        <v>4534</v>
      </c>
      <c r="E1094" s="112" t="s">
        <v>4535</v>
      </c>
      <c r="F1094" s="111" t="s">
        <v>126</v>
      </c>
      <c r="G1094" s="133">
        <v>25</v>
      </c>
      <c r="H1094" s="124"/>
      <c r="I1094" s="133" t="str">
        <f>IF(H1094&gt;0,(#REF!*H1094),"-")</f>
        <v>-</v>
      </c>
      <c r="J1094" s="113">
        <v>382</v>
      </c>
      <c r="K1094" s="110" t="s">
        <v>129</v>
      </c>
      <c r="L1094" s="110" t="s">
        <v>129</v>
      </c>
      <c r="M1094" s="110" t="s">
        <v>129</v>
      </c>
      <c r="N1094" s="110" t="s">
        <v>130</v>
      </c>
      <c r="O1094" s="110" t="s">
        <v>4536</v>
      </c>
      <c r="P1094" s="110" t="s">
        <v>137</v>
      </c>
      <c r="Q1094" s="110" t="s">
        <v>97</v>
      </c>
      <c r="R1094" s="121">
        <v>3.4000000000000002E-2</v>
      </c>
      <c r="S1094" s="113" t="e">
        <f t="shared" si="34"/>
        <v>#VALUE!</v>
      </c>
      <c r="T1094" s="113">
        <f t="shared" si="35"/>
        <v>0</v>
      </c>
    </row>
    <row r="1095" spans="1:20" s="109" customFormat="1" x14ac:dyDescent="0.2">
      <c r="A1095" s="116"/>
      <c r="B1095" s="111"/>
      <c r="C1095" s="110" t="s">
        <v>4537</v>
      </c>
      <c r="D1095" s="110" t="s">
        <v>4538</v>
      </c>
      <c r="E1095" s="112" t="s">
        <v>4539</v>
      </c>
      <c r="F1095" s="111" t="s">
        <v>126</v>
      </c>
      <c r="G1095" s="133">
        <v>165</v>
      </c>
      <c r="H1095" s="124"/>
      <c r="I1095" s="133" t="str">
        <f>IF(H1095&gt;0,(#REF!*H1095),"-")</f>
        <v>-</v>
      </c>
      <c r="J1095" s="113">
        <v>1046</v>
      </c>
      <c r="K1095" s="110" t="s">
        <v>129</v>
      </c>
      <c r="L1095" s="110" t="s">
        <v>129</v>
      </c>
      <c r="M1095" s="110" t="s">
        <v>129</v>
      </c>
      <c r="N1095" s="110" t="s">
        <v>130</v>
      </c>
      <c r="O1095" s="110" t="s">
        <v>4540</v>
      </c>
      <c r="P1095" s="110" t="s">
        <v>137</v>
      </c>
      <c r="Q1095" s="110" t="s">
        <v>96</v>
      </c>
      <c r="R1095" s="121">
        <v>0.14599999999999999</v>
      </c>
      <c r="S1095" s="113" t="e">
        <f t="shared" si="34"/>
        <v>#VALUE!</v>
      </c>
      <c r="T1095" s="113">
        <f t="shared" si="35"/>
        <v>0</v>
      </c>
    </row>
    <row r="1096" spans="1:20" s="109" customFormat="1" x14ac:dyDescent="0.2">
      <c r="A1096" s="116"/>
      <c r="B1096" s="111"/>
      <c r="C1096" s="110" t="s">
        <v>4541</v>
      </c>
      <c r="D1096" s="110" t="s">
        <v>4542</v>
      </c>
      <c r="E1096" s="112" t="s">
        <v>4543</v>
      </c>
      <c r="F1096" s="111" t="s">
        <v>126</v>
      </c>
      <c r="G1096" s="133">
        <v>215</v>
      </c>
      <c r="H1096" s="124"/>
      <c r="I1096" s="133" t="str">
        <f>IF(H1096&gt;0,(#REF!*H1096),"-")</f>
        <v>-</v>
      </c>
      <c r="J1096" s="113">
        <v>1295</v>
      </c>
      <c r="K1096" s="110" t="s">
        <v>129</v>
      </c>
      <c r="L1096" s="110" t="s">
        <v>129</v>
      </c>
      <c r="M1096" s="110" t="s">
        <v>129</v>
      </c>
      <c r="N1096" s="110" t="s">
        <v>130</v>
      </c>
      <c r="O1096" s="110" t="s">
        <v>4544</v>
      </c>
      <c r="P1096" s="110" t="s">
        <v>132</v>
      </c>
      <c r="Q1096" s="110" t="s">
        <v>97</v>
      </c>
      <c r="R1096" s="121">
        <v>1.1061000000000001</v>
      </c>
      <c r="S1096" s="113" t="e">
        <f t="shared" si="34"/>
        <v>#VALUE!</v>
      </c>
      <c r="T1096" s="113">
        <f t="shared" si="35"/>
        <v>0</v>
      </c>
    </row>
    <row r="1097" spans="1:20" s="109" customFormat="1" x14ac:dyDescent="0.2">
      <c r="A1097" s="116"/>
      <c r="B1097" s="111"/>
      <c r="C1097" s="110" t="s">
        <v>4545</v>
      </c>
      <c r="D1097" s="110" t="s">
        <v>4546</v>
      </c>
      <c r="E1097" s="112" t="s">
        <v>4547</v>
      </c>
      <c r="F1097" s="111" t="s">
        <v>126</v>
      </c>
      <c r="G1097" s="133">
        <v>185</v>
      </c>
      <c r="H1097" s="124"/>
      <c r="I1097" s="133" t="str">
        <f>IF(H1097&gt;0,(#REF!*H1097),"-")</f>
        <v>-</v>
      </c>
      <c r="J1097" s="113">
        <v>1060</v>
      </c>
      <c r="K1097" s="110" t="s">
        <v>129</v>
      </c>
      <c r="L1097" s="110" t="s">
        <v>129</v>
      </c>
      <c r="M1097" s="110" t="s">
        <v>129</v>
      </c>
      <c r="N1097" s="110" t="s">
        <v>130</v>
      </c>
      <c r="O1097" s="110" t="s">
        <v>4548</v>
      </c>
      <c r="P1097" s="110" t="s">
        <v>132</v>
      </c>
      <c r="Q1097" s="110" t="s">
        <v>97</v>
      </c>
      <c r="R1097" s="121">
        <v>0.97699999999999998</v>
      </c>
      <c r="S1097" s="113" t="e">
        <f t="shared" si="34"/>
        <v>#VALUE!</v>
      </c>
      <c r="T1097" s="113">
        <f t="shared" si="35"/>
        <v>0</v>
      </c>
    </row>
    <row r="1098" spans="1:20" s="109" customFormat="1" x14ac:dyDescent="0.2">
      <c r="A1098" s="116"/>
      <c r="B1098" s="111"/>
      <c r="C1098" s="110" t="s">
        <v>4549</v>
      </c>
      <c r="D1098" s="110" t="s">
        <v>4550</v>
      </c>
      <c r="E1098" s="112" t="s">
        <v>4551</v>
      </c>
      <c r="F1098" s="111" t="s">
        <v>126</v>
      </c>
      <c r="G1098" s="133">
        <v>165</v>
      </c>
      <c r="H1098" s="124"/>
      <c r="I1098" s="133" t="str">
        <f>IF(H1098&gt;0,(#REF!*H1098),"-")</f>
        <v>-</v>
      </c>
      <c r="J1098" s="113">
        <v>1046</v>
      </c>
      <c r="K1098" s="110" t="s">
        <v>129</v>
      </c>
      <c r="L1098" s="110" t="s">
        <v>129</v>
      </c>
      <c r="M1098" s="110" t="s">
        <v>129</v>
      </c>
      <c r="N1098" s="110" t="s">
        <v>130</v>
      </c>
      <c r="O1098" s="110" t="s">
        <v>4552</v>
      </c>
      <c r="P1098" s="110" t="s">
        <v>137</v>
      </c>
      <c r="Q1098" s="110" t="s">
        <v>96</v>
      </c>
      <c r="R1098" s="121">
        <v>0.14549999999999999</v>
      </c>
      <c r="S1098" s="113" t="e">
        <f t="shared" si="34"/>
        <v>#VALUE!</v>
      </c>
      <c r="T1098" s="113">
        <f t="shared" si="35"/>
        <v>0</v>
      </c>
    </row>
    <row r="1099" spans="1:20" s="109" customFormat="1" x14ac:dyDescent="0.2">
      <c r="A1099" s="116"/>
      <c r="B1099" s="111"/>
      <c r="C1099" s="110" t="s">
        <v>4553</v>
      </c>
      <c r="D1099" s="110" t="s">
        <v>4554</v>
      </c>
      <c r="E1099" s="112" t="s">
        <v>4555</v>
      </c>
      <c r="F1099" s="111" t="s">
        <v>126</v>
      </c>
      <c r="G1099" s="133">
        <v>165</v>
      </c>
      <c r="H1099" s="124"/>
      <c r="I1099" s="133" t="str">
        <f>IF(H1099&gt;0,(#REF!*H1099),"-")</f>
        <v>-</v>
      </c>
      <c r="J1099" s="113">
        <v>1384</v>
      </c>
      <c r="K1099" s="110" t="s">
        <v>129</v>
      </c>
      <c r="L1099" s="110" t="s">
        <v>129</v>
      </c>
      <c r="M1099" s="110" t="s">
        <v>129</v>
      </c>
      <c r="N1099" s="110" t="s">
        <v>130</v>
      </c>
      <c r="O1099" s="110" t="s">
        <v>4556</v>
      </c>
      <c r="P1099" s="110" t="s">
        <v>137</v>
      </c>
      <c r="Q1099" s="110" t="s">
        <v>96</v>
      </c>
      <c r="R1099" s="121">
        <v>0.14000000000000001</v>
      </c>
      <c r="S1099" s="113" t="e">
        <f t="shared" si="34"/>
        <v>#VALUE!</v>
      </c>
      <c r="T1099" s="113">
        <f t="shared" si="35"/>
        <v>0</v>
      </c>
    </row>
    <row r="1100" spans="1:20" s="109" customFormat="1" x14ac:dyDescent="0.2">
      <c r="A1100" s="116"/>
      <c r="B1100" s="111"/>
      <c r="C1100" s="110" t="s">
        <v>4557</v>
      </c>
      <c r="D1100" s="110" t="s">
        <v>4558</v>
      </c>
      <c r="E1100" s="112" t="s">
        <v>4559</v>
      </c>
      <c r="F1100" s="111" t="s">
        <v>126</v>
      </c>
      <c r="G1100" s="133">
        <v>165</v>
      </c>
      <c r="H1100" s="124"/>
      <c r="I1100" s="133" t="str">
        <f>IF(H1100&gt;0,(#REF!*H1100),"-")</f>
        <v>-</v>
      </c>
      <c r="J1100" s="113">
        <v>1046</v>
      </c>
      <c r="K1100" s="110" t="s">
        <v>129</v>
      </c>
      <c r="L1100" s="110" t="s">
        <v>129</v>
      </c>
      <c r="M1100" s="110" t="s">
        <v>129</v>
      </c>
      <c r="N1100" s="110" t="s">
        <v>130</v>
      </c>
      <c r="O1100" s="110" t="s">
        <v>4560</v>
      </c>
      <c r="P1100" s="110" t="s">
        <v>137</v>
      </c>
      <c r="Q1100" s="110" t="s">
        <v>96</v>
      </c>
      <c r="R1100" s="121">
        <v>0.13869999999999999</v>
      </c>
      <c r="S1100" s="113" t="e">
        <f t="shared" si="34"/>
        <v>#VALUE!</v>
      </c>
      <c r="T1100" s="113">
        <f t="shared" si="35"/>
        <v>0</v>
      </c>
    </row>
    <row r="1101" spans="1:20" s="109" customFormat="1" x14ac:dyDescent="0.2">
      <c r="A1101" s="116"/>
      <c r="B1101" s="111"/>
      <c r="C1101" s="110" t="s">
        <v>4561</v>
      </c>
      <c r="D1101" s="110" t="s">
        <v>4562</v>
      </c>
      <c r="E1101" s="112" t="s">
        <v>4563</v>
      </c>
      <c r="F1101" s="111" t="s">
        <v>126</v>
      </c>
      <c r="G1101" s="133">
        <v>165</v>
      </c>
      <c r="H1101" s="124"/>
      <c r="I1101" s="133" t="str">
        <f>IF(H1101&gt;0,(#REF!*H1101),"-")</f>
        <v>-</v>
      </c>
      <c r="J1101" s="113">
        <v>1046</v>
      </c>
      <c r="K1101" s="110" t="s">
        <v>129</v>
      </c>
      <c r="L1101" s="110" t="s">
        <v>129</v>
      </c>
      <c r="M1101" s="110" t="s">
        <v>129</v>
      </c>
      <c r="N1101" s="110" t="s">
        <v>130</v>
      </c>
      <c r="O1101" s="110" t="s">
        <v>4564</v>
      </c>
      <c r="P1101" s="110" t="s">
        <v>137</v>
      </c>
      <c r="Q1101" s="110" t="s">
        <v>96</v>
      </c>
      <c r="R1101" s="121">
        <v>0.14699999999999999</v>
      </c>
      <c r="S1101" s="113" t="e">
        <f t="shared" si="34"/>
        <v>#VALUE!</v>
      </c>
      <c r="T1101" s="113">
        <f t="shared" si="35"/>
        <v>0</v>
      </c>
    </row>
    <row r="1102" spans="1:20" s="109" customFormat="1" x14ac:dyDescent="0.2">
      <c r="A1102" s="116"/>
      <c r="B1102" s="111"/>
      <c r="C1102" s="110" t="s">
        <v>4565</v>
      </c>
      <c r="D1102" s="110" t="s">
        <v>4566</v>
      </c>
      <c r="E1102" s="112" t="s">
        <v>4567</v>
      </c>
      <c r="F1102" s="111" t="s">
        <v>126</v>
      </c>
      <c r="G1102" s="133">
        <v>125</v>
      </c>
      <c r="H1102" s="124"/>
      <c r="I1102" s="133" t="str">
        <f>IF(H1102&gt;0,(#REF!*H1102),"-")</f>
        <v>-</v>
      </c>
      <c r="J1102" s="113">
        <v>504</v>
      </c>
      <c r="K1102" s="110" t="s">
        <v>129</v>
      </c>
      <c r="L1102" s="110" t="s">
        <v>129</v>
      </c>
      <c r="M1102" s="110" t="s">
        <v>129</v>
      </c>
      <c r="N1102" s="110" t="s">
        <v>130</v>
      </c>
      <c r="O1102" s="110" t="s">
        <v>4568</v>
      </c>
      <c r="P1102" s="110" t="s">
        <v>137</v>
      </c>
      <c r="Q1102" s="110" t="s">
        <v>96</v>
      </c>
      <c r="R1102" s="121">
        <v>4.4600000000000001E-2</v>
      </c>
      <c r="S1102" s="113" t="e">
        <f t="shared" si="34"/>
        <v>#VALUE!</v>
      </c>
      <c r="T1102" s="113">
        <f t="shared" si="35"/>
        <v>0</v>
      </c>
    </row>
    <row r="1103" spans="1:20" s="109" customFormat="1" x14ac:dyDescent="0.2">
      <c r="A1103" s="116"/>
      <c r="B1103" s="111"/>
      <c r="C1103" s="110" t="s">
        <v>4569</v>
      </c>
      <c r="D1103" s="110" t="s">
        <v>4570</v>
      </c>
      <c r="E1103" s="112" t="s">
        <v>4571</v>
      </c>
      <c r="F1103" s="111" t="s">
        <v>126</v>
      </c>
      <c r="G1103" s="133">
        <v>170</v>
      </c>
      <c r="H1103" s="124"/>
      <c r="I1103" s="133" t="str">
        <f>IF(H1103&gt;0,(#REF!*H1103),"-")</f>
        <v>-</v>
      </c>
      <c r="J1103" s="113">
        <v>1001</v>
      </c>
      <c r="K1103" s="110" t="s">
        <v>129</v>
      </c>
      <c r="L1103" s="110" t="s">
        <v>129</v>
      </c>
      <c r="M1103" s="110" t="s">
        <v>129</v>
      </c>
      <c r="N1103" s="110" t="s">
        <v>130</v>
      </c>
      <c r="O1103" s="110" t="s">
        <v>4572</v>
      </c>
      <c r="P1103" s="110" t="s">
        <v>132</v>
      </c>
      <c r="Q1103" s="110" t="s">
        <v>97</v>
      </c>
      <c r="R1103" s="121">
        <v>0.82699999999999996</v>
      </c>
      <c r="S1103" s="113" t="e">
        <f t="shared" si="34"/>
        <v>#VALUE!</v>
      </c>
      <c r="T1103" s="113">
        <f t="shared" si="35"/>
        <v>0</v>
      </c>
    </row>
    <row r="1104" spans="1:20" s="109" customFormat="1" x14ac:dyDescent="0.2">
      <c r="A1104" s="116"/>
      <c r="B1104" s="111"/>
      <c r="C1104" s="110" t="s">
        <v>4573</v>
      </c>
      <c r="D1104" s="110" t="s">
        <v>4574</v>
      </c>
      <c r="E1104" s="112" t="s">
        <v>4575</v>
      </c>
      <c r="F1104" s="111" t="s">
        <v>126</v>
      </c>
      <c r="G1104" s="133">
        <v>60</v>
      </c>
      <c r="H1104" s="124"/>
      <c r="I1104" s="133" t="str">
        <f>IF(H1104&gt;0,(#REF!*H1104),"-")</f>
        <v>-</v>
      </c>
      <c r="J1104" s="113">
        <v>94</v>
      </c>
      <c r="K1104" s="110" t="s">
        <v>129</v>
      </c>
      <c r="L1104" s="110" t="s">
        <v>129</v>
      </c>
      <c r="M1104" s="110" t="s">
        <v>129</v>
      </c>
      <c r="N1104" s="110" t="s">
        <v>130</v>
      </c>
      <c r="O1104" s="110" t="s">
        <v>4576</v>
      </c>
      <c r="P1104" s="110" t="s">
        <v>400</v>
      </c>
      <c r="Q1104" s="110" t="s">
        <v>97</v>
      </c>
      <c r="R1104" s="121">
        <v>8.4000000000000005E-2</v>
      </c>
      <c r="S1104" s="113" t="e">
        <f t="shared" si="34"/>
        <v>#VALUE!</v>
      </c>
      <c r="T1104" s="113">
        <f t="shared" si="35"/>
        <v>0</v>
      </c>
    </row>
    <row r="1105" spans="1:20" s="109" customFormat="1" x14ac:dyDescent="0.2">
      <c r="A1105" s="116"/>
      <c r="B1105" s="111"/>
      <c r="C1105" s="110" t="s">
        <v>4577</v>
      </c>
      <c r="D1105" s="110" t="s">
        <v>4578</v>
      </c>
      <c r="E1105" s="112" t="s">
        <v>4579</v>
      </c>
      <c r="F1105" s="111" t="s">
        <v>126</v>
      </c>
      <c r="G1105" s="133">
        <v>165</v>
      </c>
      <c r="H1105" s="124"/>
      <c r="I1105" s="133" t="str">
        <f>IF(H1105&gt;0,(#REF!*H1105),"-")</f>
        <v>-</v>
      </c>
      <c r="J1105" s="113">
        <v>1035</v>
      </c>
      <c r="K1105" s="110" t="s">
        <v>129</v>
      </c>
      <c r="L1105" s="110" t="s">
        <v>129</v>
      </c>
      <c r="M1105" s="110" t="s">
        <v>129</v>
      </c>
      <c r="N1105" s="110" t="s">
        <v>130</v>
      </c>
      <c r="O1105" s="110" t="s">
        <v>4580</v>
      </c>
      <c r="P1105" s="110" t="s">
        <v>137</v>
      </c>
      <c r="Q1105" s="110" t="s">
        <v>96</v>
      </c>
      <c r="R1105" s="121">
        <v>0.14499999999999999</v>
      </c>
      <c r="S1105" s="113" t="e">
        <f t="shared" si="34"/>
        <v>#VALUE!</v>
      </c>
      <c r="T1105" s="113">
        <f t="shared" si="35"/>
        <v>0</v>
      </c>
    </row>
    <row r="1106" spans="1:20" s="109" customFormat="1" x14ac:dyDescent="0.2">
      <c r="A1106" s="116"/>
      <c r="B1106" s="111"/>
      <c r="C1106" s="110" t="s">
        <v>4581</v>
      </c>
      <c r="D1106" s="110" t="s">
        <v>4582</v>
      </c>
      <c r="E1106" s="112" t="s">
        <v>4583</v>
      </c>
      <c r="F1106" s="111" t="s">
        <v>126</v>
      </c>
      <c r="G1106" s="133">
        <v>250</v>
      </c>
      <c r="H1106" s="124"/>
      <c r="I1106" s="133" t="str">
        <f>IF(H1106&gt;0,(#REF!*H1106),"-")</f>
        <v>-</v>
      </c>
      <c r="J1106" s="113">
        <v>2859</v>
      </c>
      <c r="K1106" s="110" t="s">
        <v>129</v>
      </c>
      <c r="L1106" s="110" t="s">
        <v>129</v>
      </c>
      <c r="M1106" s="110" t="s">
        <v>129</v>
      </c>
      <c r="N1106" s="110" t="s">
        <v>130</v>
      </c>
      <c r="O1106" s="110" t="s">
        <v>4584</v>
      </c>
      <c r="P1106" s="110" t="s">
        <v>137</v>
      </c>
      <c r="Q1106" s="110" t="s">
        <v>97</v>
      </c>
      <c r="R1106" s="121">
        <v>0.84299999999999997</v>
      </c>
      <c r="S1106" s="113" t="e">
        <f t="shared" si="34"/>
        <v>#VALUE!</v>
      </c>
      <c r="T1106" s="113">
        <f t="shared" si="35"/>
        <v>0</v>
      </c>
    </row>
    <row r="1107" spans="1:20" s="109" customFormat="1" x14ac:dyDescent="0.2">
      <c r="A1107" s="116"/>
      <c r="B1107" s="111"/>
      <c r="C1107" s="110" t="s">
        <v>4585</v>
      </c>
      <c r="D1107" s="110" t="s">
        <v>4586</v>
      </c>
      <c r="E1107" s="112" t="s">
        <v>4587</v>
      </c>
      <c r="F1107" s="111" t="s">
        <v>126</v>
      </c>
      <c r="G1107" s="133">
        <v>170</v>
      </c>
      <c r="H1107" s="124"/>
      <c r="I1107" s="133" t="str">
        <f>IF(H1107&gt;0,(#REF!*H1107),"-")</f>
        <v>-</v>
      </c>
      <c r="J1107" s="113">
        <v>946</v>
      </c>
      <c r="K1107" s="110" t="s">
        <v>129</v>
      </c>
      <c r="L1107" s="110" t="s">
        <v>129</v>
      </c>
      <c r="M1107" s="110" t="s">
        <v>129</v>
      </c>
      <c r="N1107" s="110" t="s">
        <v>130</v>
      </c>
      <c r="O1107" s="110" t="s">
        <v>4588</v>
      </c>
      <c r="P1107" s="110" t="s">
        <v>132</v>
      </c>
      <c r="Q1107" s="110" t="s">
        <v>97</v>
      </c>
      <c r="R1107" s="121">
        <v>0.82599999999999996</v>
      </c>
      <c r="S1107" s="113" t="e">
        <f t="shared" si="34"/>
        <v>#VALUE!</v>
      </c>
      <c r="T1107" s="113">
        <f t="shared" si="35"/>
        <v>0</v>
      </c>
    </row>
    <row r="1108" spans="1:20" s="109" customFormat="1" x14ac:dyDescent="0.2">
      <c r="A1108" s="116"/>
      <c r="B1108" s="111"/>
      <c r="C1108" s="110" t="s">
        <v>4589</v>
      </c>
      <c r="D1108" s="110" t="s">
        <v>4590</v>
      </c>
      <c r="E1108" s="112" t="s">
        <v>4591</v>
      </c>
      <c r="F1108" s="111" t="s">
        <v>126</v>
      </c>
      <c r="G1108" s="133">
        <v>155</v>
      </c>
      <c r="H1108" s="124"/>
      <c r="I1108" s="133" t="str">
        <f>IF(H1108&gt;0,(#REF!*H1108),"-")</f>
        <v>-</v>
      </c>
      <c r="J1108" s="113">
        <v>2760</v>
      </c>
      <c r="K1108" s="110" t="s">
        <v>129</v>
      </c>
      <c r="L1108" s="110" t="s">
        <v>129</v>
      </c>
      <c r="M1108" s="110" t="s">
        <v>129</v>
      </c>
      <c r="N1108" s="110" t="s">
        <v>130</v>
      </c>
      <c r="O1108" s="110" t="s">
        <v>4592</v>
      </c>
      <c r="P1108" s="110" t="s">
        <v>137</v>
      </c>
      <c r="Q1108" s="110" t="s">
        <v>97</v>
      </c>
      <c r="R1108" s="121">
        <v>0.44800000000000001</v>
      </c>
      <c r="S1108" s="113" t="e">
        <f t="shared" si="34"/>
        <v>#VALUE!</v>
      </c>
      <c r="T1108" s="113">
        <f t="shared" si="35"/>
        <v>0</v>
      </c>
    </row>
    <row r="1109" spans="1:20" s="109" customFormat="1" x14ac:dyDescent="0.2">
      <c r="A1109" s="116"/>
      <c r="B1109" s="111"/>
      <c r="C1109" s="110" t="s">
        <v>4593</v>
      </c>
      <c r="D1109" s="110" t="s">
        <v>4594</v>
      </c>
      <c r="E1109" s="112" t="s">
        <v>4595</v>
      </c>
      <c r="F1109" s="111" t="s">
        <v>126</v>
      </c>
      <c r="G1109" s="133">
        <v>250</v>
      </c>
      <c r="H1109" s="124"/>
      <c r="I1109" s="133" t="str">
        <f>IF(H1109&gt;0,(#REF!*H1109),"-")</f>
        <v>-</v>
      </c>
      <c r="J1109" s="113">
        <v>1522</v>
      </c>
      <c r="K1109" s="110" t="s">
        <v>129</v>
      </c>
      <c r="L1109" s="110" t="s">
        <v>129</v>
      </c>
      <c r="M1109" s="110" t="s">
        <v>129</v>
      </c>
      <c r="N1109" s="110" t="s">
        <v>130</v>
      </c>
      <c r="O1109" s="110" t="s">
        <v>4596</v>
      </c>
      <c r="P1109" s="110" t="s">
        <v>137</v>
      </c>
      <c r="Q1109" s="110" t="s">
        <v>96</v>
      </c>
      <c r="R1109" s="121">
        <v>0.19539999999999999</v>
      </c>
      <c r="S1109" s="113" t="e">
        <f t="shared" si="34"/>
        <v>#VALUE!</v>
      </c>
      <c r="T1109" s="113">
        <f t="shared" si="35"/>
        <v>0</v>
      </c>
    </row>
    <row r="1110" spans="1:20" s="109" customFormat="1" x14ac:dyDescent="0.2">
      <c r="A1110" s="116"/>
      <c r="B1110" s="111"/>
      <c r="C1110" s="110" t="s">
        <v>4597</v>
      </c>
      <c r="D1110" s="110" t="s">
        <v>4598</v>
      </c>
      <c r="E1110" s="112" t="s">
        <v>4599</v>
      </c>
      <c r="F1110" s="111" t="s">
        <v>126</v>
      </c>
      <c r="G1110" s="133">
        <v>125</v>
      </c>
      <c r="H1110" s="124"/>
      <c r="I1110" s="133" t="str">
        <f>IF(H1110&gt;0,(#REF!*H1110),"-")</f>
        <v>-</v>
      </c>
      <c r="J1110" s="113">
        <v>1116</v>
      </c>
      <c r="K1110" s="110" t="s">
        <v>129</v>
      </c>
      <c r="L1110" s="110" t="s">
        <v>129</v>
      </c>
      <c r="M1110" s="110" t="s">
        <v>129</v>
      </c>
      <c r="N1110" s="110" t="s">
        <v>130</v>
      </c>
      <c r="O1110" s="110" t="s">
        <v>4600</v>
      </c>
      <c r="P1110" s="110" t="s">
        <v>137</v>
      </c>
      <c r="Q1110" s="110" t="s">
        <v>96</v>
      </c>
      <c r="R1110" s="121">
        <v>9.6000000000000002E-2</v>
      </c>
      <c r="S1110" s="113" t="e">
        <f t="shared" si="34"/>
        <v>#VALUE!</v>
      </c>
      <c r="T1110" s="113">
        <f t="shared" si="35"/>
        <v>0</v>
      </c>
    </row>
    <row r="1111" spans="1:20" s="109" customFormat="1" x14ac:dyDescent="0.2">
      <c r="A1111" s="116"/>
      <c r="B1111" s="111"/>
      <c r="C1111" s="110" t="s">
        <v>4601</v>
      </c>
      <c r="D1111" s="110" t="s">
        <v>4602</v>
      </c>
      <c r="E1111" s="112" t="s">
        <v>4603</v>
      </c>
      <c r="F1111" s="111" t="s">
        <v>126</v>
      </c>
      <c r="G1111" s="133">
        <v>400</v>
      </c>
      <c r="H1111" s="124"/>
      <c r="I1111" s="133" t="str">
        <f>IF(H1111&gt;0,(#REF!*H1111),"-")</f>
        <v>-</v>
      </c>
      <c r="J1111" s="113">
        <v>4338</v>
      </c>
      <c r="K1111" s="110" t="s">
        <v>129</v>
      </c>
      <c r="L1111" s="110" t="s">
        <v>129</v>
      </c>
      <c r="M1111" s="110" t="s">
        <v>129</v>
      </c>
      <c r="N1111" s="110" t="s">
        <v>130</v>
      </c>
      <c r="O1111" s="110" t="s">
        <v>4604</v>
      </c>
      <c r="P1111" s="110" t="s">
        <v>137</v>
      </c>
      <c r="Q1111" s="110" t="s">
        <v>96</v>
      </c>
      <c r="R1111" s="121">
        <v>0.46700000000000003</v>
      </c>
      <c r="S1111" s="113" t="e">
        <f t="shared" si="34"/>
        <v>#VALUE!</v>
      </c>
      <c r="T1111" s="113">
        <f t="shared" si="35"/>
        <v>0</v>
      </c>
    </row>
    <row r="1112" spans="1:20" s="109" customFormat="1" x14ac:dyDescent="0.2">
      <c r="A1112" s="116"/>
      <c r="B1112" s="111"/>
      <c r="C1112" s="110" t="s">
        <v>4605</v>
      </c>
      <c r="D1112" s="110" t="s">
        <v>4606</v>
      </c>
      <c r="E1112" s="112" t="s">
        <v>4607</v>
      </c>
      <c r="F1112" s="111" t="s">
        <v>126</v>
      </c>
      <c r="G1112" s="133">
        <v>215</v>
      </c>
      <c r="H1112" s="124"/>
      <c r="I1112" s="133" t="str">
        <f>IF(H1112&gt;0,(#REF!*H1112),"-")</f>
        <v>-</v>
      </c>
      <c r="J1112" s="113">
        <v>1522</v>
      </c>
      <c r="K1112" s="110" t="s">
        <v>129</v>
      </c>
      <c r="L1112" s="110" t="s">
        <v>129</v>
      </c>
      <c r="M1112" s="110" t="s">
        <v>129</v>
      </c>
      <c r="N1112" s="110" t="s">
        <v>130</v>
      </c>
      <c r="O1112" s="110" t="s">
        <v>4608</v>
      </c>
      <c r="P1112" s="110" t="s">
        <v>137</v>
      </c>
      <c r="Q1112" s="110" t="s">
        <v>96</v>
      </c>
      <c r="R1112" s="121">
        <v>0.19500000000000001</v>
      </c>
      <c r="S1112" s="113" t="e">
        <f t="shared" si="34"/>
        <v>#VALUE!</v>
      </c>
      <c r="T1112" s="113">
        <f t="shared" si="35"/>
        <v>0</v>
      </c>
    </row>
    <row r="1113" spans="1:20" s="109" customFormat="1" x14ac:dyDescent="0.2">
      <c r="A1113" s="116"/>
      <c r="B1113" s="111"/>
      <c r="C1113" s="110" t="s">
        <v>4609</v>
      </c>
      <c r="D1113" s="110" t="s">
        <v>4610</v>
      </c>
      <c r="E1113" s="112" t="s">
        <v>4611</v>
      </c>
      <c r="F1113" s="111" t="s">
        <v>126</v>
      </c>
      <c r="G1113" s="133">
        <v>185</v>
      </c>
      <c r="H1113" s="124"/>
      <c r="I1113" s="133" t="str">
        <f>IF(H1113&gt;0,(#REF!*H1113),"-")</f>
        <v>-</v>
      </c>
      <c r="J1113" s="113">
        <v>1060</v>
      </c>
      <c r="K1113" s="110" t="s">
        <v>129</v>
      </c>
      <c r="L1113" s="110" t="s">
        <v>129</v>
      </c>
      <c r="M1113" s="110" t="s">
        <v>129</v>
      </c>
      <c r="N1113" s="110" t="s">
        <v>130</v>
      </c>
      <c r="O1113" s="110" t="s">
        <v>4612</v>
      </c>
      <c r="P1113" s="110" t="s">
        <v>137</v>
      </c>
      <c r="Q1113" s="110" t="s">
        <v>96</v>
      </c>
      <c r="R1113" s="121">
        <v>0.1424</v>
      </c>
      <c r="S1113" s="113" t="e">
        <f t="shared" si="34"/>
        <v>#VALUE!</v>
      </c>
      <c r="T1113" s="113">
        <f t="shared" si="35"/>
        <v>0</v>
      </c>
    </row>
    <row r="1114" spans="1:20" s="109" customFormat="1" x14ac:dyDescent="0.2">
      <c r="A1114" s="116"/>
      <c r="B1114" s="111"/>
      <c r="C1114" s="110" t="s">
        <v>4613</v>
      </c>
      <c r="D1114" s="110" t="s">
        <v>4614</v>
      </c>
      <c r="E1114" s="112" t="s">
        <v>4615</v>
      </c>
      <c r="F1114" s="111" t="s">
        <v>126</v>
      </c>
      <c r="G1114" s="133">
        <v>155</v>
      </c>
      <c r="H1114" s="124"/>
      <c r="I1114" s="133" t="str">
        <f>IF(H1114&gt;0,(#REF!*H1114),"-")</f>
        <v>-</v>
      </c>
      <c r="J1114" s="113">
        <v>1070</v>
      </c>
      <c r="K1114" s="110" t="s">
        <v>129</v>
      </c>
      <c r="L1114" s="110" t="s">
        <v>129</v>
      </c>
      <c r="M1114" s="110" t="s">
        <v>129</v>
      </c>
      <c r="N1114" s="110" t="s">
        <v>130</v>
      </c>
      <c r="O1114" s="110" t="s">
        <v>4616</v>
      </c>
      <c r="P1114" s="110" t="s">
        <v>137</v>
      </c>
      <c r="Q1114" s="110" t="s">
        <v>96</v>
      </c>
      <c r="R1114" s="121">
        <v>0.1124</v>
      </c>
      <c r="S1114" s="113" t="e">
        <f t="shared" si="34"/>
        <v>#VALUE!</v>
      </c>
      <c r="T1114" s="113">
        <f t="shared" si="35"/>
        <v>0</v>
      </c>
    </row>
    <row r="1115" spans="1:20" s="109" customFormat="1" x14ac:dyDescent="0.2">
      <c r="A1115" s="116"/>
      <c r="B1115" s="111"/>
      <c r="C1115" s="110" t="s">
        <v>4617</v>
      </c>
      <c r="D1115" s="110" t="s">
        <v>4618</v>
      </c>
      <c r="E1115" s="112" t="s">
        <v>4619</v>
      </c>
      <c r="F1115" s="111" t="s">
        <v>126</v>
      </c>
      <c r="G1115" s="133">
        <v>90</v>
      </c>
      <c r="H1115" s="124"/>
      <c r="I1115" s="133" t="str">
        <f>IF(H1115&gt;0,(#REF!*H1115),"-")</f>
        <v>-</v>
      </c>
      <c r="J1115" s="113">
        <v>164</v>
      </c>
      <c r="K1115" s="110" t="s">
        <v>129</v>
      </c>
      <c r="L1115" s="110" t="s">
        <v>129</v>
      </c>
      <c r="M1115" s="110" t="s">
        <v>129</v>
      </c>
      <c r="N1115" s="110" t="s">
        <v>130</v>
      </c>
      <c r="O1115" s="110" t="s">
        <v>4620</v>
      </c>
      <c r="P1115" s="110" t="s">
        <v>400</v>
      </c>
      <c r="Q1115" s="110" t="s">
        <v>97</v>
      </c>
      <c r="R1115" s="121">
        <v>0.1229</v>
      </c>
      <c r="S1115" s="113" t="e">
        <f t="shared" si="34"/>
        <v>#VALUE!</v>
      </c>
      <c r="T1115" s="113">
        <f t="shared" si="35"/>
        <v>0</v>
      </c>
    </row>
    <row r="1116" spans="1:20" s="109" customFormat="1" x14ac:dyDescent="0.2">
      <c r="A1116" s="116"/>
      <c r="B1116" s="111"/>
      <c r="C1116" s="110" t="s">
        <v>4621</v>
      </c>
      <c r="D1116" s="110" t="s">
        <v>4622</v>
      </c>
      <c r="E1116" s="112" t="s">
        <v>4623</v>
      </c>
      <c r="F1116" s="111" t="s">
        <v>126</v>
      </c>
      <c r="G1116" s="133">
        <v>340</v>
      </c>
      <c r="H1116" s="124"/>
      <c r="I1116" s="133" t="str">
        <f>IF(H1116&gt;0,(#REF!*H1116),"-")</f>
        <v>-</v>
      </c>
      <c r="J1116" s="113">
        <v>5850</v>
      </c>
      <c r="K1116" s="110" t="s">
        <v>129</v>
      </c>
      <c r="L1116" s="110" t="s">
        <v>4624</v>
      </c>
      <c r="M1116" s="110" t="s">
        <v>129</v>
      </c>
      <c r="N1116" s="110" t="s">
        <v>130</v>
      </c>
      <c r="O1116" s="110" t="s">
        <v>4625</v>
      </c>
      <c r="P1116" s="110" t="s">
        <v>589</v>
      </c>
      <c r="Q1116" s="110" t="s">
        <v>96</v>
      </c>
      <c r="R1116" s="121">
        <v>1.1559999999999999</v>
      </c>
      <c r="S1116" s="113" t="e">
        <f t="shared" si="34"/>
        <v>#VALUE!</v>
      </c>
      <c r="T1116" s="113">
        <f t="shared" si="35"/>
        <v>0</v>
      </c>
    </row>
    <row r="1117" spans="1:20" s="109" customFormat="1" x14ac:dyDescent="0.2">
      <c r="A1117" s="116"/>
      <c r="B1117" s="111"/>
      <c r="C1117" s="110" t="s">
        <v>4626</v>
      </c>
      <c r="D1117" s="110" t="s">
        <v>4627</v>
      </c>
      <c r="E1117" s="112" t="s">
        <v>4628</v>
      </c>
      <c r="F1117" s="111" t="s">
        <v>126</v>
      </c>
      <c r="G1117" s="133">
        <v>135</v>
      </c>
      <c r="H1117" s="124"/>
      <c r="I1117" s="133" t="str">
        <f>IF(H1117&gt;0,(#REF!*H1117),"-")</f>
        <v>-</v>
      </c>
      <c r="J1117" s="113">
        <v>879</v>
      </c>
      <c r="K1117" s="110" t="s">
        <v>129</v>
      </c>
      <c r="L1117" s="110" t="s">
        <v>4624</v>
      </c>
      <c r="M1117" s="110" t="s">
        <v>129</v>
      </c>
      <c r="N1117" s="110" t="s">
        <v>130</v>
      </c>
      <c r="O1117" s="110" t="s">
        <v>4629</v>
      </c>
      <c r="P1117" s="110" t="s">
        <v>132</v>
      </c>
      <c r="Q1117" s="110" t="s">
        <v>97</v>
      </c>
      <c r="R1117" s="121">
        <v>0.628</v>
      </c>
      <c r="S1117" s="113" t="e">
        <f t="shared" si="34"/>
        <v>#VALUE!</v>
      </c>
      <c r="T1117" s="113">
        <f t="shared" si="35"/>
        <v>0</v>
      </c>
    </row>
    <row r="1118" spans="1:20" s="109" customFormat="1" x14ac:dyDescent="0.2">
      <c r="A1118" s="116"/>
      <c r="B1118" s="111"/>
      <c r="C1118" s="110" t="s">
        <v>4630</v>
      </c>
      <c r="D1118" s="110" t="s">
        <v>4631</v>
      </c>
      <c r="E1118" s="112" t="s">
        <v>4632</v>
      </c>
      <c r="F1118" s="111" t="s">
        <v>126</v>
      </c>
      <c r="G1118" s="133">
        <v>34</v>
      </c>
      <c r="H1118" s="124"/>
      <c r="I1118" s="133" t="str">
        <f>IF(H1118&gt;0,(#REF!*H1118),"-")</f>
        <v>-</v>
      </c>
      <c r="J1118" s="113">
        <v>2400</v>
      </c>
      <c r="K1118" s="110" t="s">
        <v>129</v>
      </c>
      <c r="L1118" s="110" t="s">
        <v>129</v>
      </c>
      <c r="M1118" s="110" t="s">
        <v>129</v>
      </c>
      <c r="N1118" s="110" t="s">
        <v>944</v>
      </c>
      <c r="O1118" s="110" t="s">
        <v>4633</v>
      </c>
      <c r="P1118" s="110" t="s">
        <v>4634</v>
      </c>
      <c r="Q1118" s="110" t="s">
        <v>97</v>
      </c>
      <c r="R1118" s="121">
        <v>0.46</v>
      </c>
      <c r="S1118" s="113" t="e">
        <f t="shared" si="34"/>
        <v>#VALUE!</v>
      </c>
      <c r="T1118" s="113">
        <f t="shared" si="35"/>
        <v>0</v>
      </c>
    </row>
    <row r="1119" spans="1:20" s="109" customFormat="1" x14ac:dyDescent="0.2">
      <c r="A1119" s="116"/>
      <c r="B1119" s="111" t="s">
        <v>959</v>
      </c>
      <c r="C1119" s="110" t="s">
        <v>4635</v>
      </c>
      <c r="D1119" s="110" t="s">
        <v>4636</v>
      </c>
      <c r="E1119" s="112" t="s">
        <v>4637</v>
      </c>
      <c r="F1119" s="111" t="s">
        <v>130</v>
      </c>
      <c r="G1119" s="133">
        <v>34</v>
      </c>
      <c r="H1119" s="124"/>
      <c r="I1119" s="133" t="str">
        <f>IF(H1119&gt;0,(#REF!*H1119),"-")</f>
        <v>-</v>
      </c>
      <c r="J1119" s="113">
        <v>1103</v>
      </c>
      <c r="K1119" s="110" t="s">
        <v>129</v>
      </c>
      <c r="L1119" s="110" t="s">
        <v>129</v>
      </c>
      <c r="M1119" s="110" t="s">
        <v>129</v>
      </c>
      <c r="N1119" s="110" t="s">
        <v>944</v>
      </c>
      <c r="O1119" s="110" t="s">
        <v>4638</v>
      </c>
      <c r="P1119" s="110" t="s">
        <v>4639</v>
      </c>
      <c r="Q1119" s="110" t="s">
        <v>97</v>
      </c>
      <c r="R1119" s="121">
        <v>0.69</v>
      </c>
      <c r="S1119" s="113" t="e">
        <f t="shared" si="34"/>
        <v>#VALUE!</v>
      </c>
      <c r="T1119" s="113">
        <f t="shared" si="35"/>
        <v>0</v>
      </c>
    </row>
    <row r="1120" spans="1:20" s="109" customFormat="1" x14ac:dyDescent="0.2">
      <c r="A1120" s="116"/>
      <c r="B1120" s="111" t="s">
        <v>959</v>
      </c>
      <c r="C1120" s="110" t="s">
        <v>4640</v>
      </c>
      <c r="D1120" s="110" t="s">
        <v>4641</v>
      </c>
      <c r="E1120" s="112" t="s">
        <v>4642</v>
      </c>
      <c r="F1120" s="111" t="s">
        <v>130</v>
      </c>
      <c r="G1120" s="133">
        <v>200</v>
      </c>
      <c r="H1120" s="124"/>
      <c r="I1120" s="133" t="str">
        <f>IF(H1120&gt;0,(#REF!*H1120),"-")</f>
        <v>-</v>
      </c>
      <c r="J1120" s="113">
        <v>12705</v>
      </c>
      <c r="K1120" s="110" t="s">
        <v>129</v>
      </c>
      <c r="L1120" s="110" t="s">
        <v>129</v>
      </c>
      <c r="M1120" s="110" t="s">
        <v>129</v>
      </c>
      <c r="N1120" s="110" t="s">
        <v>130</v>
      </c>
      <c r="O1120" s="110" t="s">
        <v>4643</v>
      </c>
      <c r="P1120" s="110" t="s">
        <v>1036</v>
      </c>
      <c r="Q1120" s="110" t="s">
        <v>97</v>
      </c>
      <c r="R1120" s="121">
        <v>0.73</v>
      </c>
      <c r="S1120" s="113" t="e">
        <f t="shared" si="34"/>
        <v>#VALUE!</v>
      </c>
      <c r="T1120" s="113">
        <f t="shared" si="35"/>
        <v>0</v>
      </c>
    </row>
    <row r="1121" spans="1:20" s="109" customFormat="1" x14ac:dyDescent="0.2">
      <c r="A1121" s="116"/>
      <c r="B1121" s="111" t="s">
        <v>1037</v>
      </c>
      <c r="C1121" s="110" t="s">
        <v>4644</v>
      </c>
      <c r="D1121" s="110" t="s">
        <v>4645</v>
      </c>
      <c r="E1121" s="112" t="s">
        <v>4646</v>
      </c>
      <c r="F1121" s="111" t="s">
        <v>130</v>
      </c>
      <c r="G1121" s="133">
        <v>340</v>
      </c>
      <c r="H1121" s="124"/>
      <c r="I1121" s="133" t="str">
        <f>IF(H1121&gt;0,(#REF!*H1121),"-")</f>
        <v>-</v>
      </c>
      <c r="J1121" s="113">
        <v>30969</v>
      </c>
      <c r="K1121" s="110" t="s">
        <v>129</v>
      </c>
      <c r="L1121" s="110" t="s">
        <v>129</v>
      </c>
      <c r="M1121" s="110" t="s">
        <v>129</v>
      </c>
      <c r="N1121" s="110" t="s">
        <v>130</v>
      </c>
      <c r="O1121" s="110" t="s">
        <v>4647</v>
      </c>
      <c r="P1121" s="110" t="s">
        <v>1036</v>
      </c>
      <c r="Q1121" s="110" t="s">
        <v>97</v>
      </c>
      <c r="R1121" s="121">
        <v>2</v>
      </c>
      <c r="S1121" s="113" t="e">
        <f t="shared" si="34"/>
        <v>#VALUE!</v>
      </c>
      <c r="T1121" s="113">
        <f t="shared" si="35"/>
        <v>0</v>
      </c>
    </row>
    <row r="1122" spans="1:20" s="109" customFormat="1" x14ac:dyDescent="0.2">
      <c r="A1122" s="116"/>
      <c r="B1122" s="111" t="s">
        <v>959</v>
      </c>
      <c r="C1122" s="110" t="s">
        <v>4648</v>
      </c>
      <c r="D1122" s="110" t="s">
        <v>4649</v>
      </c>
      <c r="E1122" s="112" t="s">
        <v>4650</v>
      </c>
      <c r="F1122" s="111" t="s">
        <v>130</v>
      </c>
      <c r="G1122" s="133">
        <v>495</v>
      </c>
      <c r="H1122" s="124"/>
      <c r="I1122" s="133" t="str">
        <f>IF(H1122&gt;0,(#REF!*H1122),"-")</f>
        <v>-</v>
      </c>
      <c r="J1122" s="113">
        <v>35696</v>
      </c>
      <c r="K1122" s="110" t="s">
        <v>129</v>
      </c>
      <c r="L1122" s="110" t="s">
        <v>129</v>
      </c>
      <c r="M1122" s="110" t="s">
        <v>129</v>
      </c>
      <c r="N1122" s="110" t="s">
        <v>130</v>
      </c>
      <c r="O1122" s="110" t="s">
        <v>4651</v>
      </c>
      <c r="P1122" s="110" t="s">
        <v>1036</v>
      </c>
      <c r="Q1122" s="110" t="s">
        <v>97</v>
      </c>
      <c r="R1122" s="121">
        <v>2.8</v>
      </c>
      <c r="S1122" s="113" t="e">
        <f t="shared" si="34"/>
        <v>#VALUE!</v>
      </c>
      <c r="T1122" s="113">
        <f t="shared" si="35"/>
        <v>0</v>
      </c>
    </row>
    <row r="1123" spans="1:20" s="109" customFormat="1" x14ac:dyDescent="0.2">
      <c r="A1123" s="116"/>
      <c r="B1123" s="111"/>
      <c r="C1123" s="110" t="s">
        <v>4652</v>
      </c>
      <c r="D1123" s="110" t="s">
        <v>4653</v>
      </c>
      <c r="E1123" s="112" t="s">
        <v>4654</v>
      </c>
      <c r="F1123" s="111" t="s">
        <v>126</v>
      </c>
      <c r="G1123" s="133">
        <v>590</v>
      </c>
      <c r="H1123" s="124"/>
      <c r="I1123" s="133" t="str">
        <f>IF(H1123&gt;0,(#REF!*H1123),"-")</f>
        <v>-</v>
      </c>
      <c r="J1123" s="113">
        <v>77760</v>
      </c>
      <c r="K1123" s="110" t="s">
        <v>129</v>
      </c>
      <c r="L1123" s="110" t="s">
        <v>129</v>
      </c>
      <c r="M1123" s="110" t="s">
        <v>129</v>
      </c>
      <c r="N1123" s="110" t="s">
        <v>130</v>
      </c>
      <c r="O1123" s="110" t="s">
        <v>4655</v>
      </c>
      <c r="P1123" s="110" t="s">
        <v>1036</v>
      </c>
      <c r="Q1123" s="110" t="s">
        <v>96</v>
      </c>
      <c r="R1123" s="121">
        <v>4</v>
      </c>
      <c r="S1123" s="113" t="e">
        <f t="shared" si="34"/>
        <v>#VALUE!</v>
      </c>
      <c r="T1123" s="113">
        <f t="shared" si="35"/>
        <v>0</v>
      </c>
    </row>
    <row r="1124" spans="1:20" s="109" customFormat="1" x14ac:dyDescent="0.2">
      <c r="A1124" s="116"/>
      <c r="B1124" s="111" t="s">
        <v>959</v>
      </c>
      <c r="C1124" s="110" t="s">
        <v>4656</v>
      </c>
      <c r="D1124" s="110" t="s">
        <v>4657</v>
      </c>
      <c r="E1124" s="112" t="s">
        <v>4658</v>
      </c>
      <c r="F1124" s="111" t="s">
        <v>130</v>
      </c>
      <c r="G1124" s="133">
        <v>310</v>
      </c>
      <c r="H1124" s="124"/>
      <c r="I1124" s="133" t="str">
        <f>IF(H1124&gt;0,(#REF!*H1124),"-")</f>
        <v>-</v>
      </c>
      <c r="J1124" s="113">
        <v>11963</v>
      </c>
      <c r="K1124" s="110" t="s">
        <v>129</v>
      </c>
      <c r="L1124" s="110" t="s">
        <v>129</v>
      </c>
      <c r="M1124" s="110" t="s">
        <v>129</v>
      </c>
      <c r="N1124" s="110" t="s">
        <v>130</v>
      </c>
      <c r="O1124" s="110" t="s">
        <v>4659</v>
      </c>
      <c r="P1124" s="110" t="s">
        <v>1036</v>
      </c>
      <c r="Q1124" s="110" t="s">
        <v>97</v>
      </c>
      <c r="R1124" s="121">
        <v>1.758</v>
      </c>
      <c r="S1124" s="113" t="e">
        <f t="shared" si="34"/>
        <v>#VALUE!</v>
      </c>
      <c r="T1124" s="113">
        <f t="shared" si="35"/>
        <v>0</v>
      </c>
    </row>
    <row r="1125" spans="1:20" s="109" customFormat="1" x14ac:dyDescent="0.2">
      <c r="A1125" s="116"/>
      <c r="B1125" s="111" t="s">
        <v>1037</v>
      </c>
      <c r="C1125" s="110" t="s">
        <v>4660</v>
      </c>
      <c r="D1125" s="110" t="s">
        <v>4661</v>
      </c>
      <c r="E1125" s="112" t="s">
        <v>4662</v>
      </c>
      <c r="F1125" s="111" t="s">
        <v>130</v>
      </c>
      <c r="G1125" s="133">
        <v>185</v>
      </c>
      <c r="H1125" s="124"/>
      <c r="I1125" s="133" t="str">
        <f>IF(H1125&gt;0,(#REF!*H1125),"-")</f>
        <v>-</v>
      </c>
      <c r="J1125" s="113">
        <v>5995</v>
      </c>
      <c r="K1125" s="110" t="s">
        <v>129</v>
      </c>
      <c r="L1125" s="110" t="s">
        <v>129</v>
      </c>
      <c r="M1125" s="110" t="s">
        <v>129</v>
      </c>
      <c r="N1125" s="110" t="s">
        <v>130</v>
      </c>
      <c r="O1125" s="110" t="s">
        <v>4663</v>
      </c>
      <c r="P1125" s="110" t="s">
        <v>1036</v>
      </c>
      <c r="Q1125" s="110" t="s">
        <v>97</v>
      </c>
      <c r="R1125" s="121">
        <v>0.86209999999999998</v>
      </c>
      <c r="S1125" s="113" t="e">
        <f t="shared" si="34"/>
        <v>#VALUE!</v>
      </c>
      <c r="T1125" s="113">
        <f t="shared" si="35"/>
        <v>0</v>
      </c>
    </row>
    <row r="1126" spans="1:20" s="109" customFormat="1" x14ac:dyDescent="0.2">
      <c r="A1126" s="116"/>
      <c r="B1126" s="111" t="s">
        <v>959</v>
      </c>
      <c r="C1126" s="110" t="s">
        <v>4664</v>
      </c>
      <c r="D1126" s="110" t="s">
        <v>4665</v>
      </c>
      <c r="E1126" s="112" t="s">
        <v>4666</v>
      </c>
      <c r="F1126" s="111" t="s">
        <v>130</v>
      </c>
      <c r="G1126" s="133">
        <v>72</v>
      </c>
      <c r="H1126" s="124"/>
      <c r="I1126" s="133" t="str">
        <f>IF(H1126&gt;0,(#REF!*H1126),"-")</f>
        <v>-</v>
      </c>
      <c r="J1126" s="113">
        <v>1133</v>
      </c>
      <c r="K1126" s="110" t="s">
        <v>129</v>
      </c>
      <c r="L1126" s="110" t="s">
        <v>129</v>
      </c>
      <c r="M1126" s="110" t="s">
        <v>129</v>
      </c>
      <c r="N1126" s="110" t="s">
        <v>130</v>
      </c>
      <c r="O1126" s="110" t="s">
        <v>4667</v>
      </c>
      <c r="P1126" s="110" t="s">
        <v>1036</v>
      </c>
      <c r="Q1126" s="110" t="s">
        <v>97</v>
      </c>
      <c r="R1126" s="121">
        <v>0.18740000000000001</v>
      </c>
      <c r="S1126" s="113" t="e">
        <f t="shared" si="34"/>
        <v>#VALUE!</v>
      </c>
      <c r="T1126" s="113">
        <f t="shared" si="35"/>
        <v>0</v>
      </c>
    </row>
    <row r="1127" spans="1:20" s="109" customFormat="1" x14ac:dyDescent="0.2">
      <c r="A1127" s="116"/>
      <c r="B1127" s="111" t="s">
        <v>959</v>
      </c>
      <c r="C1127" s="110" t="s">
        <v>4668</v>
      </c>
      <c r="D1127" s="110" t="s">
        <v>4669</v>
      </c>
      <c r="E1127" s="112" t="s">
        <v>4670</v>
      </c>
      <c r="F1127" s="111" t="s">
        <v>4518</v>
      </c>
      <c r="G1127" s="133">
        <v>65</v>
      </c>
      <c r="H1127" s="124"/>
      <c r="I1127" s="133" t="str">
        <f>IF(H1127&gt;0,(#REF!*H1127),"-")</f>
        <v>-</v>
      </c>
      <c r="J1127" s="113">
        <v>6174</v>
      </c>
      <c r="K1127" s="110" t="s">
        <v>129</v>
      </c>
      <c r="L1127" s="110" t="s">
        <v>129</v>
      </c>
      <c r="M1127" s="110" t="s">
        <v>129</v>
      </c>
      <c r="N1127" s="110" t="s">
        <v>944</v>
      </c>
      <c r="O1127" s="110" t="s">
        <v>4671</v>
      </c>
      <c r="P1127" s="110" t="s">
        <v>4672</v>
      </c>
      <c r="Q1127" s="110" t="s">
        <v>96</v>
      </c>
      <c r="R1127" s="121">
        <v>2.4300000000000002</v>
      </c>
      <c r="S1127" s="113" t="e">
        <f t="shared" si="34"/>
        <v>#VALUE!</v>
      </c>
      <c r="T1127" s="113">
        <f t="shared" si="35"/>
        <v>0</v>
      </c>
    </row>
    <row r="1128" spans="1:20" s="109" customFormat="1" x14ac:dyDescent="0.2">
      <c r="A1128" s="116"/>
      <c r="B1128" s="111" t="s">
        <v>959</v>
      </c>
      <c r="C1128" s="110" t="s">
        <v>4673</v>
      </c>
      <c r="D1128" s="110" t="s">
        <v>4674</v>
      </c>
      <c r="E1128" s="112" t="s">
        <v>4675</v>
      </c>
      <c r="F1128" s="111" t="s">
        <v>4518</v>
      </c>
      <c r="G1128" s="133">
        <v>64</v>
      </c>
      <c r="H1128" s="124"/>
      <c r="I1128" s="133" t="str">
        <f>IF(H1128&gt;0,(#REF!*H1128),"-")</f>
        <v>-</v>
      </c>
      <c r="J1128" s="113">
        <v>6174</v>
      </c>
      <c r="K1128" s="110" t="s">
        <v>129</v>
      </c>
      <c r="L1128" s="110" t="s">
        <v>129</v>
      </c>
      <c r="M1128" s="110" t="s">
        <v>129</v>
      </c>
      <c r="N1128" s="110" t="s">
        <v>944</v>
      </c>
      <c r="O1128" s="110" t="s">
        <v>4676</v>
      </c>
      <c r="P1128" s="110" t="s">
        <v>4672</v>
      </c>
      <c r="Q1128" s="110" t="s">
        <v>96</v>
      </c>
      <c r="R1128" s="121">
        <v>2.4300000000000002</v>
      </c>
      <c r="S1128" s="113" t="e">
        <f t="shared" si="34"/>
        <v>#VALUE!</v>
      </c>
      <c r="T1128" s="113">
        <f t="shared" si="35"/>
        <v>0</v>
      </c>
    </row>
    <row r="1129" spans="1:20" s="109" customFormat="1" x14ac:dyDescent="0.2">
      <c r="A1129" s="116"/>
      <c r="B1129" s="111" t="s">
        <v>289</v>
      </c>
      <c r="C1129" s="110" t="s">
        <v>4677</v>
      </c>
      <c r="D1129" s="110" t="s">
        <v>4678</v>
      </c>
      <c r="E1129" s="112" t="s">
        <v>4679</v>
      </c>
      <c r="F1129" s="111" t="s">
        <v>4518</v>
      </c>
      <c r="G1129" s="133">
        <v>65</v>
      </c>
      <c r="H1129" s="124"/>
      <c r="I1129" s="133" t="str">
        <f>IF(H1129&gt;0,(#REF!*H1129),"-")</f>
        <v>-</v>
      </c>
      <c r="J1129" s="113">
        <v>6174</v>
      </c>
      <c r="K1129" s="110" t="s">
        <v>129</v>
      </c>
      <c r="L1129" s="110" t="s">
        <v>129</v>
      </c>
      <c r="M1129" s="110" t="s">
        <v>129</v>
      </c>
      <c r="N1129" s="110" t="s">
        <v>944</v>
      </c>
      <c r="O1129" s="110" t="s">
        <v>4680</v>
      </c>
      <c r="P1129" s="110" t="s">
        <v>4672</v>
      </c>
      <c r="Q1129" s="110" t="s">
        <v>96</v>
      </c>
      <c r="R1129" s="121">
        <v>2.4300000000000002</v>
      </c>
      <c r="S1129" s="113" t="e">
        <f t="shared" si="34"/>
        <v>#VALUE!</v>
      </c>
      <c r="T1129" s="113">
        <f t="shared" si="35"/>
        <v>0</v>
      </c>
    </row>
    <row r="1130" spans="1:20" s="109" customFormat="1" x14ac:dyDescent="0.2">
      <c r="A1130" s="116"/>
      <c r="B1130" s="111" t="s">
        <v>959</v>
      </c>
      <c r="C1130" s="110" t="s">
        <v>4681</v>
      </c>
      <c r="D1130" s="110" t="s">
        <v>4682</v>
      </c>
      <c r="E1130" s="112" t="s">
        <v>4683</v>
      </c>
      <c r="F1130" s="111" t="s">
        <v>4518</v>
      </c>
      <c r="G1130" s="133">
        <v>64</v>
      </c>
      <c r="H1130" s="124"/>
      <c r="I1130" s="133" t="str">
        <f>IF(H1130&gt;0,(#REF!*H1130),"-")</f>
        <v>-</v>
      </c>
      <c r="J1130" s="113">
        <v>6174</v>
      </c>
      <c r="K1130" s="110" t="s">
        <v>129</v>
      </c>
      <c r="L1130" s="110" t="s">
        <v>129</v>
      </c>
      <c r="M1130" s="110" t="s">
        <v>129</v>
      </c>
      <c r="N1130" s="110" t="s">
        <v>944</v>
      </c>
      <c r="O1130" s="110" t="s">
        <v>4684</v>
      </c>
      <c r="P1130" s="110" t="s">
        <v>4672</v>
      </c>
      <c r="Q1130" s="110" t="s">
        <v>96</v>
      </c>
      <c r="R1130" s="121">
        <v>2.4300000000000002</v>
      </c>
      <c r="S1130" s="113" t="e">
        <f t="shared" si="34"/>
        <v>#VALUE!</v>
      </c>
      <c r="T1130" s="113">
        <f t="shared" si="35"/>
        <v>0</v>
      </c>
    </row>
    <row r="1131" spans="1:20" s="109" customFormat="1" x14ac:dyDescent="0.2">
      <c r="A1131" s="116"/>
      <c r="B1131" s="111" t="s">
        <v>959</v>
      </c>
      <c r="C1131" s="110" t="s">
        <v>4685</v>
      </c>
      <c r="D1131" s="110" t="s">
        <v>4686</v>
      </c>
      <c r="E1131" s="112" t="s">
        <v>4687</v>
      </c>
      <c r="F1131" s="111" t="s">
        <v>130</v>
      </c>
      <c r="G1131" s="133">
        <v>75</v>
      </c>
      <c r="H1131" s="124"/>
      <c r="I1131" s="133" t="str">
        <f>IF(H1131&gt;0,(#REF!*H1131),"-")</f>
        <v>-</v>
      </c>
      <c r="J1131" s="113">
        <v>6174</v>
      </c>
      <c r="K1131" s="110" t="s">
        <v>129</v>
      </c>
      <c r="L1131" s="110" t="s">
        <v>129</v>
      </c>
      <c r="M1131" s="110" t="s">
        <v>129</v>
      </c>
      <c r="N1131" s="110" t="s">
        <v>944</v>
      </c>
      <c r="O1131" s="110" t="s">
        <v>4688</v>
      </c>
      <c r="P1131" s="110" t="s">
        <v>4672</v>
      </c>
      <c r="Q1131" s="110" t="s">
        <v>96</v>
      </c>
      <c r="R1131" s="121">
        <v>2.4300000000000002</v>
      </c>
      <c r="S1131" s="113" t="e">
        <f t="shared" si="34"/>
        <v>#VALUE!</v>
      </c>
      <c r="T1131" s="113">
        <f t="shared" si="35"/>
        <v>0</v>
      </c>
    </row>
    <row r="1132" spans="1:20" s="109" customFormat="1" x14ac:dyDescent="0.2">
      <c r="A1132" s="116"/>
      <c r="B1132" s="111" t="s">
        <v>959</v>
      </c>
      <c r="C1132" s="110" t="s">
        <v>4689</v>
      </c>
      <c r="D1132" s="110" t="s">
        <v>4690</v>
      </c>
      <c r="E1132" s="112" t="s">
        <v>4691</v>
      </c>
      <c r="F1132" s="111" t="s">
        <v>130</v>
      </c>
      <c r="G1132" s="133">
        <v>75</v>
      </c>
      <c r="H1132" s="124"/>
      <c r="I1132" s="133" t="str">
        <f>IF(H1132&gt;0,(#REF!*H1132),"-")</f>
        <v>-</v>
      </c>
      <c r="J1132" s="113">
        <v>6174</v>
      </c>
      <c r="K1132" s="110" t="s">
        <v>129</v>
      </c>
      <c r="L1132" s="110" t="s">
        <v>129</v>
      </c>
      <c r="M1132" s="110" t="s">
        <v>129</v>
      </c>
      <c r="N1132" s="110" t="s">
        <v>944</v>
      </c>
      <c r="O1132" s="110" t="s">
        <v>4692</v>
      </c>
      <c r="P1132" s="110" t="s">
        <v>4672</v>
      </c>
      <c r="Q1132" s="110" t="s">
        <v>96</v>
      </c>
      <c r="R1132" s="121">
        <v>2.5299999999999998</v>
      </c>
      <c r="S1132" s="113" t="e">
        <f t="shared" si="34"/>
        <v>#VALUE!</v>
      </c>
      <c r="T1132" s="113">
        <f t="shared" si="35"/>
        <v>0</v>
      </c>
    </row>
    <row r="1133" spans="1:20" s="109" customFormat="1" x14ac:dyDescent="0.2">
      <c r="A1133" s="116"/>
      <c r="B1133" s="111" t="s">
        <v>959</v>
      </c>
      <c r="C1133" s="110" t="s">
        <v>4693</v>
      </c>
      <c r="D1133" s="110" t="s">
        <v>4694</v>
      </c>
      <c r="E1133" s="112" t="s">
        <v>4695</v>
      </c>
      <c r="F1133" s="111" t="s">
        <v>130</v>
      </c>
      <c r="G1133" s="133">
        <v>75</v>
      </c>
      <c r="H1133" s="124"/>
      <c r="I1133" s="133" t="str">
        <f>IF(H1133&gt;0,(#REF!*H1133),"-")</f>
        <v>-</v>
      </c>
      <c r="J1133" s="113">
        <v>6174</v>
      </c>
      <c r="K1133" s="110" t="s">
        <v>129</v>
      </c>
      <c r="L1133" s="110" t="s">
        <v>129</v>
      </c>
      <c r="M1133" s="110" t="s">
        <v>129</v>
      </c>
      <c r="N1133" s="110" t="s">
        <v>944</v>
      </c>
      <c r="O1133" s="110" t="s">
        <v>4696</v>
      </c>
      <c r="P1133" s="110" t="s">
        <v>4672</v>
      </c>
      <c r="Q1133" s="110" t="s">
        <v>96</v>
      </c>
      <c r="R1133" s="121">
        <v>2.5299999999999998</v>
      </c>
      <c r="S1133" s="113" t="e">
        <f t="shared" si="34"/>
        <v>#VALUE!</v>
      </c>
      <c r="T1133" s="113">
        <f t="shared" si="35"/>
        <v>0</v>
      </c>
    </row>
    <row r="1134" spans="1:20" s="109" customFormat="1" x14ac:dyDescent="0.2">
      <c r="A1134" s="116"/>
      <c r="B1134" s="111" t="s">
        <v>959</v>
      </c>
      <c r="C1134" s="110" t="s">
        <v>4697</v>
      </c>
      <c r="D1134" s="110" t="s">
        <v>4698</v>
      </c>
      <c r="E1134" s="112" t="s">
        <v>4699</v>
      </c>
      <c r="F1134" s="111" t="s">
        <v>130</v>
      </c>
      <c r="G1134" s="133">
        <v>75</v>
      </c>
      <c r="H1134" s="124"/>
      <c r="I1134" s="133" t="str">
        <f>IF(H1134&gt;0,(#REF!*H1134),"-")</f>
        <v>-</v>
      </c>
      <c r="J1134" s="113">
        <v>6174</v>
      </c>
      <c r="K1134" s="110" t="s">
        <v>129</v>
      </c>
      <c r="L1134" s="110" t="s">
        <v>129</v>
      </c>
      <c r="M1134" s="110" t="s">
        <v>129</v>
      </c>
      <c r="N1134" s="110" t="s">
        <v>944</v>
      </c>
      <c r="O1134" s="110" t="s">
        <v>4700</v>
      </c>
      <c r="P1134" s="110" t="s">
        <v>4672</v>
      </c>
      <c r="Q1134" s="110" t="s">
        <v>96</v>
      </c>
      <c r="R1134" s="121">
        <v>2.5299999999999998</v>
      </c>
      <c r="S1134" s="113" t="e">
        <f t="shared" si="34"/>
        <v>#VALUE!</v>
      </c>
      <c r="T1134" s="113">
        <f t="shared" si="35"/>
        <v>0</v>
      </c>
    </row>
    <row r="1135" spans="1:20" s="109" customFormat="1" x14ac:dyDescent="0.2">
      <c r="A1135" s="116"/>
      <c r="B1135" s="111" t="s">
        <v>959</v>
      </c>
      <c r="C1135" s="110" t="s">
        <v>4701</v>
      </c>
      <c r="D1135" s="110" t="s">
        <v>4702</v>
      </c>
      <c r="E1135" s="112" t="s">
        <v>4703</v>
      </c>
      <c r="F1135" s="111" t="s">
        <v>130</v>
      </c>
      <c r="G1135" s="133">
        <v>75</v>
      </c>
      <c r="H1135" s="124"/>
      <c r="I1135" s="133" t="str">
        <f>IF(H1135&gt;0,(#REF!*H1135),"-")</f>
        <v>-</v>
      </c>
      <c r="J1135" s="113">
        <v>6174</v>
      </c>
      <c r="K1135" s="110" t="s">
        <v>129</v>
      </c>
      <c r="L1135" s="110" t="s">
        <v>129</v>
      </c>
      <c r="M1135" s="110" t="s">
        <v>129</v>
      </c>
      <c r="N1135" s="110" t="s">
        <v>944</v>
      </c>
      <c r="O1135" s="110" t="s">
        <v>4704</v>
      </c>
      <c r="P1135" s="110" t="s">
        <v>4672</v>
      </c>
      <c r="Q1135" s="110" t="s">
        <v>96</v>
      </c>
      <c r="R1135" s="121">
        <v>2.5299999999999998</v>
      </c>
      <c r="S1135" s="113" t="e">
        <f t="shared" si="34"/>
        <v>#VALUE!</v>
      </c>
      <c r="T1135" s="113">
        <f t="shared" si="35"/>
        <v>0</v>
      </c>
    </row>
    <row r="1136" spans="1:20" s="109" customFormat="1" x14ac:dyDescent="0.2">
      <c r="A1136" s="116"/>
      <c r="B1136" s="111" t="s">
        <v>959</v>
      </c>
      <c r="C1136" s="110" t="s">
        <v>4705</v>
      </c>
      <c r="D1136" s="110" t="s">
        <v>4706</v>
      </c>
      <c r="E1136" s="112" t="s">
        <v>4707</v>
      </c>
      <c r="F1136" s="111" t="s">
        <v>130</v>
      </c>
      <c r="G1136" s="133">
        <v>105</v>
      </c>
      <c r="H1136" s="124"/>
      <c r="I1136" s="133" t="str">
        <f>IF(H1136&gt;0,(#REF!*H1136),"-")</f>
        <v>-</v>
      </c>
      <c r="J1136" s="113">
        <v>6174</v>
      </c>
      <c r="K1136" s="110" t="s">
        <v>129</v>
      </c>
      <c r="L1136" s="110" t="s">
        <v>129</v>
      </c>
      <c r="M1136" s="110" t="s">
        <v>129</v>
      </c>
      <c r="N1136" s="110" t="s">
        <v>944</v>
      </c>
      <c r="O1136" s="110" t="s">
        <v>4708</v>
      </c>
      <c r="P1136" s="110" t="s">
        <v>4672</v>
      </c>
      <c r="Q1136" s="110" t="s">
        <v>96</v>
      </c>
      <c r="R1136" s="121">
        <v>2.532</v>
      </c>
      <c r="S1136" s="113" t="e">
        <f t="shared" si="34"/>
        <v>#VALUE!</v>
      </c>
      <c r="T1136" s="113">
        <f t="shared" si="35"/>
        <v>0</v>
      </c>
    </row>
    <row r="1137" spans="1:20" s="109" customFormat="1" x14ac:dyDescent="0.2">
      <c r="A1137" s="116"/>
      <c r="B1137" s="111" t="s">
        <v>959</v>
      </c>
      <c r="C1137" s="110" t="s">
        <v>4709</v>
      </c>
      <c r="D1137" s="110" t="s">
        <v>4710</v>
      </c>
      <c r="E1137" s="112" t="s">
        <v>4711</v>
      </c>
      <c r="F1137" s="111" t="s">
        <v>130</v>
      </c>
      <c r="G1137" s="133">
        <v>75</v>
      </c>
      <c r="H1137" s="124"/>
      <c r="I1137" s="133" t="str">
        <f>IF(H1137&gt;0,(#REF!*H1137),"-")</f>
        <v>-</v>
      </c>
      <c r="J1137" s="113">
        <v>6174</v>
      </c>
      <c r="K1137" s="110" t="s">
        <v>129</v>
      </c>
      <c r="L1137" s="110" t="s">
        <v>129</v>
      </c>
      <c r="M1137" s="110" t="s">
        <v>129</v>
      </c>
      <c r="N1137" s="110" t="s">
        <v>944</v>
      </c>
      <c r="O1137" s="110" t="s">
        <v>4712</v>
      </c>
      <c r="P1137" s="110" t="s">
        <v>4672</v>
      </c>
      <c r="Q1137" s="110" t="s">
        <v>96</v>
      </c>
      <c r="R1137" s="121">
        <v>2.5299999999999998</v>
      </c>
      <c r="S1137" s="113" t="e">
        <f t="shared" si="34"/>
        <v>#VALUE!</v>
      </c>
      <c r="T1137" s="113">
        <f t="shared" si="35"/>
        <v>0</v>
      </c>
    </row>
    <row r="1138" spans="1:20" s="109" customFormat="1" x14ac:dyDescent="0.2">
      <c r="A1138" s="116"/>
      <c r="B1138" s="111" t="s">
        <v>959</v>
      </c>
      <c r="C1138" s="110" t="s">
        <v>4713</v>
      </c>
      <c r="D1138" s="110" t="s">
        <v>4714</v>
      </c>
      <c r="E1138" s="112" t="s">
        <v>4715</v>
      </c>
      <c r="F1138" s="111" t="s">
        <v>130</v>
      </c>
      <c r="G1138" s="133">
        <v>75</v>
      </c>
      <c r="H1138" s="124"/>
      <c r="I1138" s="133" t="str">
        <f>IF(H1138&gt;0,(#REF!*H1138),"-")</f>
        <v>-</v>
      </c>
      <c r="J1138" s="113">
        <v>6174</v>
      </c>
      <c r="K1138" s="110" t="s">
        <v>129</v>
      </c>
      <c r="L1138" s="110" t="s">
        <v>129</v>
      </c>
      <c r="M1138" s="110" t="s">
        <v>129</v>
      </c>
      <c r="N1138" s="110" t="s">
        <v>944</v>
      </c>
      <c r="O1138" s="110" t="s">
        <v>4716</v>
      </c>
      <c r="P1138" s="110" t="s">
        <v>4672</v>
      </c>
      <c r="Q1138" s="110" t="s">
        <v>96</v>
      </c>
      <c r="R1138" s="121">
        <v>2.4</v>
      </c>
      <c r="S1138" s="113" t="e">
        <f t="shared" si="34"/>
        <v>#VALUE!</v>
      </c>
      <c r="T1138" s="113">
        <f t="shared" si="35"/>
        <v>0</v>
      </c>
    </row>
    <row r="1139" spans="1:20" s="109" customFormat="1" x14ac:dyDescent="0.2">
      <c r="A1139" s="116"/>
      <c r="B1139" s="111" t="s">
        <v>289</v>
      </c>
      <c r="C1139" s="110" t="s">
        <v>4717</v>
      </c>
      <c r="D1139" s="110" t="s">
        <v>4718</v>
      </c>
      <c r="E1139" s="112" t="s">
        <v>4719</v>
      </c>
      <c r="F1139" s="111" t="s">
        <v>130</v>
      </c>
      <c r="G1139" s="133">
        <v>75</v>
      </c>
      <c r="H1139" s="124"/>
      <c r="I1139" s="133" t="str">
        <f>IF(H1139&gt;0,(#REF!*H1139),"-")</f>
        <v>-</v>
      </c>
      <c r="J1139" s="113">
        <v>6174</v>
      </c>
      <c r="K1139" s="110" t="s">
        <v>129</v>
      </c>
      <c r="L1139" s="110" t="s">
        <v>129</v>
      </c>
      <c r="M1139" s="110" t="s">
        <v>129</v>
      </c>
      <c r="N1139" s="110" t="s">
        <v>944</v>
      </c>
      <c r="O1139" s="110" t="s">
        <v>4720</v>
      </c>
      <c r="P1139" s="110" t="s">
        <v>4672</v>
      </c>
      <c r="Q1139" s="110" t="s">
        <v>96</v>
      </c>
      <c r="R1139" s="121">
        <v>2.4300000000000002</v>
      </c>
      <c r="S1139" s="113" t="e">
        <f t="shared" si="34"/>
        <v>#VALUE!</v>
      </c>
      <c r="T1139" s="113">
        <f t="shared" si="35"/>
        <v>0</v>
      </c>
    </row>
    <row r="1140" spans="1:20" s="109" customFormat="1" x14ac:dyDescent="0.2">
      <c r="A1140" s="116"/>
      <c r="B1140" s="111" t="s">
        <v>959</v>
      </c>
      <c r="C1140" s="110" t="s">
        <v>4721</v>
      </c>
      <c r="D1140" s="110" t="s">
        <v>4722</v>
      </c>
      <c r="E1140" s="112" t="s">
        <v>4723</v>
      </c>
      <c r="F1140" s="111" t="s">
        <v>130</v>
      </c>
      <c r="G1140" s="133">
        <v>75</v>
      </c>
      <c r="H1140" s="124"/>
      <c r="I1140" s="133" t="str">
        <f>IF(H1140&gt;0,(#REF!*H1140),"-")</f>
        <v>-</v>
      </c>
      <c r="J1140" s="113">
        <v>6174</v>
      </c>
      <c r="K1140" s="110" t="s">
        <v>129</v>
      </c>
      <c r="L1140" s="110" t="s">
        <v>129</v>
      </c>
      <c r="M1140" s="110" t="s">
        <v>129</v>
      </c>
      <c r="N1140" s="110" t="s">
        <v>944</v>
      </c>
      <c r="O1140" s="110" t="s">
        <v>4724</v>
      </c>
      <c r="P1140" s="110" t="s">
        <v>4672</v>
      </c>
      <c r="Q1140" s="110" t="s">
        <v>96</v>
      </c>
      <c r="R1140" s="121">
        <v>2.4300000000000002</v>
      </c>
      <c r="S1140" s="113" t="e">
        <f t="shared" si="34"/>
        <v>#VALUE!</v>
      </c>
      <c r="T1140" s="113">
        <f t="shared" si="35"/>
        <v>0</v>
      </c>
    </row>
    <row r="1141" spans="1:20" s="109" customFormat="1" x14ac:dyDescent="0.2">
      <c r="A1141" s="116"/>
      <c r="B1141" s="111" t="s">
        <v>289</v>
      </c>
      <c r="C1141" s="110" t="s">
        <v>4725</v>
      </c>
      <c r="D1141" s="110" t="s">
        <v>4726</v>
      </c>
      <c r="E1141" s="112" t="s">
        <v>4727</v>
      </c>
      <c r="F1141" s="111" t="s">
        <v>4728</v>
      </c>
      <c r="G1141" s="133">
        <v>22</v>
      </c>
      <c r="H1141" s="124"/>
      <c r="I1141" s="133" t="str">
        <f>IF(H1141&gt;0,(#REF!*H1141),"-")</f>
        <v>-</v>
      </c>
      <c r="J1141" s="113">
        <v>12</v>
      </c>
      <c r="K1141" s="110" t="s">
        <v>129</v>
      </c>
      <c r="L1141" s="110" t="s">
        <v>129</v>
      </c>
      <c r="M1141" s="110" t="s">
        <v>129</v>
      </c>
      <c r="N1141" s="110" t="s">
        <v>4518</v>
      </c>
      <c r="O1141" s="110" t="s">
        <v>4729</v>
      </c>
      <c r="P1141" s="110" t="s">
        <v>4730</v>
      </c>
      <c r="Q1141" s="110" t="s">
        <v>96</v>
      </c>
      <c r="R1141" s="121">
        <v>1.0500000000000001E-2</v>
      </c>
      <c r="S1141" s="113" t="e">
        <f t="shared" si="34"/>
        <v>#VALUE!</v>
      </c>
      <c r="T1141" s="113">
        <f t="shared" si="35"/>
        <v>0</v>
      </c>
    </row>
    <row r="1142" spans="1:20" s="109" customFormat="1" x14ac:dyDescent="0.2">
      <c r="A1142" s="116"/>
      <c r="B1142" s="111" t="s">
        <v>1037</v>
      </c>
      <c r="C1142" s="110" t="s">
        <v>4731</v>
      </c>
      <c r="D1142" s="110" t="s">
        <v>4732</v>
      </c>
      <c r="E1142" s="112" t="s">
        <v>4733</v>
      </c>
      <c r="F1142" s="111" t="s">
        <v>4728</v>
      </c>
      <c r="G1142" s="133">
        <v>28</v>
      </c>
      <c r="H1142" s="124"/>
      <c r="I1142" s="133" t="str">
        <f>IF(H1142&gt;0,(#REF!*H1142),"-")</f>
        <v>-</v>
      </c>
      <c r="J1142" s="113">
        <v>26</v>
      </c>
      <c r="K1142" s="110" t="s">
        <v>129</v>
      </c>
      <c r="L1142" s="110" t="s">
        <v>129</v>
      </c>
      <c r="M1142" s="110" t="s">
        <v>129</v>
      </c>
      <c r="N1142" s="110" t="s">
        <v>4518</v>
      </c>
      <c r="O1142" s="110" t="s">
        <v>4734</v>
      </c>
      <c r="P1142" s="110" t="s">
        <v>4730</v>
      </c>
      <c r="Q1142" s="110" t="s">
        <v>96</v>
      </c>
      <c r="R1142" s="121">
        <v>1.11E-2</v>
      </c>
      <c r="S1142" s="113" t="e">
        <f t="shared" si="34"/>
        <v>#VALUE!</v>
      </c>
      <c r="T1142" s="113">
        <f t="shared" si="35"/>
        <v>0</v>
      </c>
    </row>
    <row r="1143" spans="1:20" s="109" customFormat="1" x14ac:dyDescent="0.2">
      <c r="A1143" s="116"/>
      <c r="B1143" s="111" t="s">
        <v>1037</v>
      </c>
      <c r="C1143" s="110" t="s">
        <v>4735</v>
      </c>
      <c r="D1143" s="110" t="s">
        <v>4736</v>
      </c>
      <c r="E1143" s="112" t="s">
        <v>4737</v>
      </c>
      <c r="F1143" s="111" t="s">
        <v>4728</v>
      </c>
      <c r="G1143" s="133">
        <v>31</v>
      </c>
      <c r="H1143" s="124"/>
      <c r="I1143" s="133" t="str">
        <f>IF(H1143&gt;0,(#REF!*H1143),"-")</f>
        <v>-</v>
      </c>
      <c r="J1143" s="113">
        <v>41</v>
      </c>
      <c r="K1143" s="110" t="s">
        <v>129</v>
      </c>
      <c r="L1143" s="110" t="s">
        <v>129</v>
      </c>
      <c r="M1143" s="110" t="s">
        <v>129</v>
      </c>
      <c r="N1143" s="110" t="s">
        <v>4518</v>
      </c>
      <c r="O1143" s="110" t="s">
        <v>4738</v>
      </c>
      <c r="P1143" s="110" t="s">
        <v>4730</v>
      </c>
      <c r="Q1143" s="110" t="s">
        <v>96</v>
      </c>
      <c r="R1143" s="121">
        <v>1.5299999999999999E-2</v>
      </c>
      <c r="S1143" s="113" t="e">
        <f t="shared" si="34"/>
        <v>#VALUE!</v>
      </c>
      <c r="T1143" s="113">
        <f t="shared" si="35"/>
        <v>0</v>
      </c>
    </row>
    <row r="1144" spans="1:20" s="109" customFormat="1" x14ac:dyDescent="0.2">
      <c r="A1144" s="116"/>
      <c r="B1144" s="111" t="s">
        <v>1037</v>
      </c>
      <c r="C1144" s="110" t="s">
        <v>4739</v>
      </c>
      <c r="D1144" s="110" t="s">
        <v>4740</v>
      </c>
      <c r="E1144" s="112" t="s">
        <v>4741</v>
      </c>
      <c r="F1144" s="111" t="s">
        <v>4728</v>
      </c>
      <c r="G1144" s="133">
        <v>36</v>
      </c>
      <c r="H1144" s="124"/>
      <c r="I1144" s="133" t="str">
        <f>IF(H1144&gt;0,(#REF!*H1144),"-")</f>
        <v>-</v>
      </c>
      <c r="J1144" s="113">
        <v>207</v>
      </c>
      <c r="K1144" s="110" t="s">
        <v>129</v>
      </c>
      <c r="L1144" s="110" t="s">
        <v>129</v>
      </c>
      <c r="M1144" s="110" t="s">
        <v>129</v>
      </c>
      <c r="N1144" s="110" t="s">
        <v>4518</v>
      </c>
      <c r="O1144" s="110" t="s">
        <v>4742</v>
      </c>
      <c r="P1144" s="110" t="s">
        <v>4730</v>
      </c>
      <c r="Q1144" s="110" t="s">
        <v>96</v>
      </c>
      <c r="R1144" s="121">
        <v>3.2099999999999997E-2</v>
      </c>
      <c r="S1144" s="113" t="e">
        <f t="shared" si="34"/>
        <v>#VALUE!</v>
      </c>
      <c r="T1144" s="113">
        <f t="shared" si="35"/>
        <v>0</v>
      </c>
    </row>
    <row r="1145" spans="1:20" s="109" customFormat="1" x14ac:dyDescent="0.2">
      <c r="A1145" s="116"/>
      <c r="B1145" s="111" t="s">
        <v>1037</v>
      </c>
      <c r="C1145" s="110" t="s">
        <v>4743</v>
      </c>
      <c r="D1145" s="110" t="s">
        <v>4744</v>
      </c>
      <c r="E1145" s="112" t="s">
        <v>4745</v>
      </c>
      <c r="F1145" s="111" t="s">
        <v>4728</v>
      </c>
      <c r="G1145" s="133">
        <v>26</v>
      </c>
      <c r="H1145" s="124"/>
      <c r="I1145" s="133" t="str">
        <f>IF(H1145&gt;0,(#REF!*H1145),"-")</f>
        <v>-</v>
      </c>
      <c r="J1145" s="113">
        <v>88</v>
      </c>
      <c r="K1145" s="110" t="s">
        <v>129</v>
      </c>
      <c r="L1145" s="110" t="s">
        <v>129</v>
      </c>
      <c r="M1145" s="110" t="s">
        <v>129</v>
      </c>
      <c r="N1145" s="110" t="s">
        <v>4518</v>
      </c>
      <c r="O1145" s="110" t="s">
        <v>4746</v>
      </c>
      <c r="P1145" s="110" t="s">
        <v>4730</v>
      </c>
      <c r="Q1145" s="110" t="s">
        <v>96</v>
      </c>
      <c r="R1145" s="121">
        <v>1.32E-2</v>
      </c>
      <c r="S1145" s="113" t="e">
        <f t="shared" si="34"/>
        <v>#VALUE!</v>
      </c>
      <c r="T1145" s="113">
        <f t="shared" si="35"/>
        <v>0</v>
      </c>
    </row>
    <row r="1146" spans="1:20" s="109" customFormat="1" x14ac:dyDescent="0.2">
      <c r="A1146" s="116"/>
      <c r="B1146" s="111" t="s">
        <v>1037</v>
      </c>
      <c r="C1146" s="110" t="s">
        <v>4747</v>
      </c>
      <c r="D1146" s="110" t="s">
        <v>4748</v>
      </c>
      <c r="E1146" s="112" t="s">
        <v>4749</v>
      </c>
      <c r="F1146" s="111" t="s">
        <v>4728</v>
      </c>
      <c r="G1146" s="133">
        <v>40</v>
      </c>
      <c r="H1146" s="124"/>
      <c r="I1146" s="133" t="str">
        <f>IF(H1146&gt;0,(#REF!*H1146),"-")</f>
        <v>-</v>
      </c>
      <c r="J1146" s="113">
        <v>171</v>
      </c>
      <c r="K1146" s="110" t="s">
        <v>129</v>
      </c>
      <c r="L1146" s="110" t="s">
        <v>129</v>
      </c>
      <c r="M1146" s="110" t="s">
        <v>129</v>
      </c>
      <c r="N1146" s="110" t="s">
        <v>4518</v>
      </c>
      <c r="O1146" s="110" t="s">
        <v>4750</v>
      </c>
      <c r="P1146" s="110" t="s">
        <v>4730</v>
      </c>
      <c r="Q1146" s="110" t="s">
        <v>96</v>
      </c>
      <c r="R1146" s="121">
        <v>0.03</v>
      </c>
      <c r="S1146" s="113" t="e">
        <f t="shared" si="34"/>
        <v>#VALUE!</v>
      </c>
      <c r="T1146" s="113">
        <f t="shared" si="35"/>
        <v>0</v>
      </c>
    </row>
    <row r="1147" spans="1:20" s="109" customFormat="1" x14ac:dyDescent="0.2">
      <c r="A1147" s="116"/>
      <c r="B1147" s="111" t="s">
        <v>1037</v>
      </c>
      <c r="C1147" s="110" t="s">
        <v>4751</v>
      </c>
      <c r="D1147" s="110" t="s">
        <v>4752</v>
      </c>
      <c r="E1147" s="112" t="s">
        <v>4753</v>
      </c>
      <c r="F1147" s="111" t="s">
        <v>4728</v>
      </c>
      <c r="G1147" s="133">
        <v>22</v>
      </c>
      <c r="H1147" s="124"/>
      <c r="I1147" s="133" t="str">
        <f>IF(H1147&gt;0,(#REF!*H1147),"-")</f>
        <v>-</v>
      </c>
      <c r="J1147" s="113">
        <v>104</v>
      </c>
      <c r="K1147" s="110" t="s">
        <v>129</v>
      </c>
      <c r="L1147" s="110" t="s">
        <v>129</v>
      </c>
      <c r="M1147" s="110" t="s">
        <v>129</v>
      </c>
      <c r="N1147" s="110" t="s">
        <v>4518</v>
      </c>
      <c r="O1147" s="110" t="s">
        <v>4754</v>
      </c>
      <c r="P1147" s="110" t="s">
        <v>4730</v>
      </c>
      <c r="Q1147" s="110" t="s">
        <v>96</v>
      </c>
      <c r="R1147" s="121">
        <v>1.38E-2</v>
      </c>
      <c r="S1147" s="113" t="e">
        <f t="shared" si="34"/>
        <v>#VALUE!</v>
      </c>
      <c r="T1147" s="113">
        <f t="shared" si="35"/>
        <v>0</v>
      </c>
    </row>
    <row r="1148" spans="1:20" s="109" customFormat="1" x14ac:dyDescent="0.2">
      <c r="A1148" s="116"/>
      <c r="B1148" s="111" t="s">
        <v>1037</v>
      </c>
      <c r="C1148" s="110" t="s">
        <v>4755</v>
      </c>
      <c r="D1148" s="110" t="s">
        <v>4756</v>
      </c>
      <c r="E1148" s="112" t="s">
        <v>4757</v>
      </c>
      <c r="F1148" s="111" t="s">
        <v>4728</v>
      </c>
      <c r="G1148" s="133">
        <v>23</v>
      </c>
      <c r="H1148" s="124"/>
      <c r="I1148" s="133" t="str">
        <f>IF(H1148&gt;0,(#REF!*H1148),"-")</f>
        <v>-</v>
      </c>
      <c r="J1148" s="113">
        <v>108</v>
      </c>
      <c r="K1148" s="110" t="s">
        <v>129</v>
      </c>
      <c r="L1148" s="110" t="s">
        <v>129</v>
      </c>
      <c r="M1148" s="110" t="s">
        <v>129</v>
      </c>
      <c r="N1148" s="110" t="s">
        <v>4518</v>
      </c>
      <c r="O1148" s="110" t="s">
        <v>4758</v>
      </c>
      <c r="P1148" s="110" t="s">
        <v>4730</v>
      </c>
      <c r="Q1148" s="110" t="s">
        <v>96</v>
      </c>
      <c r="R1148" s="121">
        <v>1.7399999999999999E-2</v>
      </c>
      <c r="S1148" s="113" t="e">
        <f t="shared" si="34"/>
        <v>#VALUE!</v>
      </c>
      <c r="T1148" s="113">
        <f t="shared" si="35"/>
        <v>0</v>
      </c>
    </row>
    <row r="1149" spans="1:20" s="109" customFormat="1" x14ac:dyDescent="0.2">
      <c r="A1149" s="116"/>
      <c r="B1149" s="111" t="s">
        <v>1037</v>
      </c>
      <c r="C1149" s="110" t="s">
        <v>4759</v>
      </c>
      <c r="D1149" s="110" t="s">
        <v>4760</v>
      </c>
      <c r="E1149" s="112" t="s">
        <v>4761</v>
      </c>
      <c r="F1149" s="111" t="s">
        <v>4728</v>
      </c>
      <c r="G1149" s="133">
        <v>33</v>
      </c>
      <c r="H1149" s="124"/>
      <c r="I1149" s="133" t="str">
        <f>IF(H1149&gt;0,(#REF!*H1149),"-")</f>
        <v>-</v>
      </c>
      <c r="J1149" s="113">
        <v>171</v>
      </c>
      <c r="K1149" s="110" t="s">
        <v>129</v>
      </c>
      <c r="L1149" s="110" t="s">
        <v>129</v>
      </c>
      <c r="M1149" s="110" t="s">
        <v>129</v>
      </c>
      <c r="N1149" s="110" t="s">
        <v>4518</v>
      </c>
      <c r="O1149" s="110" t="s">
        <v>4762</v>
      </c>
      <c r="P1149" s="110" t="s">
        <v>4730</v>
      </c>
      <c r="Q1149" s="110" t="s">
        <v>96</v>
      </c>
      <c r="R1149" s="121">
        <v>3.15E-2</v>
      </c>
      <c r="S1149" s="113" t="e">
        <f t="shared" si="34"/>
        <v>#VALUE!</v>
      </c>
      <c r="T1149" s="113">
        <f t="shared" si="35"/>
        <v>0</v>
      </c>
    </row>
    <row r="1150" spans="1:20" s="109" customFormat="1" x14ac:dyDescent="0.2">
      <c r="A1150" s="116"/>
      <c r="B1150" s="111" t="s">
        <v>289</v>
      </c>
      <c r="C1150" s="110" t="s">
        <v>4763</v>
      </c>
      <c r="D1150" s="110" t="s">
        <v>4764</v>
      </c>
      <c r="E1150" s="112" t="s">
        <v>4765</v>
      </c>
      <c r="F1150" s="111" t="s">
        <v>4518</v>
      </c>
      <c r="G1150" s="133">
        <v>24</v>
      </c>
      <c r="H1150" s="124"/>
      <c r="I1150" s="133" t="str">
        <f>IF(H1150&gt;0,(#REF!*H1150),"-")</f>
        <v>-</v>
      </c>
      <c r="J1150" s="113">
        <v>166</v>
      </c>
      <c r="K1150" s="110" t="s">
        <v>129</v>
      </c>
      <c r="L1150" s="110" t="s">
        <v>129</v>
      </c>
      <c r="M1150" s="110" t="s">
        <v>129</v>
      </c>
      <c r="N1150" s="110" t="s">
        <v>944</v>
      </c>
      <c r="O1150" s="110" t="s">
        <v>4766</v>
      </c>
      <c r="P1150" s="110" t="s">
        <v>4730</v>
      </c>
      <c r="Q1150" s="110" t="s">
        <v>96</v>
      </c>
      <c r="R1150" s="121">
        <v>1.8599999999999998E-2</v>
      </c>
      <c r="S1150" s="113" t="e">
        <f t="shared" si="34"/>
        <v>#VALUE!</v>
      </c>
      <c r="T1150" s="113">
        <f t="shared" si="35"/>
        <v>0</v>
      </c>
    </row>
    <row r="1151" spans="1:20" s="109" customFormat="1" x14ac:dyDescent="0.2">
      <c r="A1151" s="116"/>
      <c r="B1151" s="111" t="s">
        <v>289</v>
      </c>
      <c r="C1151" s="110" t="s">
        <v>4767</v>
      </c>
      <c r="D1151" s="110" t="s">
        <v>4768</v>
      </c>
      <c r="E1151" s="112" t="s">
        <v>4769</v>
      </c>
      <c r="F1151" s="111" t="s">
        <v>4518</v>
      </c>
      <c r="G1151" s="133">
        <v>26</v>
      </c>
      <c r="H1151" s="124"/>
      <c r="I1151" s="133" t="str">
        <f>IF(H1151&gt;0,(#REF!*H1151),"-")</f>
        <v>-</v>
      </c>
      <c r="J1151" s="113">
        <v>171</v>
      </c>
      <c r="K1151" s="110" t="s">
        <v>129</v>
      </c>
      <c r="L1151" s="110" t="s">
        <v>129</v>
      </c>
      <c r="M1151" s="110" t="s">
        <v>129</v>
      </c>
      <c r="N1151" s="110" t="s">
        <v>944</v>
      </c>
      <c r="O1151" s="110" t="s">
        <v>4770</v>
      </c>
      <c r="P1151" s="110" t="s">
        <v>4730</v>
      </c>
      <c r="Q1151" s="110" t="s">
        <v>96</v>
      </c>
      <c r="R1151" s="121">
        <v>1.9800000000000002E-2</v>
      </c>
      <c r="S1151" s="113" t="e">
        <f t="shared" si="34"/>
        <v>#VALUE!</v>
      </c>
      <c r="T1151" s="113">
        <f t="shared" si="35"/>
        <v>0</v>
      </c>
    </row>
    <row r="1152" spans="1:20" s="109" customFormat="1" x14ac:dyDescent="0.2">
      <c r="A1152" s="116"/>
      <c r="B1152" s="111" t="s">
        <v>1037</v>
      </c>
      <c r="C1152" s="110" t="s">
        <v>4771</v>
      </c>
      <c r="D1152" s="110" t="s">
        <v>4772</v>
      </c>
      <c r="E1152" s="112" t="s">
        <v>4773</v>
      </c>
      <c r="F1152" s="111" t="s">
        <v>130</v>
      </c>
      <c r="G1152" s="133">
        <v>74</v>
      </c>
      <c r="H1152" s="124"/>
      <c r="I1152" s="133" t="str">
        <f>IF(H1152&gt;0,(#REF!*H1152),"-")</f>
        <v>-</v>
      </c>
      <c r="J1152" s="113">
        <v>22</v>
      </c>
      <c r="K1152" s="110" t="s">
        <v>129</v>
      </c>
      <c r="L1152" s="110" t="s">
        <v>129</v>
      </c>
      <c r="M1152" s="110" t="s">
        <v>129</v>
      </c>
      <c r="N1152" s="110" t="s">
        <v>130</v>
      </c>
      <c r="O1152" s="110" t="s">
        <v>4774</v>
      </c>
      <c r="P1152" s="110" t="s">
        <v>4730</v>
      </c>
      <c r="Q1152" s="110" t="s">
        <v>96</v>
      </c>
      <c r="R1152" s="121">
        <v>7.0000000000000001E-3</v>
      </c>
      <c r="S1152" s="113" t="e">
        <f t="shared" si="34"/>
        <v>#VALUE!</v>
      </c>
      <c r="T1152" s="113">
        <f t="shared" si="35"/>
        <v>0</v>
      </c>
    </row>
    <row r="1153" spans="1:20" s="109" customFormat="1" x14ac:dyDescent="0.2">
      <c r="A1153" s="116"/>
      <c r="B1153" s="111" t="s">
        <v>1037</v>
      </c>
      <c r="C1153" s="110" t="s">
        <v>4775</v>
      </c>
      <c r="D1153" s="110" t="s">
        <v>4776</v>
      </c>
      <c r="E1153" s="112" t="s">
        <v>4777</v>
      </c>
      <c r="F1153" s="111" t="s">
        <v>4728</v>
      </c>
      <c r="G1153" s="133">
        <v>25</v>
      </c>
      <c r="H1153" s="124"/>
      <c r="I1153" s="133" t="str">
        <f>IF(H1153&gt;0,(#REF!*H1153),"-")</f>
        <v>-</v>
      </c>
      <c r="J1153" s="113">
        <v>84</v>
      </c>
      <c r="K1153" s="110" t="s">
        <v>129</v>
      </c>
      <c r="L1153" s="110" t="s">
        <v>129</v>
      </c>
      <c r="M1153" s="110" t="s">
        <v>129</v>
      </c>
      <c r="N1153" s="110" t="s">
        <v>4518</v>
      </c>
      <c r="O1153" s="110" t="s">
        <v>4778</v>
      </c>
      <c r="P1153" s="110" t="s">
        <v>4730</v>
      </c>
      <c r="Q1153" s="110" t="s">
        <v>96</v>
      </c>
      <c r="R1153" s="121">
        <v>9.2999999999999992E-3</v>
      </c>
      <c r="S1153" s="113" t="e">
        <f t="shared" si="34"/>
        <v>#VALUE!</v>
      </c>
      <c r="T1153" s="113">
        <f t="shared" si="35"/>
        <v>0</v>
      </c>
    </row>
    <row r="1154" spans="1:20" s="109" customFormat="1" x14ac:dyDescent="0.2">
      <c r="A1154" s="116"/>
      <c r="B1154" s="111" t="s">
        <v>959</v>
      </c>
      <c r="C1154" s="110" t="s">
        <v>4779</v>
      </c>
      <c r="D1154" s="110" t="s">
        <v>4780</v>
      </c>
      <c r="E1154" s="112" t="s">
        <v>4781</v>
      </c>
      <c r="F1154" s="111" t="s">
        <v>130</v>
      </c>
      <c r="G1154" s="133">
        <v>31</v>
      </c>
      <c r="H1154" s="124"/>
      <c r="I1154" s="133" t="str">
        <f>IF(H1154&gt;0,(#REF!*H1154),"-")</f>
        <v>-</v>
      </c>
      <c r="J1154" s="113">
        <v>773</v>
      </c>
      <c r="K1154" s="110" t="s">
        <v>129</v>
      </c>
      <c r="L1154" s="110" t="s">
        <v>129</v>
      </c>
      <c r="M1154" s="110" t="s">
        <v>129</v>
      </c>
      <c r="N1154" s="110" t="s">
        <v>4518</v>
      </c>
      <c r="O1154" s="110" t="s">
        <v>4782</v>
      </c>
      <c r="P1154" s="110" t="s">
        <v>4730</v>
      </c>
      <c r="Q1154" s="110" t="s">
        <v>96</v>
      </c>
      <c r="R1154" s="121">
        <v>8.1299999999999997E-2</v>
      </c>
      <c r="S1154" s="113" t="e">
        <f t="shared" ref="S1154:S1217" si="36">Q1154*H1154</f>
        <v>#VALUE!</v>
      </c>
      <c r="T1154" s="113">
        <f t="shared" ref="T1154:T1217" si="37">R1154*H1154</f>
        <v>0</v>
      </c>
    </row>
    <row r="1155" spans="1:20" s="109" customFormat="1" x14ac:dyDescent="0.2">
      <c r="A1155" s="116"/>
      <c r="B1155" s="111" t="s">
        <v>959</v>
      </c>
      <c r="C1155" s="110" t="s">
        <v>4783</v>
      </c>
      <c r="D1155" s="110" t="s">
        <v>4784</v>
      </c>
      <c r="E1155" s="112" t="s">
        <v>4785</v>
      </c>
      <c r="F1155" s="111" t="s">
        <v>130</v>
      </c>
      <c r="G1155" s="133">
        <v>34</v>
      </c>
      <c r="H1155" s="124"/>
      <c r="I1155" s="133" t="str">
        <f>IF(H1155&gt;0,(#REF!*H1155),"-")</f>
        <v>-</v>
      </c>
      <c r="J1155" s="113">
        <v>1125</v>
      </c>
      <c r="K1155" s="110" t="s">
        <v>129</v>
      </c>
      <c r="L1155" s="110" t="s">
        <v>129</v>
      </c>
      <c r="M1155" s="110" t="s">
        <v>129</v>
      </c>
      <c r="N1155" s="110" t="s">
        <v>4518</v>
      </c>
      <c r="O1155" s="110" t="s">
        <v>4786</v>
      </c>
      <c r="P1155" s="110" t="s">
        <v>4730</v>
      </c>
      <c r="Q1155" s="110" t="s">
        <v>96</v>
      </c>
      <c r="R1155" s="121">
        <v>0.13800000000000001</v>
      </c>
      <c r="S1155" s="113" t="e">
        <f t="shared" si="36"/>
        <v>#VALUE!</v>
      </c>
      <c r="T1155" s="113">
        <f t="shared" si="37"/>
        <v>0</v>
      </c>
    </row>
    <row r="1156" spans="1:20" s="109" customFormat="1" x14ac:dyDescent="0.2">
      <c r="A1156" s="116"/>
      <c r="B1156" s="111" t="s">
        <v>959</v>
      </c>
      <c r="C1156" s="110" t="s">
        <v>4787</v>
      </c>
      <c r="D1156" s="110" t="s">
        <v>4788</v>
      </c>
      <c r="E1156" s="112" t="s">
        <v>4789</v>
      </c>
      <c r="F1156" s="111" t="s">
        <v>130</v>
      </c>
      <c r="G1156" s="133">
        <v>31</v>
      </c>
      <c r="H1156" s="124"/>
      <c r="I1156" s="133" t="str">
        <f>IF(H1156&gt;0,(#REF!*H1156),"-")</f>
        <v>-</v>
      </c>
      <c r="J1156" s="113">
        <v>39</v>
      </c>
      <c r="K1156" s="110" t="s">
        <v>129</v>
      </c>
      <c r="L1156" s="110" t="s">
        <v>129</v>
      </c>
      <c r="M1156" s="110" t="s">
        <v>129</v>
      </c>
      <c r="N1156" s="110" t="s">
        <v>4518</v>
      </c>
      <c r="O1156" s="110" t="s">
        <v>4790</v>
      </c>
      <c r="P1156" s="110" t="s">
        <v>4730</v>
      </c>
      <c r="Q1156" s="110" t="s">
        <v>97</v>
      </c>
      <c r="R1156" s="121">
        <v>1.0800000000000001E-2</v>
      </c>
      <c r="S1156" s="113" t="e">
        <f t="shared" si="36"/>
        <v>#VALUE!</v>
      </c>
      <c r="T1156" s="113">
        <f t="shared" si="37"/>
        <v>0</v>
      </c>
    </row>
    <row r="1157" spans="1:20" s="109" customFormat="1" x14ac:dyDescent="0.2">
      <c r="A1157" s="116"/>
      <c r="B1157" s="111" t="s">
        <v>959</v>
      </c>
      <c r="C1157" s="110" t="s">
        <v>4791</v>
      </c>
      <c r="D1157" s="110" t="s">
        <v>4792</v>
      </c>
      <c r="E1157" s="112" t="s">
        <v>4793</v>
      </c>
      <c r="F1157" s="111" t="s">
        <v>130</v>
      </c>
      <c r="G1157" s="133">
        <v>85</v>
      </c>
      <c r="H1157" s="124"/>
      <c r="I1157" s="133" t="str">
        <f>IF(H1157&gt;0,(#REF!*H1157),"-")</f>
        <v>-</v>
      </c>
      <c r="J1157" s="113">
        <v>32</v>
      </c>
      <c r="K1157" s="110" t="s">
        <v>129</v>
      </c>
      <c r="L1157" s="110" t="s">
        <v>129</v>
      </c>
      <c r="M1157" s="110" t="s">
        <v>129</v>
      </c>
      <c r="N1157" s="110" t="s">
        <v>130</v>
      </c>
      <c r="O1157" s="110" t="s">
        <v>4794</v>
      </c>
      <c r="P1157" s="110" t="s">
        <v>4730</v>
      </c>
      <c r="Q1157" s="110" t="s">
        <v>96</v>
      </c>
      <c r="R1157" s="121">
        <v>8.0000000000000002E-3</v>
      </c>
      <c r="S1157" s="113" t="e">
        <f t="shared" si="36"/>
        <v>#VALUE!</v>
      </c>
      <c r="T1157" s="113">
        <f t="shared" si="37"/>
        <v>0</v>
      </c>
    </row>
    <row r="1158" spans="1:20" s="109" customFormat="1" x14ac:dyDescent="0.2">
      <c r="A1158" s="116"/>
      <c r="B1158" s="111" t="s">
        <v>959</v>
      </c>
      <c r="C1158" s="110" t="s">
        <v>4795</v>
      </c>
      <c r="D1158" s="110" t="s">
        <v>4796</v>
      </c>
      <c r="E1158" s="112" t="s">
        <v>4797</v>
      </c>
      <c r="F1158" s="111" t="s">
        <v>130</v>
      </c>
      <c r="G1158" s="133">
        <v>100</v>
      </c>
      <c r="H1158" s="124"/>
      <c r="I1158" s="133" t="str">
        <f>IF(H1158&gt;0,(#REF!*H1158),"-")</f>
        <v>-</v>
      </c>
      <c r="J1158" s="113">
        <v>32</v>
      </c>
      <c r="K1158" s="110" t="s">
        <v>129</v>
      </c>
      <c r="L1158" s="110" t="s">
        <v>129</v>
      </c>
      <c r="M1158" s="110" t="s">
        <v>129</v>
      </c>
      <c r="N1158" s="110" t="s">
        <v>130</v>
      </c>
      <c r="O1158" s="110" t="s">
        <v>4798</v>
      </c>
      <c r="P1158" s="110" t="s">
        <v>4730</v>
      </c>
      <c r="Q1158" s="110" t="s">
        <v>96</v>
      </c>
      <c r="R1158" s="121">
        <v>8.0000000000000002E-3</v>
      </c>
      <c r="S1158" s="113" t="e">
        <f t="shared" si="36"/>
        <v>#VALUE!</v>
      </c>
      <c r="T1158" s="113">
        <f t="shared" si="37"/>
        <v>0</v>
      </c>
    </row>
    <row r="1159" spans="1:20" s="109" customFormat="1" x14ac:dyDescent="0.2">
      <c r="A1159" s="116"/>
      <c r="B1159" s="111" t="s">
        <v>289</v>
      </c>
      <c r="C1159" s="110" t="s">
        <v>4799</v>
      </c>
      <c r="D1159" s="110" t="s">
        <v>4800</v>
      </c>
      <c r="E1159" s="112" t="s">
        <v>4801</v>
      </c>
      <c r="F1159" s="111" t="s">
        <v>130</v>
      </c>
      <c r="G1159" s="133">
        <v>110</v>
      </c>
      <c r="H1159" s="124"/>
      <c r="I1159" s="133" t="str">
        <f>IF(H1159&gt;0,(#REF!*H1159),"-")</f>
        <v>-</v>
      </c>
      <c r="J1159" s="113">
        <v>661</v>
      </c>
      <c r="K1159" s="110" t="s">
        <v>129</v>
      </c>
      <c r="L1159" s="110" t="s">
        <v>129</v>
      </c>
      <c r="M1159" s="110" t="s">
        <v>129</v>
      </c>
      <c r="N1159" s="110" t="s">
        <v>130</v>
      </c>
      <c r="O1159" s="110" t="s">
        <v>4802</v>
      </c>
      <c r="P1159" s="110" t="s">
        <v>137</v>
      </c>
      <c r="Q1159" s="110" t="s">
        <v>96</v>
      </c>
      <c r="R1159" s="121">
        <v>0.1007</v>
      </c>
      <c r="S1159" s="113" t="e">
        <f t="shared" si="36"/>
        <v>#VALUE!</v>
      </c>
      <c r="T1159" s="113">
        <f t="shared" si="37"/>
        <v>0</v>
      </c>
    </row>
    <row r="1160" spans="1:20" s="109" customFormat="1" x14ac:dyDescent="0.2">
      <c r="A1160" s="116"/>
      <c r="B1160" s="111"/>
      <c r="C1160" s="110" t="s">
        <v>4803</v>
      </c>
      <c r="D1160" s="110" t="s">
        <v>4804</v>
      </c>
      <c r="E1160" s="112" t="s">
        <v>4805</v>
      </c>
      <c r="F1160" s="111" t="s">
        <v>126</v>
      </c>
      <c r="G1160" s="133">
        <v>110</v>
      </c>
      <c r="H1160" s="124"/>
      <c r="I1160" s="133" t="str">
        <f>IF(H1160&gt;0,(#REF!*H1160),"-")</f>
        <v>-</v>
      </c>
      <c r="J1160" s="113">
        <v>588</v>
      </c>
      <c r="K1160" s="110" t="s">
        <v>129</v>
      </c>
      <c r="L1160" s="110" t="s">
        <v>129</v>
      </c>
      <c r="M1160" s="110" t="s">
        <v>129</v>
      </c>
      <c r="N1160" s="110" t="s">
        <v>130</v>
      </c>
      <c r="O1160" s="110" t="s">
        <v>4806</v>
      </c>
      <c r="P1160" s="110" t="s">
        <v>137</v>
      </c>
      <c r="Q1160" s="110" t="s">
        <v>97</v>
      </c>
      <c r="R1160" s="121">
        <v>6.8000000000000005E-2</v>
      </c>
      <c r="S1160" s="113" t="e">
        <f t="shared" si="36"/>
        <v>#VALUE!</v>
      </c>
      <c r="T1160" s="113">
        <f t="shared" si="37"/>
        <v>0</v>
      </c>
    </row>
    <row r="1161" spans="1:20" s="109" customFormat="1" x14ac:dyDescent="0.2">
      <c r="A1161" s="116"/>
      <c r="B1161" s="111"/>
      <c r="C1161" s="110" t="s">
        <v>4807</v>
      </c>
      <c r="D1161" s="110" t="s">
        <v>4808</v>
      </c>
      <c r="E1161" s="112" t="s">
        <v>4809</v>
      </c>
      <c r="F1161" s="111" t="s">
        <v>126</v>
      </c>
      <c r="G1161" s="133">
        <v>110</v>
      </c>
      <c r="H1161" s="124"/>
      <c r="I1161" s="133" t="str">
        <f>IF(H1161&gt;0,(#REF!*H1161),"-")</f>
        <v>-</v>
      </c>
      <c r="J1161" s="113">
        <v>538</v>
      </c>
      <c r="K1161" s="110" t="s">
        <v>129</v>
      </c>
      <c r="L1161" s="110" t="s">
        <v>129</v>
      </c>
      <c r="M1161" s="110" t="s">
        <v>129</v>
      </c>
      <c r="N1161" s="110" t="s">
        <v>130</v>
      </c>
      <c r="O1161" s="110" t="s">
        <v>4810</v>
      </c>
      <c r="P1161" s="110" t="s">
        <v>137</v>
      </c>
      <c r="Q1161" s="110" t="s">
        <v>97</v>
      </c>
      <c r="R1161" s="121">
        <v>8.1299999999999997E-2</v>
      </c>
      <c r="S1161" s="113" t="e">
        <f t="shared" si="36"/>
        <v>#VALUE!</v>
      </c>
      <c r="T1161" s="113">
        <f t="shared" si="37"/>
        <v>0</v>
      </c>
    </row>
    <row r="1162" spans="1:20" s="109" customFormat="1" x14ac:dyDescent="0.2">
      <c r="A1162" s="116"/>
      <c r="B1162" s="111" t="s">
        <v>1037</v>
      </c>
      <c r="C1162" s="110" t="s">
        <v>4811</v>
      </c>
      <c r="D1162" s="110" t="s">
        <v>4812</v>
      </c>
      <c r="E1162" s="112" t="s">
        <v>4813</v>
      </c>
      <c r="F1162" s="111" t="s">
        <v>130</v>
      </c>
      <c r="G1162" s="133">
        <v>28</v>
      </c>
      <c r="H1162" s="124"/>
      <c r="I1162" s="133" t="str">
        <f>IF(H1162&gt;0,(#REF!*H1162),"-")</f>
        <v>-</v>
      </c>
      <c r="J1162" s="113">
        <v>392</v>
      </c>
      <c r="K1162" s="110" t="s">
        <v>129</v>
      </c>
      <c r="L1162" s="110" t="s">
        <v>129</v>
      </c>
      <c r="M1162" s="110" t="s">
        <v>129</v>
      </c>
      <c r="N1162" s="110" t="s">
        <v>4518</v>
      </c>
      <c r="O1162" s="110" t="s">
        <v>4814</v>
      </c>
      <c r="P1162" s="110" t="s">
        <v>4815</v>
      </c>
      <c r="Q1162" s="110" t="s">
        <v>97</v>
      </c>
      <c r="R1162" s="121">
        <v>0.372</v>
      </c>
      <c r="S1162" s="113" t="e">
        <f t="shared" si="36"/>
        <v>#VALUE!</v>
      </c>
      <c r="T1162" s="113">
        <f t="shared" si="37"/>
        <v>0</v>
      </c>
    </row>
    <row r="1163" spans="1:20" s="109" customFormat="1" x14ac:dyDescent="0.2">
      <c r="A1163" s="116"/>
      <c r="B1163" s="111" t="s">
        <v>289</v>
      </c>
      <c r="C1163" s="110" t="s">
        <v>4816</v>
      </c>
      <c r="D1163" s="110" t="s">
        <v>4817</v>
      </c>
      <c r="E1163" s="112" t="s">
        <v>4818</v>
      </c>
      <c r="F1163" s="111" t="s">
        <v>4518</v>
      </c>
      <c r="G1163" s="133">
        <v>34</v>
      </c>
      <c r="H1163" s="124"/>
      <c r="I1163" s="133" t="str">
        <f>IF(H1163&gt;0,(#REF!*H1163),"-")</f>
        <v>-</v>
      </c>
      <c r="J1163" s="113">
        <v>772</v>
      </c>
      <c r="K1163" s="110" t="s">
        <v>129</v>
      </c>
      <c r="L1163" s="110" t="s">
        <v>129</v>
      </c>
      <c r="M1163" s="110" t="s">
        <v>129</v>
      </c>
      <c r="N1163" s="110" t="s">
        <v>944</v>
      </c>
      <c r="O1163" s="110" t="s">
        <v>4819</v>
      </c>
      <c r="P1163" s="110" t="s">
        <v>589</v>
      </c>
      <c r="Q1163" s="110" t="s">
        <v>97</v>
      </c>
      <c r="R1163" s="121">
        <v>0.48599999999999999</v>
      </c>
      <c r="S1163" s="113" t="e">
        <f t="shared" si="36"/>
        <v>#VALUE!</v>
      </c>
      <c r="T1163" s="113">
        <f t="shared" si="37"/>
        <v>0</v>
      </c>
    </row>
    <row r="1164" spans="1:20" s="109" customFormat="1" x14ac:dyDescent="0.2">
      <c r="A1164" s="116"/>
      <c r="B1164" s="111" t="s">
        <v>959</v>
      </c>
      <c r="C1164" s="110" t="s">
        <v>4820</v>
      </c>
      <c r="D1164" s="110" t="s">
        <v>4821</v>
      </c>
      <c r="E1164" s="112" t="s">
        <v>4822</v>
      </c>
      <c r="F1164" s="111" t="s">
        <v>130</v>
      </c>
      <c r="G1164" s="133">
        <v>115</v>
      </c>
      <c r="H1164" s="124"/>
      <c r="I1164" s="133" t="str">
        <f>IF(H1164&gt;0,(#REF!*H1164),"-")</f>
        <v>-</v>
      </c>
      <c r="J1164" s="113">
        <v>184</v>
      </c>
      <c r="K1164" s="110" t="s">
        <v>129</v>
      </c>
      <c r="L1164" s="110" t="s">
        <v>129</v>
      </c>
      <c r="M1164" s="110" t="s">
        <v>129</v>
      </c>
      <c r="N1164" s="110" t="s">
        <v>130</v>
      </c>
      <c r="O1164" s="110" t="s">
        <v>4823</v>
      </c>
      <c r="P1164" s="110" t="s">
        <v>4824</v>
      </c>
      <c r="Q1164" s="110" t="s">
        <v>97</v>
      </c>
      <c r="R1164" s="121">
        <v>6.4000000000000001E-2</v>
      </c>
      <c r="S1164" s="113" t="e">
        <f t="shared" si="36"/>
        <v>#VALUE!</v>
      </c>
      <c r="T1164" s="113">
        <f t="shared" si="37"/>
        <v>0</v>
      </c>
    </row>
    <row r="1165" spans="1:20" s="109" customFormat="1" x14ac:dyDescent="0.2">
      <c r="A1165" s="116"/>
      <c r="B1165" s="111" t="s">
        <v>1037</v>
      </c>
      <c r="C1165" s="110" t="s">
        <v>4825</v>
      </c>
      <c r="D1165" s="110" t="s">
        <v>4826</v>
      </c>
      <c r="E1165" s="112" t="s">
        <v>4827</v>
      </c>
      <c r="F1165" s="111" t="s">
        <v>130</v>
      </c>
      <c r="G1165" s="133">
        <v>35</v>
      </c>
      <c r="H1165" s="124"/>
      <c r="I1165" s="133" t="str">
        <f>IF(H1165&gt;0,(#REF!*H1165),"-")</f>
        <v>-</v>
      </c>
      <c r="J1165" s="113">
        <v>1252</v>
      </c>
      <c r="K1165" s="110" t="s">
        <v>129</v>
      </c>
      <c r="L1165" s="110" t="s">
        <v>129</v>
      </c>
      <c r="M1165" s="110" t="s">
        <v>129</v>
      </c>
      <c r="N1165" s="110" t="s">
        <v>944</v>
      </c>
      <c r="O1165" s="110" t="s">
        <v>4828</v>
      </c>
      <c r="P1165" s="110" t="s">
        <v>4829</v>
      </c>
      <c r="Q1165" s="110" t="s">
        <v>97</v>
      </c>
      <c r="R1165" s="121">
        <v>0.79900000000000004</v>
      </c>
      <c r="S1165" s="113" t="e">
        <f t="shared" si="36"/>
        <v>#VALUE!</v>
      </c>
      <c r="T1165" s="113">
        <f t="shared" si="37"/>
        <v>0</v>
      </c>
    </row>
    <row r="1166" spans="1:20" s="109" customFormat="1" x14ac:dyDescent="0.2">
      <c r="A1166" s="116"/>
      <c r="B1166" s="111" t="s">
        <v>1037</v>
      </c>
      <c r="C1166" s="110" t="s">
        <v>4830</v>
      </c>
      <c r="D1166" s="110" t="s">
        <v>4831</v>
      </c>
      <c r="E1166" s="112" t="s">
        <v>4832</v>
      </c>
      <c r="F1166" s="111" t="s">
        <v>4728</v>
      </c>
      <c r="G1166" s="133">
        <v>25</v>
      </c>
      <c r="H1166" s="124"/>
      <c r="I1166" s="133" t="str">
        <f>IF(H1166&gt;0,(#REF!*H1166),"-")</f>
        <v>-</v>
      </c>
      <c r="J1166" s="113">
        <v>368</v>
      </c>
      <c r="K1166" s="110" t="s">
        <v>129</v>
      </c>
      <c r="L1166" s="110" t="s">
        <v>129</v>
      </c>
      <c r="M1166" s="110" t="s">
        <v>129</v>
      </c>
      <c r="N1166" s="110" t="s">
        <v>4518</v>
      </c>
      <c r="O1166" s="110" t="s">
        <v>4833</v>
      </c>
      <c r="P1166" s="110" t="s">
        <v>4520</v>
      </c>
      <c r="Q1166" s="110" t="s">
        <v>96</v>
      </c>
      <c r="R1166" s="121">
        <v>9.74E-2</v>
      </c>
      <c r="S1166" s="113" t="e">
        <f t="shared" si="36"/>
        <v>#VALUE!</v>
      </c>
      <c r="T1166" s="113">
        <f t="shared" si="37"/>
        <v>0</v>
      </c>
    </row>
    <row r="1167" spans="1:20" s="109" customFormat="1" x14ac:dyDescent="0.2">
      <c r="A1167" s="116"/>
      <c r="B1167" s="111"/>
      <c r="C1167" s="110" t="s">
        <v>4834</v>
      </c>
      <c r="D1167" s="110" t="s">
        <v>4835</v>
      </c>
      <c r="E1167" s="112" t="s">
        <v>4836</v>
      </c>
      <c r="F1167" s="111" t="s">
        <v>126</v>
      </c>
      <c r="G1167" s="133">
        <v>90</v>
      </c>
      <c r="H1167" s="124"/>
      <c r="I1167" s="133" t="str">
        <f>IF(H1167&gt;0,(#REF!*H1167),"-")</f>
        <v>-</v>
      </c>
      <c r="J1167" s="113">
        <v>653</v>
      </c>
      <c r="K1167" s="110" t="s">
        <v>129</v>
      </c>
      <c r="L1167" s="110" t="s">
        <v>129</v>
      </c>
      <c r="M1167" s="110" t="s">
        <v>129</v>
      </c>
      <c r="N1167" s="110" t="s">
        <v>130</v>
      </c>
      <c r="O1167" s="110" t="s">
        <v>4837</v>
      </c>
      <c r="P1167" s="110" t="s">
        <v>4634</v>
      </c>
      <c r="Q1167" s="110" t="s">
        <v>97</v>
      </c>
      <c r="R1167" s="121">
        <v>0.373</v>
      </c>
      <c r="S1167" s="113" t="e">
        <f t="shared" si="36"/>
        <v>#VALUE!</v>
      </c>
      <c r="T1167" s="113">
        <f t="shared" si="37"/>
        <v>0</v>
      </c>
    </row>
    <row r="1168" spans="1:20" s="109" customFormat="1" x14ac:dyDescent="0.2">
      <c r="A1168" s="116"/>
      <c r="B1168" s="111"/>
      <c r="C1168" s="110" t="s">
        <v>4838</v>
      </c>
      <c r="D1168" s="110" t="s">
        <v>4839</v>
      </c>
      <c r="E1168" s="112" t="s">
        <v>4840</v>
      </c>
      <c r="F1168" s="111" t="s">
        <v>126</v>
      </c>
      <c r="G1168" s="133">
        <v>55</v>
      </c>
      <c r="H1168" s="124"/>
      <c r="I1168" s="133" t="str">
        <f>IF(H1168&gt;0,(#REF!*H1168),"-")</f>
        <v>-</v>
      </c>
      <c r="J1168" s="113">
        <v>1518</v>
      </c>
      <c r="K1168" s="110" t="s">
        <v>129</v>
      </c>
      <c r="L1168" s="110" t="s">
        <v>129</v>
      </c>
      <c r="M1168" s="110" t="s">
        <v>129</v>
      </c>
      <c r="N1168" s="110" t="s">
        <v>4841</v>
      </c>
      <c r="O1168" s="110" t="s">
        <v>4842</v>
      </c>
      <c r="P1168" s="110" t="s">
        <v>4829</v>
      </c>
      <c r="Q1168" s="110" t="s">
        <v>97</v>
      </c>
      <c r="R1168" s="121">
        <v>0.47</v>
      </c>
      <c r="S1168" s="113" t="e">
        <f t="shared" si="36"/>
        <v>#VALUE!</v>
      </c>
      <c r="T1168" s="113">
        <f t="shared" si="37"/>
        <v>0</v>
      </c>
    </row>
    <row r="1169" spans="1:20" s="109" customFormat="1" x14ac:dyDescent="0.2">
      <c r="A1169" s="116"/>
      <c r="B1169" s="111"/>
      <c r="C1169" s="110" t="s">
        <v>4843</v>
      </c>
      <c r="D1169" s="110" t="s">
        <v>4844</v>
      </c>
      <c r="E1169" s="112" t="s">
        <v>4845</v>
      </c>
      <c r="F1169" s="111" t="s">
        <v>126</v>
      </c>
      <c r="G1169" s="133">
        <v>80</v>
      </c>
      <c r="H1169" s="124"/>
      <c r="I1169" s="133" t="str">
        <f>IF(H1169&gt;0,(#REF!*H1169),"-")</f>
        <v>-</v>
      </c>
      <c r="J1169" s="113">
        <v>467</v>
      </c>
      <c r="K1169" s="110" t="s">
        <v>129</v>
      </c>
      <c r="L1169" s="110" t="s">
        <v>129</v>
      </c>
      <c r="M1169" s="110" t="s">
        <v>129</v>
      </c>
      <c r="N1169" s="110" t="s">
        <v>130</v>
      </c>
      <c r="O1169" s="110" t="s">
        <v>4846</v>
      </c>
      <c r="P1169" s="110" t="s">
        <v>4829</v>
      </c>
      <c r="Q1169" s="110" t="s">
        <v>97</v>
      </c>
      <c r="R1169" s="121">
        <v>9.4E-2</v>
      </c>
      <c r="S1169" s="113" t="e">
        <f t="shared" si="36"/>
        <v>#VALUE!</v>
      </c>
      <c r="T1169" s="113">
        <f t="shared" si="37"/>
        <v>0</v>
      </c>
    </row>
    <row r="1170" spans="1:20" s="109" customFormat="1" x14ac:dyDescent="0.2">
      <c r="A1170" s="116"/>
      <c r="B1170" s="111"/>
      <c r="C1170" s="110" t="s">
        <v>4847</v>
      </c>
      <c r="D1170" s="110" t="s">
        <v>4848</v>
      </c>
      <c r="E1170" s="112" t="s">
        <v>4849</v>
      </c>
      <c r="F1170" s="111" t="s">
        <v>126</v>
      </c>
      <c r="G1170" s="133">
        <v>72</v>
      </c>
      <c r="H1170" s="124"/>
      <c r="I1170" s="133" t="str">
        <f>IF(H1170&gt;0,(#REF!*H1170),"-")</f>
        <v>-</v>
      </c>
      <c r="J1170" s="113">
        <v>1412</v>
      </c>
      <c r="K1170" s="110" t="s">
        <v>129</v>
      </c>
      <c r="L1170" s="110" t="s">
        <v>129</v>
      </c>
      <c r="M1170" s="110" t="s">
        <v>129</v>
      </c>
      <c r="N1170" s="110" t="s">
        <v>130</v>
      </c>
      <c r="O1170" s="110" t="s">
        <v>4850</v>
      </c>
      <c r="P1170" s="110" t="s">
        <v>4634</v>
      </c>
      <c r="Q1170" s="110" t="s">
        <v>97</v>
      </c>
      <c r="R1170" s="121">
        <v>0.20369999999999999</v>
      </c>
      <c r="S1170" s="113" t="e">
        <f t="shared" si="36"/>
        <v>#VALUE!</v>
      </c>
      <c r="T1170" s="113">
        <f t="shared" si="37"/>
        <v>0</v>
      </c>
    </row>
    <row r="1171" spans="1:20" s="109" customFormat="1" x14ac:dyDescent="0.2">
      <c r="A1171" s="116"/>
      <c r="B1171" s="111"/>
      <c r="C1171" s="110" t="s">
        <v>4851</v>
      </c>
      <c r="D1171" s="110" t="s">
        <v>4852</v>
      </c>
      <c r="E1171" s="112" t="s">
        <v>4853</v>
      </c>
      <c r="F1171" s="111" t="s">
        <v>126</v>
      </c>
      <c r="G1171" s="133">
        <v>40</v>
      </c>
      <c r="H1171" s="124"/>
      <c r="I1171" s="133" t="str">
        <f>IF(H1171&gt;0,(#REF!*H1171),"-")</f>
        <v>-</v>
      </c>
      <c r="J1171" s="113">
        <v>1109</v>
      </c>
      <c r="K1171" s="110" t="s">
        <v>129</v>
      </c>
      <c r="L1171" s="110" t="s">
        <v>129</v>
      </c>
      <c r="M1171" s="110" t="s">
        <v>129</v>
      </c>
      <c r="N1171" s="110" t="s">
        <v>944</v>
      </c>
      <c r="O1171" s="110" t="s">
        <v>4854</v>
      </c>
      <c r="P1171" s="110" t="s">
        <v>4829</v>
      </c>
      <c r="Q1171" s="110" t="s">
        <v>97</v>
      </c>
      <c r="R1171" s="121">
        <v>0.37440000000000001</v>
      </c>
      <c r="S1171" s="113" t="e">
        <f t="shared" si="36"/>
        <v>#VALUE!</v>
      </c>
      <c r="T1171" s="113">
        <f t="shared" si="37"/>
        <v>0</v>
      </c>
    </row>
    <row r="1172" spans="1:20" s="109" customFormat="1" x14ac:dyDescent="0.2">
      <c r="A1172" s="116"/>
      <c r="B1172" s="111"/>
      <c r="C1172" s="110" t="s">
        <v>4855</v>
      </c>
      <c r="D1172" s="110" t="s">
        <v>4856</v>
      </c>
      <c r="E1172" s="112" t="s">
        <v>4857</v>
      </c>
      <c r="F1172" s="111" t="s">
        <v>126</v>
      </c>
      <c r="G1172" s="133">
        <v>50</v>
      </c>
      <c r="H1172" s="124"/>
      <c r="I1172" s="133" t="str">
        <f>IF(H1172&gt;0,(#REF!*H1172),"-")</f>
        <v>-</v>
      </c>
      <c r="J1172" s="113">
        <v>540</v>
      </c>
      <c r="K1172" s="110" t="s">
        <v>129</v>
      </c>
      <c r="L1172" s="110" t="s">
        <v>129</v>
      </c>
      <c r="M1172" s="110" t="s">
        <v>129</v>
      </c>
      <c r="N1172" s="110" t="s">
        <v>130</v>
      </c>
      <c r="O1172" s="110" t="s">
        <v>4858</v>
      </c>
      <c r="P1172" s="110" t="s">
        <v>137</v>
      </c>
      <c r="Q1172" s="110" t="s">
        <v>96</v>
      </c>
      <c r="R1172" s="121">
        <v>6.1800000000000001E-2</v>
      </c>
      <c r="S1172" s="113" t="e">
        <f t="shared" si="36"/>
        <v>#VALUE!</v>
      </c>
      <c r="T1172" s="113">
        <f t="shared" si="37"/>
        <v>0</v>
      </c>
    </row>
    <row r="1173" spans="1:20" s="109" customFormat="1" x14ac:dyDescent="0.2">
      <c r="A1173" s="116"/>
      <c r="B1173" s="111"/>
      <c r="C1173" s="110" t="s">
        <v>4859</v>
      </c>
      <c r="D1173" s="110" t="s">
        <v>4860</v>
      </c>
      <c r="E1173" s="112" t="s">
        <v>4861</v>
      </c>
      <c r="F1173" s="111" t="s">
        <v>126</v>
      </c>
      <c r="G1173" s="133">
        <v>50</v>
      </c>
      <c r="H1173" s="124"/>
      <c r="I1173" s="133" t="str">
        <f>IF(H1173&gt;0,(#REF!*H1173),"-")</f>
        <v>-</v>
      </c>
      <c r="J1173" s="113">
        <v>540</v>
      </c>
      <c r="K1173" s="110" t="s">
        <v>129</v>
      </c>
      <c r="L1173" s="110" t="s">
        <v>129</v>
      </c>
      <c r="M1173" s="110" t="s">
        <v>129</v>
      </c>
      <c r="N1173" s="110" t="s">
        <v>130</v>
      </c>
      <c r="O1173" s="110" t="s">
        <v>4862</v>
      </c>
      <c r="P1173" s="110" t="s">
        <v>137</v>
      </c>
      <c r="Q1173" s="110" t="s">
        <v>96</v>
      </c>
      <c r="R1173" s="121">
        <v>6.4699999999999994E-2</v>
      </c>
      <c r="S1173" s="113" t="e">
        <f t="shared" si="36"/>
        <v>#VALUE!</v>
      </c>
      <c r="T1173" s="113">
        <f t="shared" si="37"/>
        <v>0</v>
      </c>
    </row>
    <row r="1174" spans="1:20" s="109" customFormat="1" x14ac:dyDescent="0.2">
      <c r="A1174" s="116"/>
      <c r="B1174" s="111"/>
      <c r="C1174" s="110" t="s">
        <v>4863</v>
      </c>
      <c r="D1174" s="110" t="s">
        <v>4864</v>
      </c>
      <c r="E1174" s="112" t="s">
        <v>4865</v>
      </c>
      <c r="F1174" s="111" t="s">
        <v>126</v>
      </c>
      <c r="G1174" s="133">
        <v>155</v>
      </c>
      <c r="H1174" s="124"/>
      <c r="I1174" s="133" t="str">
        <f>IF(H1174&gt;0,(#REF!*H1174),"-")</f>
        <v>-</v>
      </c>
      <c r="J1174" s="113">
        <v>786</v>
      </c>
      <c r="K1174" s="110" t="s">
        <v>129</v>
      </c>
      <c r="L1174" s="110" t="s">
        <v>129</v>
      </c>
      <c r="M1174" s="110" t="s">
        <v>129</v>
      </c>
      <c r="N1174" s="110" t="s">
        <v>130</v>
      </c>
      <c r="O1174" s="110" t="s">
        <v>4866</v>
      </c>
      <c r="P1174" s="110" t="s">
        <v>4829</v>
      </c>
      <c r="Q1174" s="110" t="s">
        <v>97</v>
      </c>
      <c r="R1174" s="121">
        <v>0.29139999999999999</v>
      </c>
      <c r="S1174" s="113" t="e">
        <f t="shared" si="36"/>
        <v>#VALUE!</v>
      </c>
      <c r="T1174" s="113">
        <f t="shared" si="37"/>
        <v>0</v>
      </c>
    </row>
    <row r="1175" spans="1:20" s="109" customFormat="1" x14ac:dyDescent="0.2">
      <c r="A1175" s="116"/>
      <c r="B1175" s="111"/>
      <c r="C1175" s="110" t="s">
        <v>4867</v>
      </c>
      <c r="D1175" s="110" t="s">
        <v>4868</v>
      </c>
      <c r="E1175" s="112" t="s">
        <v>4869</v>
      </c>
      <c r="F1175" s="111" t="s">
        <v>126</v>
      </c>
      <c r="G1175" s="133">
        <v>30</v>
      </c>
      <c r="H1175" s="124"/>
      <c r="I1175" s="133" t="str">
        <f>IF(H1175&gt;0,(#REF!*H1175),"-")</f>
        <v>-</v>
      </c>
      <c r="J1175" s="113">
        <v>535</v>
      </c>
      <c r="K1175" s="110" t="s">
        <v>129</v>
      </c>
      <c r="L1175" s="110" t="s">
        <v>129</v>
      </c>
      <c r="M1175" s="110" t="s">
        <v>129</v>
      </c>
      <c r="N1175" s="110" t="s">
        <v>944</v>
      </c>
      <c r="O1175" s="110" t="s">
        <v>4870</v>
      </c>
      <c r="P1175" s="110" t="s">
        <v>4634</v>
      </c>
      <c r="Q1175" s="110" t="s">
        <v>97</v>
      </c>
      <c r="R1175" s="121">
        <v>0.24610000000000001</v>
      </c>
      <c r="S1175" s="113" t="e">
        <f t="shared" si="36"/>
        <v>#VALUE!</v>
      </c>
      <c r="T1175" s="113">
        <f t="shared" si="37"/>
        <v>0</v>
      </c>
    </row>
    <row r="1176" spans="1:20" s="109" customFormat="1" x14ac:dyDescent="0.2">
      <c r="A1176" s="116"/>
      <c r="B1176" s="111" t="s">
        <v>959</v>
      </c>
      <c r="C1176" s="110" t="s">
        <v>4871</v>
      </c>
      <c r="D1176" s="110" t="s">
        <v>4872</v>
      </c>
      <c r="E1176" s="112" t="s">
        <v>4873</v>
      </c>
      <c r="F1176" s="111" t="s">
        <v>4874</v>
      </c>
      <c r="G1176" s="133">
        <v>35</v>
      </c>
      <c r="H1176" s="124"/>
      <c r="I1176" s="133" t="str">
        <f>IF(H1176&gt;0,(#REF!*H1176),"-")</f>
        <v>-</v>
      </c>
      <c r="J1176" s="113">
        <v>821</v>
      </c>
      <c r="K1176" s="110" t="s">
        <v>129</v>
      </c>
      <c r="L1176" s="110" t="s">
        <v>129</v>
      </c>
      <c r="M1176" s="110" t="s">
        <v>129</v>
      </c>
      <c r="N1176" s="110" t="s">
        <v>4875</v>
      </c>
      <c r="O1176" s="110" t="s">
        <v>4876</v>
      </c>
      <c r="P1176" s="110" t="s">
        <v>4877</v>
      </c>
      <c r="Q1176" s="110" t="s">
        <v>96</v>
      </c>
      <c r="R1176" s="121">
        <v>0.17199999999999999</v>
      </c>
      <c r="S1176" s="113" t="e">
        <f t="shared" si="36"/>
        <v>#VALUE!</v>
      </c>
      <c r="T1176" s="113">
        <f t="shared" si="37"/>
        <v>0</v>
      </c>
    </row>
    <row r="1177" spans="1:20" s="109" customFormat="1" x14ac:dyDescent="0.2">
      <c r="A1177" s="116"/>
      <c r="B1177" s="111" t="s">
        <v>289</v>
      </c>
      <c r="C1177" s="110" t="s">
        <v>4878</v>
      </c>
      <c r="D1177" s="110" t="s">
        <v>4879</v>
      </c>
      <c r="E1177" s="112" t="s">
        <v>4880</v>
      </c>
      <c r="F1177" s="111" t="s">
        <v>4874</v>
      </c>
      <c r="G1177" s="133">
        <v>30</v>
      </c>
      <c r="H1177" s="124"/>
      <c r="I1177" s="133" t="str">
        <f>IF(H1177&gt;0,(#REF!*H1177),"-")</f>
        <v>-</v>
      </c>
      <c r="J1177" s="113">
        <v>1856</v>
      </c>
      <c r="K1177" s="110" t="s">
        <v>129</v>
      </c>
      <c r="L1177" s="110" t="s">
        <v>129</v>
      </c>
      <c r="M1177" s="110" t="s">
        <v>129</v>
      </c>
      <c r="N1177" s="110" t="s">
        <v>4875</v>
      </c>
      <c r="O1177" s="110" t="s">
        <v>4881</v>
      </c>
      <c r="P1177" s="110" t="s">
        <v>4877</v>
      </c>
      <c r="Q1177" s="110" t="s">
        <v>96</v>
      </c>
      <c r="R1177" s="121">
        <v>0.36159999999999998</v>
      </c>
      <c r="S1177" s="113" t="e">
        <f t="shared" si="36"/>
        <v>#VALUE!</v>
      </c>
      <c r="T1177" s="113">
        <f t="shared" si="37"/>
        <v>0</v>
      </c>
    </row>
    <row r="1178" spans="1:20" s="109" customFormat="1" x14ac:dyDescent="0.2">
      <c r="A1178" s="116"/>
      <c r="B1178" s="111" t="s">
        <v>1037</v>
      </c>
      <c r="C1178" s="110" t="s">
        <v>4882</v>
      </c>
      <c r="D1178" s="110" t="s">
        <v>4883</v>
      </c>
      <c r="E1178" s="112" t="s">
        <v>4884</v>
      </c>
      <c r="F1178" s="111" t="s">
        <v>130</v>
      </c>
      <c r="G1178" s="133">
        <v>115</v>
      </c>
      <c r="H1178" s="124"/>
      <c r="I1178" s="133" t="str">
        <f>IF(H1178&gt;0,(#REF!*H1178),"-")</f>
        <v>-</v>
      </c>
      <c r="J1178" s="113">
        <v>184</v>
      </c>
      <c r="K1178" s="110" t="s">
        <v>129</v>
      </c>
      <c r="L1178" s="110" t="s">
        <v>129</v>
      </c>
      <c r="M1178" s="110" t="s">
        <v>129</v>
      </c>
      <c r="N1178" s="110" t="s">
        <v>130</v>
      </c>
      <c r="O1178" s="110" t="s">
        <v>4885</v>
      </c>
      <c r="P1178" s="110" t="s">
        <v>4886</v>
      </c>
      <c r="Q1178" s="110" t="s">
        <v>97</v>
      </c>
      <c r="R1178" s="121">
        <v>6.4199999999999993E-2</v>
      </c>
      <c r="S1178" s="113" t="e">
        <f t="shared" si="36"/>
        <v>#VALUE!</v>
      </c>
      <c r="T1178" s="113">
        <f t="shared" si="37"/>
        <v>0</v>
      </c>
    </row>
    <row r="1179" spans="1:20" s="109" customFormat="1" x14ac:dyDescent="0.2">
      <c r="A1179" s="116"/>
      <c r="B1179" s="111" t="s">
        <v>289</v>
      </c>
      <c r="C1179" s="110" t="s">
        <v>4887</v>
      </c>
      <c r="D1179" s="110" t="s">
        <v>4888</v>
      </c>
      <c r="E1179" s="112" t="s">
        <v>4889</v>
      </c>
      <c r="F1179" s="111" t="s">
        <v>130</v>
      </c>
      <c r="G1179" s="133">
        <v>124</v>
      </c>
      <c r="H1179" s="124"/>
      <c r="I1179" s="133" t="str">
        <f>IF(H1179&gt;0,(#REF!*H1179),"-")</f>
        <v>-</v>
      </c>
      <c r="J1179" s="113">
        <v>288</v>
      </c>
      <c r="K1179" s="110" t="s">
        <v>129</v>
      </c>
      <c r="L1179" s="110" t="s">
        <v>129</v>
      </c>
      <c r="M1179" s="110" t="s">
        <v>129</v>
      </c>
      <c r="N1179" s="110" t="s">
        <v>130</v>
      </c>
      <c r="O1179" s="110" t="s">
        <v>4890</v>
      </c>
      <c r="P1179" s="110" t="s">
        <v>4891</v>
      </c>
      <c r="Q1179" s="110" t="s">
        <v>97</v>
      </c>
      <c r="R1179" s="121">
        <v>0.14399999999999999</v>
      </c>
      <c r="S1179" s="113" t="e">
        <f t="shared" si="36"/>
        <v>#VALUE!</v>
      </c>
      <c r="T1179" s="113">
        <f t="shared" si="37"/>
        <v>0</v>
      </c>
    </row>
    <row r="1180" spans="1:20" s="109" customFormat="1" x14ac:dyDescent="0.2">
      <c r="A1180" s="116"/>
      <c r="B1180" s="111" t="s">
        <v>1037</v>
      </c>
      <c r="C1180" s="110" t="s">
        <v>4892</v>
      </c>
      <c r="D1180" s="110" t="s">
        <v>4893</v>
      </c>
      <c r="E1180" s="112" t="s">
        <v>4894</v>
      </c>
      <c r="F1180" s="111" t="s">
        <v>130</v>
      </c>
      <c r="G1180" s="133">
        <v>99</v>
      </c>
      <c r="H1180" s="124"/>
      <c r="I1180" s="133" t="str">
        <f>IF(H1180&gt;0,(#REF!*H1180),"-")</f>
        <v>-</v>
      </c>
      <c r="J1180" s="113">
        <v>378</v>
      </c>
      <c r="K1180" s="110" t="s">
        <v>129</v>
      </c>
      <c r="L1180" s="110" t="s">
        <v>129</v>
      </c>
      <c r="M1180" s="110" t="s">
        <v>129</v>
      </c>
      <c r="N1180" s="110" t="s">
        <v>130</v>
      </c>
      <c r="O1180" s="110" t="s">
        <v>4895</v>
      </c>
      <c r="P1180" s="110" t="s">
        <v>4896</v>
      </c>
      <c r="Q1180" s="110" t="s">
        <v>97</v>
      </c>
      <c r="R1180" s="121">
        <v>0.13900000000000001</v>
      </c>
      <c r="S1180" s="113" t="e">
        <f t="shared" si="36"/>
        <v>#VALUE!</v>
      </c>
      <c r="T1180" s="113">
        <f t="shared" si="37"/>
        <v>0</v>
      </c>
    </row>
    <row r="1181" spans="1:20" s="109" customFormat="1" x14ac:dyDescent="0.2">
      <c r="A1181" s="116"/>
      <c r="B1181" s="111" t="s">
        <v>1037</v>
      </c>
      <c r="C1181" s="110" t="s">
        <v>4897</v>
      </c>
      <c r="D1181" s="110" t="s">
        <v>4898</v>
      </c>
      <c r="E1181" s="112" t="s">
        <v>4899</v>
      </c>
      <c r="F1181" s="111" t="s">
        <v>130</v>
      </c>
      <c r="G1181" s="133">
        <v>65</v>
      </c>
      <c r="H1181" s="124"/>
      <c r="I1181" s="133" t="str">
        <f>IF(H1181&gt;0,(#REF!*H1181),"-")</f>
        <v>-</v>
      </c>
      <c r="J1181" s="113">
        <v>250</v>
      </c>
      <c r="K1181" s="110" t="s">
        <v>129</v>
      </c>
      <c r="L1181" s="110" t="s">
        <v>129</v>
      </c>
      <c r="M1181" s="110" t="s">
        <v>129</v>
      </c>
      <c r="N1181" s="110" t="s">
        <v>130</v>
      </c>
      <c r="O1181" s="110" t="s">
        <v>4900</v>
      </c>
      <c r="P1181" s="110" t="s">
        <v>4901</v>
      </c>
      <c r="Q1181" s="110" t="s">
        <v>97</v>
      </c>
      <c r="R1181" s="121">
        <v>0.1</v>
      </c>
      <c r="S1181" s="113" t="e">
        <f t="shared" si="36"/>
        <v>#VALUE!</v>
      </c>
      <c r="T1181" s="113">
        <f t="shared" si="37"/>
        <v>0</v>
      </c>
    </row>
    <row r="1182" spans="1:20" s="109" customFormat="1" x14ac:dyDescent="0.2">
      <c r="A1182" s="116"/>
      <c r="B1182" s="111" t="s">
        <v>1037</v>
      </c>
      <c r="C1182" s="110" t="s">
        <v>4902</v>
      </c>
      <c r="D1182" s="110" t="s">
        <v>4903</v>
      </c>
      <c r="E1182" s="112" t="s">
        <v>4904</v>
      </c>
      <c r="F1182" s="111" t="s">
        <v>130</v>
      </c>
      <c r="G1182" s="133">
        <v>81</v>
      </c>
      <c r="H1182" s="124"/>
      <c r="I1182" s="133" t="str">
        <f>IF(H1182&gt;0,(#REF!*H1182),"-")</f>
        <v>-</v>
      </c>
      <c r="J1182" s="113">
        <v>312</v>
      </c>
      <c r="K1182" s="110" t="s">
        <v>129</v>
      </c>
      <c r="L1182" s="110" t="s">
        <v>129</v>
      </c>
      <c r="M1182" s="110" t="s">
        <v>129</v>
      </c>
      <c r="N1182" s="110" t="s">
        <v>130</v>
      </c>
      <c r="O1182" s="110" t="s">
        <v>4905</v>
      </c>
      <c r="P1182" s="110" t="s">
        <v>4901</v>
      </c>
      <c r="Q1182" s="110" t="s">
        <v>97</v>
      </c>
      <c r="R1182" s="121">
        <v>0.1</v>
      </c>
      <c r="S1182" s="113" t="e">
        <f t="shared" si="36"/>
        <v>#VALUE!</v>
      </c>
      <c r="T1182" s="113">
        <f t="shared" si="37"/>
        <v>0</v>
      </c>
    </row>
    <row r="1183" spans="1:20" s="109" customFormat="1" x14ac:dyDescent="0.2">
      <c r="A1183" s="116"/>
      <c r="B1183" s="111"/>
      <c r="C1183" s="110" t="s">
        <v>4906</v>
      </c>
      <c r="D1183" s="110" t="s">
        <v>4907</v>
      </c>
      <c r="E1183" s="112" t="s">
        <v>4908</v>
      </c>
      <c r="F1183" s="111" t="s">
        <v>126</v>
      </c>
      <c r="G1183" s="133">
        <v>215</v>
      </c>
      <c r="H1183" s="124"/>
      <c r="I1183" s="133" t="str">
        <f>IF(H1183&gt;0,(#REF!*H1183),"-")</f>
        <v>-</v>
      </c>
      <c r="J1183" s="113">
        <v>1549</v>
      </c>
      <c r="K1183" s="110" t="s">
        <v>129</v>
      </c>
      <c r="L1183" s="110" t="s">
        <v>129</v>
      </c>
      <c r="M1183" s="110" t="s">
        <v>129</v>
      </c>
      <c r="N1183" s="110" t="s">
        <v>130</v>
      </c>
      <c r="O1183" s="110" t="s">
        <v>4909</v>
      </c>
      <c r="P1183" s="110" t="s">
        <v>958</v>
      </c>
      <c r="Q1183" s="110" t="s">
        <v>96</v>
      </c>
      <c r="R1183" s="121">
        <v>2.8899999999999999E-2</v>
      </c>
      <c r="S1183" s="113" t="e">
        <f t="shared" si="36"/>
        <v>#VALUE!</v>
      </c>
      <c r="T1183" s="113">
        <f t="shared" si="37"/>
        <v>0</v>
      </c>
    </row>
    <row r="1184" spans="1:20" s="109" customFormat="1" x14ac:dyDescent="0.2">
      <c r="A1184" s="116"/>
      <c r="B1184" s="111" t="s">
        <v>1037</v>
      </c>
      <c r="C1184" s="110" t="s">
        <v>4910</v>
      </c>
      <c r="D1184" s="110" t="s">
        <v>4911</v>
      </c>
      <c r="E1184" s="112" t="s">
        <v>4912</v>
      </c>
      <c r="F1184" s="111" t="s">
        <v>130</v>
      </c>
      <c r="G1184" s="133">
        <v>60</v>
      </c>
      <c r="H1184" s="124"/>
      <c r="I1184" s="133" t="str">
        <f>IF(H1184&gt;0,(#REF!*H1184),"-")</f>
        <v>-</v>
      </c>
      <c r="J1184" s="113">
        <v>1325</v>
      </c>
      <c r="K1184" s="110" t="s">
        <v>129</v>
      </c>
      <c r="L1184" s="110" t="s">
        <v>129</v>
      </c>
      <c r="M1184" s="110" t="s">
        <v>129</v>
      </c>
      <c r="N1184" s="110" t="s">
        <v>4518</v>
      </c>
      <c r="O1184" s="110" t="s">
        <v>4913</v>
      </c>
      <c r="P1184" s="110" t="s">
        <v>2102</v>
      </c>
      <c r="Q1184" s="110" t="s">
        <v>97</v>
      </c>
      <c r="R1184" s="121">
        <v>0.2253</v>
      </c>
      <c r="S1184" s="113" t="e">
        <f t="shared" si="36"/>
        <v>#VALUE!</v>
      </c>
      <c r="T1184" s="113">
        <f t="shared" si="37"/>
        <v>0</v>
      </c>
    </row>
    <row r="1185" spans="1:20" s="109" customFormat="1" x14ac:dyDescent="0.2">
      <c r="A1185" s="116"/>
      <c r="B1185" s="111" t="s">
        <v>207</v>
      </c>
      <c r="C1185" s="110" t="s">
        <v>4914</v>
      </c>
      <c r="D1185" s="110" t="s">
        <v>4915</v>
      </c>
      <c r="E1185" s="112" t="s">
        <v>4916</v>
      </c>
      <c r="F1185" s="111" t="s">
        <v>130</v>
      </c>
      <c r="G1185" s="133">
        <v>590</v>
      </c>
      <c r="H1185" s="124"/>
      <c r="I1185" s="133" t="str">
        <f>IF(H1185&gt;0,(#REF!*H1185),"-")</f>
        <v>-</v>
      </c>
      <c r="J1185" s="113">
        <v>9261</v>
      </c>
      <c r="K1185" s="110" t="s">
        <v>129</v>
      </c>
      <c r="L1185" s="110" t="s">
        <v>129</v>
      </c>
      <c r="M1185" s="110" t="s">
        <v>129</v>
      </c>
      <c r="N1185" s="110" t="s">
        <v>130</v>
      </c>
      <c r="O1185" s="110" t="s">
        <v>4917</v>
      </c>
      <c r="P1185" s="110" t="s">
        <v>589</v>
      </c>
      <c r="Q1185" s="110" t="s">
        <v>96</v>
      </c>
      <c r="R1185" s="121">
        <v>3.0179999999999998</v>
      </c>
      <c r="S1185" s="113" t="e">
        <f t="shared" si="36"/>
        <v>#VALUE!</v>
      </c>
      <c r="T1185" s="113">
        <f t="shared" si="37"/>
        <v>0</v>
      </c>
    </row>
    <row r="1186" spans="1:20" s="109" customFormat="1" x14ac:dyDescent="0.2">
      <c r="A1186" s="116"/>
      <c r="B1186" s="111"/>
      <c r="C1186" s="110" t="s">
        <v>4918</v>
      </c>
      <c r="D1186" s="110" t="s">
        <v>4919</v>
      </c>
      <c r="E1186" s="112" t="s">
        <v>4920</v>
      </c>
      <c r="F1186" s="111" t="s">
        <v>126</v>
      </c>
      <c r="G1186" s="133">
        <v>215</v>
      </c>
      <c r="H1186" s="124"/>
      <c r="I1186" s="133" t="str">
        <f>IF(H1186&gt;0,(#REF!*H1186),"-")</f>
        <v>-</v>
      </c>
      <c r="J1186" s="113">
        <v>2035</v>
      </c>
      <c r="K1186" s="110" t="s">
        <v>129</v>
      </c>
      <c r="L1186" s="110" t="s">
        <v>129</v>
      </c>
      <c r="M1186" s="110" t="s">
        <v>129</v>
      </c>
      <c r="N1186" s="110" t="s">
        <v>130</v>
      </c>
      <c r="O1186" s="110" t="s">
        <v>4921</v>
      </c>
      <c r="P1186" s="110" t="s">
        <v>137</v>
      </c>
      <c r="Q1186" s="110" t="s">
        <v>97</v>
      </c>
      <c r="R1186" s="121">
        <v>0.38600000000000001</v>
      </c>
      <c r="S1186" s="113" t="e">
        <f t="shared" si="36"/>
        <v>#VALUE!</v>
      </c>
      <c r="T1186" s="113">
        <f t="shared" si="37"/>
        <v>0</v>
      </c>
    </row>
    <row r="1187" spans="1:20" s="109" customFormat="1" x14ac:dyDescent="0.2">
      <c r="A1187" s="116"/>
      <c r="B1187" s="111"/>
      <c r="C1187" s="110" t="s">
        <v>4922</v>
      </c>
      <c r="D1187" s="110" t="s">
        <v>4923</v>
      </c>
      <c r="E1187" s="112" t="s">
        <v>4924</v>
      </c>
      <c r="F1187" s="111" t="s">
        <v>126</v>
      </c>
      <c r="G1187" s="133">
        <v>235</v>
      </c>
      <c r="H1187" s="124"/>
      <c r="I1187" s="133" t="str">
        <f>IF(H1187&gt;0,(#REF!*H1187),"-")</f>
        <v>-</v>
      </c>
      <c r="J1187" s="113">
        <v>1935</v>
      </c>
      <c r="K1187" s="110" t="s">
        <v>129</v>
      </c>
      <c r="L1187" s="110" t="s">
        <v>129</v>
      </c>
      <c r="M1187" s="110" t="s">
        <v>129</v>
      </c>
      <c r="N1187" s="110" t="s">
        <v>130</v>
      </c>
      <c r="O1187" s="110" t="s">
        <v>4925</v>
      </c>
      <c r="P1187" s="110" t="s">
        <v>137</v>
      </c>
      <c r="Q1187" s="110" t="s">
        <v>96</v>
      </c>
      <c r="R1187" s="121">
        <v>0.39300000000000002</v>
      </c>
      <c r="S1187" s="113" t="e">
        <f t="shared" si="36"/>
        <v>#VALUE!</v>
      </c>
      <c r="T1187" s="113">
        <f t="shared" si="37"/>
        <v>0</v>
      </c>
    </row>
    <row r="1188" spans="1:20" s="109" customFormat="1" x14ac:dyDescent="0.2">
      <c r="A1188" s="116"/>
      <c r="B1188" s="111"/>
      <c r="C1188" s="110" t="s">
        <v>4922</v>
      </c>
      <c r="D1188" s="110" t="s">
        <v>4926</v>
      </c>
      <c r="E1188" s="112" t="s">
        <v>4927</v>
      </c>
      <c r="F1188" s="111" t="s">
        <v>126</v>
      </c>
      <c r="G1188" s="133">
        <v>235</v>
      </c>
      <c r="H1188" s="124"/>
      <c r="I1188" s="133" t="str">
        <f>IF(H1188&gt;0,(#REF!*H1188),"-")</f>
        <v>-</v>
      </c>
      <c r="J1188" s="113">
        <v>1935</v>
      </c>
      <c r="K1188" s="110" t="s">
        <v>129</v>
      </c>
      <c r="L1188" s="110" t="s">
        <v>129</v>
      </c>
      <c r="M1188" s="110" t="s">
        <v>129</v>
      </c>
      <c r="N1188" s="110" t="s">
        <v>130</v>
      </c>
      <c r="O1188" s="110" t="s">
        <v>4928</v>
      </c>
      <c r="P1188" s="110" t="s">
        <v>137</v>
      </c>
      <c r="Q1188" s="110" t="s">
        <v>96</v>
      </c>
      <c r="R1188" s="121">
        <v>0.39300000000000002</v>
      </c>
      <c r="S1188" s="113" t="e">
        <f t="shared" si="36"/>
        <v>#VALUE!</v>
      </c>
      <c r="T1188" s="113">
        <f t="shared" si="37"/>
        <v>0</v>
      </c>
    </row>
    <row r="1189" spans="1:20" s="109" customFormat="1" x14ac:dyDescent="0.2">
      <c r="A1189" s="116"/>
      <c r="B1189" s="111"/>
      <c r="C1189" s="110" t="s">
        <v>4929</v>
      </c>
      <c r="D1189" s="110" t="s">
        <v>4930</v>
      </c>
      <c r="E1189" s="112" t="s">
        <v>4931</v>
      </c>
      <c r="F1189" s="111" t="s">
        <v>126</v>
      </c>
      <c r="G1189" s="133">
        <v>400</v>
      </c>
      <c r="H1189" s="124"/>
      <c r="I1189" s="133" t="str">
        <f>IF(H1189&gt;0,(#REF!*H1189),"-")</f>
        <v>-</v>
      </c>
      <c r="J1189" s="113">
        <v>4639</v>
      </c>
      <c r="K1189" s="110" t="s">
        <v>129</v>
      </c>
      <c r="L1189" s="110" t="s">
        <v>129</v>
      </c>
      <c r="M1189" s="110" t="s">
        <v>129</v>
      </c>
      <c r="N1189" s="110" t="s">
        <v>130</v>
      </c>
      <c r="O1189" s="110" t="s">
        <v>4932</v>
      </c>
      <c r="P1189" s="110" t="s">
        <v>137</v>
      </c>
      <c r="Q1189" s="110" t="s">
        <v>96</v>
      </c>
      <c r="R1189" s="121">
        <v>1.2589999999999999</v>
      </c>
      <c r="S1189" s="113" t="e">
        <f t="shared" si="36"/>
        <v>#VALUE!</v>
      </c>
      <c r="T1189" s="113">
        <f t="shared" si="37"/>
        <v>0</v>
      </c>
    </row>
    <row r="1190" spans="1:20" s="109" customFormat="1" x14ac:dyDescent="0.2">
      <c r="A1190" s="116"/>
      <c r="B1190" s="111"/>
      <c r="C1190" s="110" t="s">
        <v>4929</v>
      </c>
      <c r="D1190" s="110" t="s">
        <v>4933</v>
      </c>
      <c r="E1190" s="112" t="s">
        <v>4934</v>
      </c>
      <c r="F1190" s="111" t="s">
        <v>126</v>
      </c>
      <c r="G1190" s="133">
        <v>400</v>
      </c>
      <c r="H1190" s="124"/>
      <c r="I1190" s="133" t="str">
        <f>IF(H1190&gt;0,(#REF!*H1190),"-")</f>
        <v>-</v>
      </c>
      <c r="J1190" s="113">
        <v>4639</v>
      </c>
      <c r="K1190" s="110" t="s">
        <v>129</v>
      </c>
      <c r="L1190" s="110" t="s">
        <v>129</v>
      </c>
      <c r="M1190" s="110" t="s">
        <v>129</v>
      </c>
      <c r="N1190" s="110" t="s">
        <v>130</v>
      </c>
      <c r="O1190" s="110" t="s">
        <v>4935</v>
      </c>
      <c r="P1190" s="110" t="s">
        <v>137</v>
      </c>
      <c r="Q1190" s="110" t="s">
        <v>96</v>
      </c>
      <c r="R1190" s="121">
        <v>1.2589999999999999</v>
      </c>
      <c r="S1190" s="113" t="e">
        <f t="shared" si="36"/>
        <v>#VALUE!</v>
      </c>
      <c r="T1190" s="113">
        <f t="shared" si="37"/>
        <v>0</v>
      </c>
    </row>
    <row r="1191" spans="1:20" s="109" customFormat="1" x14ac:dyDescent="0.2">
      <c r="A1191" s="116"/>
      <c r="B1191" s="111"/>
      <c r="C1191" s="110" t="s">
        <v>4936</v>
      </c>
      <c r="D1191" s="110" t="s">
        <v>4937</v>
      </c>
      <c r="E1191" s="112" t="s">
        <v>4938</v>
      </c>
      <c r="F1191" s="111" t="s">
        <v>126</v>
      </c>
      <c r="G1191" s="133">
        <v>90</v>
      </c>
      <c r="H1191" s="124"/>
      <c r="I1191" s="133" t="str">
        <f>IF(H1191&gt;0,(#REF!*H1191),"-")</f>
        <v>-</v>
      </c>
      <c r="J1191" s="113">
        <v>1109</v>
      </c>
      <c r="K1191" s="110" t="s">
        <v>129</v>
      </c>
      <c r="L1191" s="110" t="s">
        <v>129</v>
      </c>
      <c r="M1191" s="110" t="s">
        <v>129</v>
      </c>
      <c r="N1191" s="110" t="s">
        <v>130</v>
      </c>
      <c r="O1191" s="110" t="s">
        <v>4939</v>
      </c>
      <c r="P1191" s="110" t="s">
        <v>137</v>
      </c>
      <c r="Q1191" s="110" t="s">
        <v>96</v>
      </c>
      <c r="R1191" s="121">
        <v>9.8199999999999996E-2</v>
      </c>
      <c r="S1191" s="113" t="e">
        <f t="shared" si="36"/>
        <v>#VALUE!</v>
      </c>
      <c r="T1191" s="113">
        <f t="shared" si="37"/>
        <v>0</v>
      </c>
    </row>
    <row r="1192" spans="1:20" s="109" customFormat="1" x14ac:dyDescent="0.2">
      <c r="A1192" s="116"/>
      <c r="B1192" s="111"/>
      <c r="C1192" s="110" t="s">
        <v>4940</v>
      </c>
      <c r="D1192" s="110" t="s">
        <v>4941</v>
      </c>
      <c r="E1192" s="112" t="s">
        <v>4942</v>
      </c>
      <c r="F1192" s="111" t="s">
        <v>126</v>
      </c>
      <c r="G1192" s="133">
        <v>90</v>
      </c>
      <c r="H1192" s="124"/>
      <c r="I1192" s="133" t="str">
        <f>IF(H1192&gt;0,(#REF!*H1192),"-")</f>
        <v>-</v>
      </c>
      <c r="J1192" s="113">
        <v>379</v>
      </c>
      <c r="K1192" s="110" t="s">
        <v>129</v>
      </c>
      <c r="L1192" s="110" t="s">
        <v>129</v>
      </c>
      <c r="M1192" s="110" t="s">
        <v>129</v>
      </c>
      <c r="N1192" s="110" t="s">
        <v>130</v>
      </c>
      <c r="O1192" s="110" t="s">
        <v>4943</v>
      </c>
      <c r="P1192" s="110" t="s">
        <v>132</v>
      </c>
      <c r="Q1192" s="110" t="s">
        <v>97</v>
      </c>
      <c r="R1192" s="121">
        <v>0.34599999999999997</v>
      </c>
      <c r="S1192" s="113" t="e">
        <f t="shared" si="36"/>
        <v>#VALUE!</v>
      </c>
      <c r="T1192" s="113">
        <f t="shared" si="37"/>
        <v>0</v>
      </c>
    </row>
    <row r="1193" spans="1:20" s="109" customFormat="1" x14ac:dyDescent="0.2">
      <c r="A1193" s="116"/>
      <c r="B1193" s="111"/>
      <c r="C1193" s="110" t="s">
        <v>4940</v>
      </c>
      <c r="D1193" s="110" t="s">
        <v>4944</v>
      </c>
      <c r="E1193" s="112" t="s">
        <v>4945</v>
      </c>
      <c r="F1193" s="111" t="s">
        <v>126</v>
      </c>
      <c r="G1193" s="133">
        <v>90</v>
      </c>
      <c r="H1193" s="124"/>
      <c r="I1193" s="133" t="str">
        <f>IF(H1193&gt;0,(#REF!*H1193),"-")</f>
        <v>-</v>
      </c>
      <c r="J1193" s="113">
        <v>379</v>
      </c>
      <c r="K1193" s="110" t="s">
        <v>129</v>
      </c>
      <c r="L1193" s="110" t="s">
        <v>129</v>
      </c>
      <c r="M1193" s="110" t="s">
        <v>129</v>
      </c>
      <c r="N1193" s="110" t="s">
        <v>130</v>
      </c>
      <c r="O1193" s="110" t="s">
        <v>4946</v>
      </c>
      <c r="P1193" s="110" t="s">
        <v>132</v>
      </c>
      <c r="Q1193" s="110" t="s">
        <v>97</v>
      </c>
      <c r="R1193" s="121">
        <v>0.34599999999999997</v>
      </c>
      <c r="S1193" s="113" t="e">
        <f t="shared" si="36"/>
        <v>#VALUE!</v>
      </c>
      <c r="T1193" s="113">
        <f t="shared" si="37"/>
        <v>0</v>
      </c>
    </row>
    <row r="1194" spans="1:20" s="109" customFormat="1" x14ac:dyDescent="0.2">
      <c r="A1194" s="116"/>
      <c r="B1194" s="111"/>
      <c r="C1194" s="110" t="s">
        <v>4947</v>
      </c>
      <c r="D1194" s="110" t="s">
        <v>4948</v>
      </c>
      <c r="E1194" s="112" t="s">
        <v>4949</v>
      </c>
      <c r="F1194" s="111" t="s">
        <v>126</v>
      </c>
      <c r="G1194" s="133">
        <v>37</v>
      </c>
      <c r="H1194" s="124"/>
      <c r="I1194" s="133" t="str">
        <f>IF(H1194&gt;0,(#REF!*H1194),"-")</f>
        <v>-</v>
      </c>
      <c r="J1194" s="113">
        <v>780</v>
      </c>
      <c r="K1194" s="110" t="s">
        <v>129</v>
      </c>
      <c r="L1194" s="110" t="s">
        <v>129</v>
      </c>
      <c r="M1194" s="110" t="s">
        <v>129</v>
      </c>
      <c r="N1194" s="110" t="s">
        <v>130</v>
      </c>
      <c r="O1194" s="110" t="s">
        <v>4950</v>
      </c>
      <c r="P1194" s="110" t="s">
        <v>197</v>
      </c>
      <c r="Q1194" s="110" t="s">
        <v>96</v>
      </c>
      <c r="R1194" s="121">
        <v>0.57999999999999996</v>
      </c>
      <c r="S1194" s="113" t="e">
        <f t="shared" si="36"/>
        <v>#VALUE!</v>
      </c>
      <c r="T1194" s="113">
        <f t="shared" si="37"/>
        <v>0</v>
      </c>
    </row>
    <row r="1195" spans="1:20" s="109" customFormat="1" x14ac:dyDescent="0.2">
      <c r="A1195" s="116"/>
      <c r="B1195" s="111" t="s">
        <v>207</v>
      </c>
      <c r="C1195" s="110" t="s">
        <v>4951</v>
      </c>
      <c r="D1195" s="110" t="s">
        <v>4952</v>
      </c>
      <c r="E1195" s="112" t="s">
        <v>4953</v>
      </c>
      <c r="F1195" s="111" t="s">
        <v>130</v>
      </c>
      <c r="G1195" s="133">
        <v>185</v>
      </c>
      <c r="H1195" s="124"/>
      <c r="I1195" s="133" t="str">
        <f>IF(H1195&gt;0,(#REF!*H1195),"-")</f>
        <v>-</v>
      </c>
      <c r="J1195" s="113">
        <v>1522</v>
      </c>
      <c r="K1195" s="110" t="s">
        <v>129</v>
      </c>
      <c r="L1195" s="110" t="s">
        <v>4954</v>
      </c>
      <c r="M1195" s="110" t="s">
        <v>129</v>
      </c>
      <c r="N1195" s="110" t="s">
        <v>130</v>
      </c>
      <c r="O1195" s="110" t="s">
        <v>4955</v>
      </c>
      <c r="P1195" s="110" t="s">
        <v>137</v>
      </c>
      <c r="Q1195" s="110" t="s">
        <v>96</v>
      </c>
      <c r="R1195" s="121">
        <v>0.19400000000000001</v>
      </c>
      <c r="S1195" s="113" t="e">
        <f t="shared" si="36"/>
        <v>#VALUE!</v>
      </c>
      <c r="T1195" s="113">
        <f t="shared" si="37"/>
        <v>0</v>
      </c>
    </row>
    <row r="1196" spans="1:20" s="109" customFormat="1" x14ac:dyDescent="0.2">
      <c r="A1196" s="116"/>
      <c r="B1196" s="111"/>
      <c r="C1196" s="110" t="s">
        <v>4956</v>
      </c>
      <c r="D1196" s="110" t="s">
        <v>4957</v>
      </c>
      <c r="E1196" s="112" t="s">
        <v>4958</v>
      </c>
      <c r="F1196" s="111" t="s">
        <v>126</v>
      </c>
      <c r="G1196" s="133">
        <v>110</v>
      </c>
      <c r="H1196" s="124"/>
      <c r="I1196" s="133" t="str">
        <f>IF(H1196&gt;0,(#REF!*H1196),"-")</f>
        <v>-</v>
      </c>
      <c r="J1196" s="113">
        <v>968</v>
      </c>
      <c r="K1196" s="110" t="s">
        <v>129</v>
      </c>
      <c r="L1196" s="110" t="s">
        <v>473</v>
      </c>
      <c r="M1196" s="110" t="s">
        <v>129</v>
      </c>
      <c r="N1196" s="110" t="s">
        <v>130</v>
      </c>
      <c r="O1196" s="110" t="s">
        <v>4959</v>
      </c>
      <c r="P1196" s="110" t="s">
        <v>137</v>
      </c>
      <c r="Q1196" s="110" t="s">
        <v>96</v>
      </c>
      <c r="R1196" s="121">
        <v>0.21099999999999999</v>
      </c>
      <c r="S1196" s="113" t="e">
        <f t="shared" si="36"/>
        <v>#VALUE!</v>
      </c>
      <c r="T1196" s="113">
        <f t="shared" si="37"/>
        <v>0</v>
      </c>
    </row>
    <row r="1197" spans="1:20" s="109" customFormat="1" x14ac:dyDescent="0.2">
      <c r="A1197" s="116"/>
      <c r="B1197" s="111"/>
      <c r="C1197" s="110" t="s">
        <v>4960</v>
      </c>
      <c r="D1197" s="110" t="s">
        <v>4961</v>
      </c>
      <c r="E1197" s="112" t="s">
        <v>4962</v>
      </c>
      <c r="F1197" s="111" t="s">
        <v>126</v>
      </c>
      <c r="G1197" s="133">
        <v>110</v>
      </c>
      <c r="H1197" s="124"/>
      <c r="I1197" s="133" t="str">
        <f>IF(H1197&gt;0,(#REF!*H1197),"-")</f>
        <v>-</v>
      </c>
      <c r="J1197" s="113">
        <v>968</v>
      </c>
      <c r="K1197" s="110" t="s">
        <v>129</v>
      </c>
      <c r="L1197" s="110" t="s">
        <v>473</v>
      </c>
      <c r="M1197" s="110" t="s">
        <v>129</v>
      </c>
      <c r="N1197" s="110" t="s">
        <v>130</v>
      </c>
      <c r="O1197" s="110" t="s">
        <v>4963</v>
      </c>
      <c r="P1197" s="110" t="s">
        <v>137</v>
      </c>
      <c r="Q1197" s="110" t="s">
        <v>96</v>
      </c>
      <c r="R1197" s="121">
        <v>0.21099999999999999</v>
      </c>
      <c r="S1197" s="113" t="e">
        <f t="shared" si="36"/>
        <v>#VALUE!</v>
      </c>
      <c r="T1197" s="113">
        <f t="shared" si="37"/>
        <v>0</v>
      </c>
    </row>
    <row r="1198" spans="1:20" s="109" customFormat="1" x14ac:dyDescent="0.2">
      <c r="A1198" s="116"/>
      <c r="B1198" s="111" t="s">
        <v>202</v>
      </c>
      <c r="C1198" s="110" t="s">
        <v>4964</v>
      </c>
      <c r="D1198" s="110" t="s">
        <v>4965</v>
      </c>
      <c r="E1198" s="112" t="s">
        <v>4966</v>
      </c>
      <c r="F1198" s="111" t="s">
        <v>130</v>
      </c>
      <c r="G1198" s="133">
        <v>110</v>
      </c>
      <c r="H1198" s="124"/>
      <c r="I1198" s="133" t="str">
        <f>IF(H1198&gt;0,(#REF!*H1198),"-")</f>
        <v>-</v>
      </c>
      <c r="J1198" s="113">
        <v>968</v>
      </c>
      <c r="K1198" s="110" t="s">
        <v>129</v>
      </c>
      <c r="L1198" s="110" t="s">
        <v>473</v>
      </c>
      <c r="M1198" s="110" t="s">
        <v>129</v>
      </c>
      <c r="N1198" s="110" t="s">
        <v>130</v>
      </c>
      <c r="O1198" s="110" t="s">
        <v>4967</v>
      </c>
      <c r="P1198" s="110" t="s">
        <v>137</v>
      </c>
      <c r="Q1198" s="110" t="s">
        <v>96</v>
      </c>
      <c r="R1198" s="121">
        <v>0.20699999999999999</v>
      </c>
      <c r="S1198" s="113" t="e">
        <f t="shared" si="36"/>
        <v>#VALUE!</v>
      </c>
      <c r="T1198" s="113">
        <f t="shared" si="37"/>
        <v>0</v>
      </c>
    </row>
    <row r="1199" spans="1:20" s="109" customFormat="1" x14ac:dyDescent="0.2">
      <c r="A1199" s="116"/>
      <c r="B1199" s="111" t="s">
        <v>202</v>
      </c>
      <c r="C1199" s="110" t="s">
        <v>4968</v>
      </c>
      <c r="D1199" s="110" t="s">
        <v>4969</v>
      </c>
      <c r="E1199" s="112" t="s">
        <v>4970</v>
      </c>
      <c r="F1199" s="111" t="s">
        <v>130</v>
      </c>
      <c r="G1199" s="133">
        <v>110</v>
      </c>
      <c r="H1199" s="124"/>
      <c r="I1199" s="133" t="str">
        <f>IF(H1199&gt;0,(#REF!*H1199),"-")</f>
        <v>-</v>
      </c>
      <c r="J1199" s="113">
        <v>968</v>
      </c>
      <c r="K1199" s="110" t="s">
        <v>129</v>
      </c>
      <c r="L1199" s="110" t="s">
        <v>473</v>
      </c>
      <c r="M1199" s="110" t="s">
        <v>129</v>
      </c>
      <c r="N1199" s="110" t="s">
        <v>130</v>
      </c>
      <c r="O1199" s="110" t="s">
        <v>4971</v>
      </c>
      <c r="P1199" s="110" t="s">
        <v>137</v>
      </c>
      <c r="Q1199" s="110" t="s">
        <v>96</v>
      </c>
      <c r="R1199" s="121">
        <v>0.22</v>
      </c>
      <c r="S1199" s="113" t="e">
        <f t="shared" si="36"/>
        <v>#VALUE!</v>
      </c>
      <c r="T1199" s="113">
        <f t="shared" si="37"/>
        <v>0</v>
      </c>
    </row>
    <row r="1200" spans="1:20" s="109" customFormat="1" x14ac:dyDescent="0.2">
      <c r="A1200" s="116"/>
      <c r="B1200" s="111" t="s">
        <v>202</v>
      </c>
      <c r="C1200" s="110" t="s">
        <v>4972</v>
      </c>
      <c r="D1200" s="110" t="s">
        <v>4973</v>
      </c>
      <c r="E1200" s="112" t="s">
        <v>4974</v>
      </c>
      <c r="F1200" s="111" t="s">
        <v>130</v>
      </c>
      <c r="G1200" s="133">
        <v>110</v>
      </c>
      <c r="H1200" s="124"/>
      <c r="I1200" s="133" t="str">
        <f>IF(H1200&gt;0,(#REF!*H1200),"-")</f>
        <v>-</v>
      </c>
      <c r="J1200" s="113">
        <v>968</v>
      </c>
      <c r="K1200" s="110" t="s">
        <v>129</v>
      </c>
      <c r="L1200" s="110" t="s">
        <v>473</v>
      </c>
      <c r="M1200" s="110" t="s">
        <v>129</v>
      </c>
      <c r="N1200" s="110" t="s">
        <v>130</v>
      </c>
      <c r="O1200" s="110" t="s">
        <v>4975</v>
      </c>
      <c r="P1200" s="110" t="s">
        <v>137</v>
      </c>
      <c r="Q1200" s="110" t="s">
        <v>96</v>
      </c>
      <c r="R1200" s="121">
        <v>0.22</v>
      </c>
      <c r="S1200" s="113" t="e">
        <f t="shared" si="36"/>
        <v>#VALUE!</v>
      </c>
      <c r="T1200" s="113">
        <f t="shared" si="37"/>
        <v>0</v>
      </c>
    </row>
    <row r="1201" spans="1:20" s="109" customFormat="1" x14ac:dyDescent="0.2">
      <c r="A1201" s="116"/>
      <c r="B1201" s="111"/>
      <c r="C1201" s="110" t="s">
        <v>4976</v>
      </c>
      <c r="D1201" s="110" t="s">
        <v>4977</v>
      </c>
      <c r="E1201" s="112" t="s">
        <v>4978</v>
      </c>
      <c r="F1201" s="111" t="s">
        <v>126</v>
      </c>
      <c r="G1201" s="133">
        <v>140</v>
      </c>
      <c r="H1201" s="124"/>
      <c r="I1201" s="133" t="str">
        <f>IF(H1201&gt;0,(#REF!*H1201),"-")</f>
        <v>-</v>
      </c>
      <c r="J1201" s="113">
        <v>1046</v>
      </c>
      <c r="K1201" s="110" t="s">
        <v>129</v>
      </c>
      <c r="L1201" s="110" t="s">
        <v>473</v>
      </c>
      <c r="M1201" s="110" t="s">
        <v>129</v>
      </c>
      <c r="N1201" s="110" t="s">
        <v>130</v>
      </c>
      <c r="O1201" s="110" t="s">
        <v>4979</v>
      </c>
      <c r="P1201" s="110" t="s">
        <v>137</v>
      </c>
      <c r="Q1201" s="110" t="s">
        <v>96</v>
      </c>
      <c r="R1201" s="121">
        <v>0.155</v>
      </c>
      <c r="S1201" s="113" t="e">
        <f t="shared" si="36"/>
        <v>#VALUE!</v>
      </c>
      <c r="T1201" s="113">
        <f t="shared" si="37"/>
        <v>0</v>
      </c>
    </row>
    <row r="1202" spans="1:20" s="109" customFormat="1" x14ac:dyDescent="0.2">
      <c r="A1202" s="116"/>
      <c r="B1202" s="111"/>
      <c r="C1202" s="110" t="s">
        <v>4980</v>
      </c>
      <c r="D1202" s="110" t="s">
        <v>4981</v>
      </c>
      <c r="E1202" s="112" t="s">
        <v>4982</v>
      </c>
      <c r="F1202" s="111" t="s">
        <v>126</v>
      </c>
      <c r="G1202" s="133">
        <v>140</v>
      </c>
      <c r="H1202" s="124"/>
      <c r="I1202" s="133" t="str">
        <f>IF(H1202&gt;0,(#REF!*H1202),"-")</f>
        <v>-</v>
      </c>
      <c r="J1202" s="113">
        <v>1384</v>
      </c>
      <c r="K1202" s="110" t="s">
        <v>129</v>
      </c>
      <c r="L1202" s="110" t="s">
        <v>473</v>
      </c>
      <c r="M1202" s="110" t="s">
        <v>129</v>
      </c>
      <c r="N1202" s="110" t="s">
        <v>130</v>
      </c>
      <c r="O1202" s="110" t="s">
        <v>4983</v>
      </c>
      <c r="P1202" s="110" t="s">
        <v>137</v>
      </c>
      <c r="Q1202" s="110" t="s">
        <v>96</v>
      </c>
      <c r="R1202" s="121">
        <v>0.16020000000000001</v>
      </c>
      <c r="S1202" s="113" t="e">
        <f t="shared" si="36"/>
        <v>#VALUE!</v>
      </c>
      <c r="T1202" s="113">
        <f t="shared" si="37"/>
        <v>0</v>
      </c>
    </row>
    <row r="1203" spans="1:20" s="109" customFormat="1" x14ac:dyDescent="0.2">
      <c r="A1203" s="116"/>
      <c r="B1203" s="111"/>
      <c r="C1203" s="110" t="s">
        <v>4984</v>
      </c>
      <c r="D1203" s="110" t="s">
        <v>4985</v>
      </c>
      <c r="E1203" s="112" t="s">
        <v>4986</v>
      </c>
      <c r="F1203" s="111" t="s">
        <v>126</v>
      </c>
      <c r="G1203" s="133">
        <v>360</v>
      </c>
      <c r="H1203" s="124"/>
      <c r="I1203" s="133" t="str">
        <f>IF(H1203&gt;0,(#REF!*H1203),"-")</f>
        <v>-</v>
      </c>
      <c r="J1203" s="113">
        <v>2930</v>
      </c>
      <c r="K1203" s="110" t="s">
        <v>129</v>
      </c>
      <c r="L1203" s="110" t="s">
        <v>4987</v>
      </c>
      <c r="M1203" s="110" t="s">
        <v>129</v>
      </c>
      <c r="N1203" s="110" t="s">
        <v>4988</v>
      </c>
      <c r="O1203" s="110" t="s">
        <v>4989</v>
      </c>
      <c r="P1203" s="110" t="s">
        <v>137</v>
      </c>
      <c r="Q1203" s="110" t="s">
        <v>96</v>
      </c>
      <c r="R1203" s="121">
        <v>0.41699999999999998</v>
      </c>
      <c r="S1203" s="113" t="e">
        <f t="shared" si="36"/>
        <v>#VALUE!</v>
      </c>
      <c r="T1203" s="113">
        <f t="shared" si="37"/>
        <v>0</v>
      </c>
    </row>
    <row r="1204" spans="1:20" s="109" customFormat="1" x14ac:dyDescent="0.2">
      <c r="A1204" s="116"/>
      <c r="B1204" s="111"/>
      <c r="C1204" s="110" t="s">
        <v>4990</v>
      </c>
      <c r="D1204" s="110" t="s">
        <v>4991</v>
      </c>
      <c r="E1204" s="112" t="s">
        <v>4992</v>
      </c>
      <c r="F1204" s="111" t="s">
        <v>126</v>
      </c>
      <c r="G1204" s="133">
        <v>180</v>
      </c>
      <c r="H1204" s="124"/>
      <c r="I1204" s="133" t="str">
        <f>IF(H1204&gt;0,(#REF!*H1204),"-")</f>
        <v>-</v>
      </c>
      <c r="J1204" s="113">
        <v>2928</v>
      </c>
      <c r="K1204" s="110" t="s">
        <v>129</v>
      </c>
      <c r="L1204" s="110" t="s">
        <v>4987</v>
      </c>
      <c r="M1204" s="110" t="s">
        <v>129</v>
      </c>
      <c r="N1204" s="110" t="s">
        <v>130</v>
      </c>
      <c r="O1204" s="110" t="s">
        <v>4993</v>
      </c>
      <c r="P1204" s="110" t="s">
        <v>137</v>
      </c>
      <c r="Q1204" s="110" t="s">
        <v>96</v>
      </c>
      <c r="R1204" s="121">
        <v>0.34399999999999997</v>
      </c>
      <c r="S1204" s="113" t="e">
        <f t="shared" si="36"/>
        <v>#VALUE!</v>
      </c>
      <c r="T1204" s="113">
        <f t="shared" si="37"/>
        <v>0</v>
      </c>
    </row>
    <row r="1205" spans="1:20" s="109" customFormat="1" x14ac:dyDescent="0.2">
      <c r="A1205" s="116"/>
      <c r="B1205" s="111"/>
      <c r="C1205" s="110" t="s">
        <v>4994</v>
      </c>
      <c r="D1205" s="110" t="s">
        <v>4995</v>
      </c>
      <c r="E1205" s="112" t="s">
        <v>4996</v>
      </c>
      <c r="F1205" s="111" t="s">
        <v>126</v>
      </c>
      <c r="G1205" s="133">
        <v>140</v>
      </c>
      <c r="H1205" s="124"/>
      <c r="I1205" s="133" t="str">
        <f>IF(H1205&gt;0,(#REF!*H1205),"-")</f>
        <v>-</v>
      </c>
      <c r="J1205" s="113">
        <v>1046</v>
      </c>
      <c r="K1205" s="110" t="s">
        <v>129</v>
      </c>
      <c r="L1205" s="110" t="s">
        <v>4997</v>
      </c>
      <c r="M1205" s="110" t="s">
        <v>129</v>
      </c>
      <c r="N1205" s="110" t="s">
        <v>130</v>
      </c>
      <c r="O1205" s="110" t="s">
        <v>4998</v>
      </c>
      <c r="P1205" s="110" t="s">
        <v>137</v>
      </c>
      <c r="Q1205" s="110" t="s">
        <v>96</v>
      </c>
      <c r="R1205" s="121">
        <v>0.14199999999999999</v>
      </c>
      <c r="S1205" s="113" t="e">
        <f t="shared" si="36"/>
        <v>#VALUE!</v>
      </c>
      <c r="T1205" s="113">
        <f t="shared" si="37"/>
        <v>0</v>
      </c>
    </row>
    <row r="1206" spans="1:20" s="109" customFormat="1" x14ac:dyDescent="0.2">
      <c r="A1206" s="116"/>
      <c r="B1206" s="111"/>
      <c r="C1206" s="110" t="s">
        <v>4999</v>
      </c>
      <c r="D1206" s="110" t="s">
        <v>5000</v>
      </c>
      <c r="E1206" s="112" t="s">
        <v>5001</v>
      </c>
      <c r="F1206" s="111" t="s">
        <v>126</v>
      </c>
      <c r="G1206" s="133">
        <v>270</v>
      </c>
      <c r="H1206" s="124"/>
      <c r="I1206" s="133" t="str">
        <f>IF(H1206&gt;0,(#REF!*H1206),"-")</f>
        <v>-</v>
      </c>
      <c r="J1206" s="113">
        <v>2950</v>
      </c>
      <c r="K1206" s="110" t="s">
        <v>129</v>
      </c>
      <c r="L1206" s="110" t="s">
        <v>5002</v>
      </c>
      <c r="M1206" s="110" t="s">
        <v>129</v>
      </c>
      <c r="N1206" s="110" t="s">
        <v>130</v>
      </c>
      <c r="O1206" s="110" t="s">
        <v>5003</v>
      </c>
      <c r="P1206" s="110" t="s">
        <v>137</v>
      </c>
      <c r="Q1206" s="110" t="s">
        <v>96</v>
      </c>
      <c r="R1206" s="121">
        <v>0.34699999999999998</v>
      </c>
      <c r="S1206" s="113" t="e">
        <f t="shared" si="36"/>
        <v>#VALUE!</v>
      </c>
      <c r="T1206" s="113">
        <f t="shared" si="37"/>
        <v>0</v>
      </c>
    </row>
    <row r="1207" spans="1:20" s="109" customFormat="1" x14ac:dyDescent="0.2">
      <c r="A1207" s="116"/>
      <c r="B1207" s="111"/>
      <c r="C1207" s="110" t="s">
        <v>5004</v>
      </c>
      <c r="D1207" s="110" t="s">
        <v>5005</v>
      </c>
      <c r="E1207" s="112" t="s">
        <v>5006</v>
      </c>
      <c r="F1207" s="111" t="s">
        <v>126</v>
      </c>
      <c r="G1207" s="133">
        <v>270</v>
      </c>
      <c r="H1207" s="124"/>
      <c r="I1207" s="133" t="str">
        <f>IF(H1207&gt;0,(#REF!*H1207),"-")</f>
        <v>-</v>
      </c>
      <c r="J1207" s="113">
        <v>2975</v>
      </c>
      <c r="K1207" s="110" t="s">
        <v>129</v>
      </c>
      <c r="L1207" s="110" t="s">
        <v>5002</v>
      </c>
      <c r="M1207" s="110" t="s">
        <v>129</v>
      </c>
      <c r="N1207" s="110" t="s">
        <v>130</v>
      </c>
      <c r="O1207" s="110" t="s">
        <v>5007</v>
      </c>
      <c r="P1207" s="110" t="s">
        <v>137</v>
      </c>
      <c r="Q1207" s="110" t="s">
        <v>96</v>
      </c>
      <c r="R1207" s="121">
        <v>0.34699999999999998</v>
      </c>
      <c r="S1207" s="113" t="e">
        <f t="shared" si="36"/>
        <v>#VALUE!</v>
      </c>
      <c r="T1207" s="113">
        <f t="shared" si="37"/>
        <v>0</v>
      </c>
    </row>
    <row r="1208" spans="1:20" s="109" customFormat="1" x14ac:dyDescent="0.2">
      <c r="A1208" s="116"/>
      <c r="B1208" s="111"/>
      <c r="C1208" s="110" t="s">
        <v>5008</v>
      </c>
      <c r="D1208" s="110" t="s">
        <v>5009</v>
      </c>
      <c r="E1208" s="112" t="s">
        <v>5010</v>
      </c>
      <c r="F1208" s="111" t="s">
        <v>126</v>
      </c>
      <c r="G1208" s="133">
        <v>135</v>
      </c>
      <c r="H1208" s="124"/>
      <c r="I1208" s="133" t="str">
        <f>IF(H1208&gt;0,(#REF!*H1208),"-")</f>
        <v>-</v>
      </c>
      <c r="J1208" s="113">
        <v>918</v>
      </c>
      <c r="K1208" s="110" t="s">
        <v>129</v>
      </c>
      <c r="L1208" s="110" t="s">
        <v>5002</v>
      </c>
      <c r="M1208" s="110" t="s">
        <v>129</v>
      </c>
      <c r="N1208" s="110" t="s">
        <v>130</v>
      </c>
      <c r="O1208" s="110" t="s">
        <v>5011</v>
      </c>
      <c r="P1208" s="110" t="s">
        <v>958</v>
      </c>
      <c r="Q1208" s="110" t="s">
        <v>96</v>
      </c>
      <c r="R1208" s="121">
        <v>0.48880000000000001</v>
      </c>
      <c r="S1208" s="113" t="e">
        <f t="shared" si="36"/>
        <v>#VALUE!</v>
      </c>
      <c r="T1208" s="113">
        <f t="shared" si="37"/>
        <v>0</v>
      </c>
    </row>
    <row r="1209" spans="1:20" s="109" customFormat="1" x14ac:dyDescent="0.2">
      <c r="A1209" s="116"/>
      <c r="B1209" s="111"/>
      <c r="C1209" s="110" t="s">
        <v>5012</v>
      </c>
      <c r="D1209" s="110" t="s">
        <v>5013</v>
      </c>
      <c r="E1209" s="112" t="s">
        <v>5014</v>
      </c>
      <c r="F1209" s="111" t="s">
        <v>126</v>
      </c>
      <c r="G1209" s="133">
        <v>100</v>
      </c>
      <c r="H1209" s="124"/>
      <c r="I1209" s="133" t="str">
        <f>IF(H1209&gt;0,(#REF!*H1209),"-")</f>
        <v>-</v>
      </c>
      <c r="J1209" s="113">
        <v>295</v>
      </c>
      <c r="K1209" s="110" t="s">
        <v>129</v>
      </c>
      <c r="L1209" s="110" t="s">
        <v>283</v>
      </c>
      <c r="M1209" s="110" t="s">
        <v>129</v>
      </c>
      <c r="N1209" s="110" t="s">
        <v>130</v>
      </c>
      <c r="O1209" s="110" t="s">
        <v>5015</v>
      </c>
      <c r="P1209" s="110" t="s">
        <v>400</v>
      </c>
      <c r="Q1209" s="110" t="s">
        <v>97</v>
      </c>
      <c r="R1209" s="121">
        <v>0.17580000000000001</v>
      </c>
      <c r="S1209" s="113" t="e">
        <f t="shared" si="36"/>
        <v>#VALUE!</v>
      </c>
      <c r="T1209" s="113">
        <f t="shared" si="37"/>
        <v>0</v>
      </c>
    </row>
    <row r="1210" spans="1:20" s="109" customFormat="1" x14ac:dyDescent="0.2">
      <c r="A1210" s="116"/>
      <c r="B1210" s="111"/>
      <c r="C1210" s="110" t="s">
        <v>5016</v>
      </c>
      <c r="D1210" s="110" t="s">
        <v>5017</v>
      </c>
      <c r="E1210" s="112" t="s">
        <v>5018</v>
      </c>
      <c r="F1210" s="111" t="s">
        <v>126</v>
      </c>
      <c r="G1210" s="133">
        <v>60</v>
      </c>
      <c r="H1210" s="124"/>
      <c r="I1210" s="133" t="str">
        <f>IF(H1210&gt;0,(#REF!*H1210),"-")</f>
        <v>-</v>
      </c>
      <c r="J1210" s="113">
        <v>93</v>
      </c>
      <c r="K1210" s="110" t="s">
        <v>129</v>
      </c>
      <c r="L1210" s="110" t="s">
        <v>283</v>
      </c>
      <c r="M1210" s="110" t="s">
        <v>129</v>
      </c>
      <c r="N1210" s="110" t="s">
        <v>130</v>
      </c>
      <c r="O1210" s="110" t="s">
        <v>5019</v>
      </c>
      <c r="P1210" s="110" t="s">
        <v>589</v>
      </c>
      <c r="Q1210" s="110" t="s">
        <v>97</v>
      </c>
      <c r="R1210" s="121">
        <v>6.2E-2</v>
      </c>
      <c r="S1210" s="113" t="e">
        <f t="shared" si="36"/>
        <v>#VALUE!</v>
      </c>
      <c r="T1210" s="113">
        <f t="shared" si="37"/>
        <v>0</v>
      </c>
    </row>
    <row r="1211" spans="1:20" s="109" customFormat="1" x14ac:dyDescent="0.2">
      <c r="A1211" s="116"/>
      <c r="B1211" s="111"/>
      <c r="C1211" s="110" t="s">
        <v>5020</v>
      </c>
      <c r="D1211" s="110" t="s">
        <v>5021</v>
      </c>
      <c r="E1211" s="112" t="s">
        <v>5022</v>
      </c>
      <c r="F1211" s="111" t="s">
        <v>126</v>
      </c>
      <c r="G1211" s="133">
        <v>155</v>
      </c>
      <c r="H1211" s="124"/>
      <c r="I1211" s="133" t="str">
        <f>IF(H1211&gt;0,(#REF!*H1211),"-")</f>
        <v>-</v>
      </c>
      <c r="J1211" s="113">
        <v>1197</v>
      </c>
      <c r="K1211" s="110" t="s">
        <v>129</v>
      </c>
      <c r="L1211" s="110" t="s">
        <v>283</v>
      </c>
      <c r="M1211" s="110" t="s">
        <v>129</v>
      </c>
      <c r="N1211" s="110" t="s">
        <v>130</v>
      </c>
      <c r="O1211" s="110" t="s">
        <v>5023</v>
      </c>
      <c r="P1211" s="110" t="s">
        <v>137</v>
      </c>
      <c r="Q1211" s="110" t="s">
        <v>96</v>
      </c>
      <c r="R1211" s="121">
        <v>0.18690000000000001</v>
      </c>
      <c r="S1211" s="113" t="e">
        <f t="shared" si="36"/>
        <v>#VALUE!</v>
      </c>
      <c r="T1211" s="113">
        <f t="shared" si="37"/>
        <v>0</v>
      </c>
    </row>
    <row r="1212" spans="1:20" s="109" customFormat="1" x14ac:dyDescent="0.2">
      <c r="A1212" s="116"/>
      <c r="B1212" s="111"/>
      <c r="C1212" s="110" t="s">
        <v>5024</v>
      </c>
      <c r="D1212" s="110" t="s">
        <v>5025</v>
      </c>
      <c r="E1212" s="112" t="s">
        <v>5026</v>
      </c>
      <c r="F1212" s="111" t="s">
        <v>126</v>
      </c>
      <c r="G1212" s="133">
        <v>155</v>
      </c>
      <c r="H1212" s="124"/>
      <c r="I1212" s="133" t="str">
        <f>IF(H1212&gt;0,(#REF!*H1212),"-")</f>
        <v>-</v>
      </c>
      <c r="J1212" s="113">
        <v>1197</v>
      </c>
      <c r="K1212" s="110" t="s">
        <v>129</v>
      </c>
      <c r="L1212" s="110" t="s">
        <v>283</v>
      </c>
      <c r="M1212" s="110" t="s">
        <v>129</v>
      </c>
      <c r="N1212" s="110" t="s">
        <v>130</v>
      </c>
      <c r="O1212" s="110" t="s">
        <v>5027</v>
      </c>
      <c r="P1212" s="110" t="s">
        <v>137</v>
      </c>
      <c r="Q1212" s="110" t="s">
        <v>96</v>
      </c>
      <c r="R1212" s="121">
        <v>0.17810000000000001</v>
      </c>
      <c r="S1212" s="113" t="e">
        <f t="shared" si="36"/>
        <v>#VALUE!</v>
      </c>
      <c r="T1212" s="113">
        <f t="shared" si="37"/>
        <v>0</v>
      </c>
    </row>
    <row r="1213" spans="1:20" s="109" customFormat="1" x14ac:dyDescent="0.2">
      <c r="A1213" s="116"/>
      <c r="B1213" s="111"/>
      <c r="C1213" s="110" t="s">
        <v>5028</v>
      </c>
      <c r="D1213" s="110" t="s">
        <v>5029</v>
      </c>
      <c r="E1213" s="112" t="s">
        <v>5030</v>
      </c>
      <c r="F1213" s="111" t="s">
        <v>126</v>
      </c>
      <c r="G1213" s="133">
        <v>185</v>
      </c>
      <c r="H1213" s="124"/>
      <c r="I1213" s="133" t="str">
        <f>IF(H1213&gt;0,(#REF!*H1213),"-")</f>
        <v>-</v>
      </c>
      <c r="J1213" s="113">
        <v>1216</v>
      </c>
      <c r="K1213" s="110" t="s">
        <v>129</v>
      </c>
      <c r="L1213" s="110" t="s">
        <v>283</v>
      </c>
      <c r="M1213" s="110" t="s">
        <v>129</v>
      </c>
      <c r="N1213" s="110" t="s">
        <v>130</v>
      </c>
      <c r="O1213" s="110" t="s">
        <v>5031</v>
      </c>
      <c r="P1213" s="110" t="s">
        <v>137</v>
      </c>
      <c r="Q1213" s="110" t="s">
        <v>96</v>
      </c>
      <c r="R1213" s="121">
        <v>0.1295</v>
      </c>
      <c r="S1213" s="113" t="e">
        <f t="shared" si="36"/>
        <v>#VALUE!</v>
      </c>
      <c r="T1213" s="113">
        <f t="shared" si="37"/>
        <v>0</v>
      </c>
    </row>
    <row r="1214" spans="1:20" s="109" customFormat="1" x14ac:dyDescent="0.2">
      <c r="A1214" s="116"/>
      <c r="B1214" s="111"/>
      <c r="C1214" s="110" t="s">
        <v>5032</v>
      </c>
      <c r="D1214" s="110" t="s">
        <v>5033</v>
      </c>
      <c r="E1214" s="112" t="s">
        <v>5034</v>
      </c>
      <c r="F1214" s="111" t="s">
        <v>126</v>
      </c>
      <c r="G1214" s="133">
        <v>185</v>
      </c>
      <c r="H1214" s="124"/>
      <c r="I1214" s="133" t="str">
        <f>IF(H1214&gt;0,(#REF!*H1214),"-")</f>
        <v>-</v>
      </c>
      <c r="J1214" s="113">
        <v>1256</v>
      </c>
      <c r="K1214" s="110" t="s">
        <v>129</v>
      </c>
      <c r="L1214" s="110" t="s">
        <v>283</v>
      </c>
      <c r="M1214" s="110" t="s">
        <v>129</v>
      </c>
      <c r="N1214" s="110" t="s">
        <v>130</v>
      </c>
      <c r="O1214" s="110" t="s">
        <v>5035</v>
      </c>
      <c r="P1214" s="110" t="s">
        <v>137</v>
      </c>
      <c r="Q1214" s="110" t="s">
        <v>96</v>
      </c>
      <c r="R1214" s="121">
        <v>0.17430000000000001</v>
      </c>
      <c r="S1214" s="113" t="e">
        <f t="shared" si="36"/>
        <v>#VALUE!</v>
      </c>
      <c r="T1214" s="113">
        <f t="shared" si="37"/>
        <v>0</v>
      </c>
    </row>
    <row r="1215" spans="1:20" s="109" customFormat="1" x14ac:dyDescent="0.2">
      <c r="A1215" s="116"/>
      <c r="B1215" s="111" t="s">
        <v>289</v>
      </c>
      <c r="C1215" s="110" t="s">
        <v>5036</v>
      </c>
      <c r="D1215" s="110" t="s">
        <v>5037</v>
      </c>
      <c r="E1215" s="112" t="s">
        <v>5038</v>
      </c>
      <c r="F1215" s="111" t="s">
        <v>130</v>
      </c>
      <c r="G1215" s="133">
        <v>110</v>
      </c>
      <c r="H1215" s="124"/>
      <c r="I1215" s="133" t="str">
        <f>IF(H1215&gt;0,(#REF!*H1215),"-")</f>
        <v>-</v>
      </c>
      <c r="J1215" s="113">
        <v>977</v>
      </c>
      <c r="K1215" s="110" t="s">
        <v>129</v>
      </c>
      <c r="L1215" s="110" t="s">
        <v>5039</v>
      </c>
      <c r="M1215" s="110" t="s">
        <v>129</v>
      </c>
      <c r="N1215" s="110" t="s">
        <v>130</v>
      </c>
      <c r="O1215" s="110" t="s">
        <v>5040</v>
      </c>
      <c r="P1215" s="110" t="s">
        <v>137</v>
      </c>
      <c r="Q1215" s="110" t="s">
        <v>96</v>
      </c>
      <c r="R1215" s="121">
        <v>0.21</v>
      </c>
      <c r="S1215" s="113" t="e">
        <f t="shared" si="36"/>
        <v>#VALUE!</v>
      </c>
      <c r="T1215" s="113">
        <f t="shared" si="37"/>
        <v>0</v>
      </c>
    </row>
    <row r="1216" spans="1:20" s="109" customFormat="1" x14ac:dyDescent="0.2">
      <c r="A1216" s="116"/>
      <c r="B1216" s="111" t="s">
        <v>289</v>
      </c>
      <c r="C1216" s="110" t="s">
        <v>5041</v>
      </c>
      <c r="D1216" s="110" t="s">
        <v>5042</v>
      </c>
      <c r="E1216" s="112" t="s">
        <v>5043</v>
      </c>
      <c r="F1216" s="111" t="s">
        <v>130</v>
      </c>
      <c r="G1216" s="133">
        <v>110</v>
      </c>
      <c r="H1216" s="124"/>
      <c r="I1216" s="133" t="str">
        <f>IF(H1216&gt;0,(#REF!*H1216),"-")</f>
        <v>-</v>
      </c>
      <c r="J1216" s="113">
        <v>977</v>
      </c>
      <c r="K1216" s="110" t="s">
        <v>129</v>
      </c>
      <c r="L1216" s="110" t="s">
        <v>5039</v>
      </c>
      <c r="M1216" s="110" t="s">
        <v>129</v>
      </c>
      <c r="N1216" s="110" t="s">
        <v>130</v>
      </c>
      <c r="O1216" s="110" t="s">
        <v>5044</v>
      </c>
      <c r="P1216" s="110" t="s">
        <v>137</v>
      </c>
      <c r="Q1216" s="110" t="s">
        <v>96</v>
      </c>
      <c r="R1216" s="121">
        <v>0.21</v>
      </c>
      <c r="S1216" s="113" t="e">
        <f t="shared" si="36"/>
        <v>#VALUE!</v>
      </c>
      <c r="T1216" s="113">
        <f t="shared" si="37"/>
        <v>0</v>
      </c>
    </row>
    <row r="1217" spans="1:20" s="109" customFormat="1" x14ac:dyDescent="0.2">
      <c r="A1217" s="116"/>
      <c r="B1217" s="111"/>
      <c r="C1217" s="110" t="s">
        <v>5045</v>
      </c>
      <c r="D1217" s="110" t="s">
        <v>5046</v>
      </c>
      <c r="E1217" s="112" t="s">
        <v>5047</v>
      </c>
      <c r="F1217" s="111" t="s">
        <v>126</v>
      </c>
      <c r="G1217" s="133">
        <v>50</v>
      </c>
      <c r="H1217" s="124"/>
      <c r="I1217" s="133" t="str">
        <f>IF(H1217&gt;0,(#REF!*H1217),"-")</f>
        <v>-</v>
      </c>
      <c r="J1217" s="113">
        <v>192</v>
      </c>
      <c r="K1217" s="110" t="s">
        <v>129</v>
      </c>
      <c r="L1217" s="110" t="s">
        <v>5039</v>
      </c>
      <c r="M1217" s="110" t="s">
        <v>129</v>
      </c>
      <c r="N1217" s="110" t="s">
        <v>130</v>
      </c>
      <c r="O1217" s="110" t="s">
        <v>5048</v>
      </c>
      <c r="P1217" s="110" t="s">
        <v>589</v>
      </c>
      <c r="Q1217" s="110" t="s">
        <v>97</v>
      </c>
      <c r="R1217" s="121">
        <v>3.7999999999999999E-2</v>
      </c>
      <c r="S1217" s="113" t="e">
        <f t="shared" si="36"/>
        <v>#VALUE!</v>
      </c>
      <c r="T1217" s="113">
        <f t="shared" si="37"/>
        <v>0</v>
      </c>
    </row>
    <row r="1218" spans="1:20" s="109" customFormat="1" x14ac:dyDescent="0.2">
      <c r="A1218" s="116"/>
      <c r="B1218" s="111"/>
      <c r="C1218" s="110" t="s">
        <v>5049</v>
      </c>
      <c r="D1218" s="110" t="s">
        <v>5050</v>
      </c>
      <c r="E1218" s="112" t="s">
        <v>5051</v>
      </c>
      <c r="F1218" s="111" t="s">
        <v>126</v>
      </c>
      <c r="G1218" s="133">
        <v>50</v>
      </c>
      <c r="H1218" s="124"/>
      <c r="I1218" s="133" t="str">
        <f>IF(H1218&gt;0,(#REF!*H1218),"-")</f>
        <v>-</v>
      </c>
      <c r="J1218" s="113">
        <v>225</v>
      </c>
      <c r="K1218" s="110" t="s">
        <v>129</v>
      </c>
      <c r="L1218" s="110" t="s">
        <v>5039</v>
      </c>
      <c r="M1218" s="110" t="s">
        <v>129</v>
      </c>
      <c r="N1218" s="110" t="s">
        <v>130</v>
      </c>
      <c r="O1218" s="110" t="s">
        <v>5052</v>
      </c>
      <c r="P1218" s="110" t="s">
        <v>4634</v>
      </c>
      <c r="Q1218" s="110" t="s">
        <v>97</v>
      </c>
      <c r="R1218" s="121">
        <v>8.2000000000000003E-2</v>
      </c>
      <c r="S1218" s="113" t="e">
        <f t="shared" ref="S1218:S1281" si="38">Q1218*H1218</f>
        <v>#VALUE!</v>
      </c>
      <c r="T1218" s="113">
        <f t="shared" ref="T1218:T1281" si="39">R1218*H1218</f>
        <v>0</v>
      </c>
    </row>
    <row r="1219" spans="1:20" s="109" customFormat="1" x14ac:dyDescent="0.2">
      <c r="A1219" s="116"/>
      <c r="B1219" s="111"/>
      <c r="C1219" s="110" t="s">
        <v>5053</v>
      </c>
      <c r="D1219" s="110" t="s">
        <v>5054</v>
      </c>
      <c r="E1219" s="112" t="s">
        <v>5055</v>
      </c>
      <c r="F1219" s="111" t="s">
        <v>126</v>
      </c>
      <c r="G1219" s="133">
        <v>140</v>
      </c>
      <c r="H1219" s="124"/>
      <c r="I1219" s="133" t="str">
        <f>IF(H1219&gt;0,(#REF!*H1219),"-")</f>
        <v>-</v>
      </c>
      <c r="J1219" s="113">
        <v>1046</v>
      </c>
      <c r="K1219" s="110" t="s">
        <v>129</v>
      </c>
      <c r="L1219" s="110" t="s">
        <v>502</v>
      </c>
      <c r="M1219" s="110" t="s">
        <v>129</v>
      </c>
      <c r="N1219" s="110" t="s">
        <v>130</v>
      </c>
      <c r="O1219" s="110" t="s">
        <v>5056</v>
      </c>
      <c r="P1219" s="110" t="s">
        <v>137</v>
      </c>
      <c r="Q1219" s="110" t="s">
        <v>96</v>
      </c>
      <c r="R1219" s="121">
        <v>0.15110000000000001</v>
      </c>
      <c r="S1219" s="113" t="e">
        <f t="shared" si="38"/>
        <v>#VALUE!</v>
      </c>
      <c r="T1219" s="113">
        <f t="shared" si="39"/>
        <v>0</v>
      </c>
    </row>
    <row r="1220" spans="1:20" s="109" customFormat="1" x14ac:dyDescent="0.2">
      <c r="A1220" s="116"/>
      <c r="B1220" s="111" t="s">
        <v>289</v>
      </c>
      <c r="C1220" s="110" t="s">
        <v>5057</v>
      </c>
      <c r="D1220" s="110" t="s">
        <v>5058</v>
      </c>
      <c r="E1220" s="112" t="s">
        <v>5059</v>
      </c>
      <c r="F1220" s="111" t="s">
        <v>130</v>
      </c>
      <c r="G1220" s="133">
        <v>110</v>
      </c>
      <c r="H1220" s="124"/>
      <c r="I1220" s="133" t="str">
        <f>IF(H1220&gt;0,(#REF!*H1220),"-")</f>
        <v>-</v>
      </c>
      <c r="J1220" s="113">
        <v>1201</v>
      </c>
      <c r="K1220" s="110" t="s">
        <v>129</v>
      </c>
      <c r="L1220" s="110" t="s">
        <v>5060</v>
      </c>
      <c r="M1220" s="110" t="s">
        <v>129</v>
      </c>
      <c r="N1220" s="110" t="s">
        <v>130</v>
      </c>
      <c r="O1220" s="110" t="s">
        <v>5061</v>
      </c>
      <c r="P1220" s="110" t="s">
        <v>137</v>
      </c>
      <c r="Q1220" s="110" t="s">
        <v>96</v>
      </c>
      <c r="R1220" s="121">
        <v>0.22620000000000001</v>
      </c>
      <c r="S1220" s="113" t="e">
        <f t="shared" si="38"/>
        <v>#VALUE!</v>
      </c>
      <c r="T1220" s="113">
        <f t="shared" si="39"/>
        <v>0</v>
      </c>
    </row>
    <row r="1221" spans="1:20" s="109" customFormat="1" x14ac:dyDescent="0.2">
      <c r="A1221" s="116"/>
      <c r="B1221" s="111" t="s">
        <v>289</v>
      </c>
      <c r="C1221" s="110" t="s">
        <v>5062</v>
      </c>
      <c r="D1221" s="110" t="s">
        <v>5063</v>
      </c>
      <c r="E1221" s="112" t="s">
        <v>5064</v>
      </c>
      <c r="F1221" s="111" t="s">
        <v>130</v>
      </c>
      <c r="G1221" s="133">
        <v>110</v>
      </c>
      <c r="H1221" s="124"/>
      <c r="I1221" s="133" t="str">
        <f>IF(H1221&gt;0,(#REF!*H1221),"-")</f>
        <v>-</v>
      </c>
      <c r="J1221" s="113">
        <v>1201</v>
      </c>
      <c r="K1221" s="110" t="s">
        <v>129</v>
      </c>
      <c r="L1221" s="110" t="s">
        <v>5060</v>
      </c>
      <c r="M1221" s="110" t="s">
        <v>129</v>
      </c>
      <c r="N1221" s="110" t="s">
        <v>130</v>
      </c>
      <c r="O1221" s="110" t="s">
        <v>5065</v>
      </c>
      <c r="P1221" s="110" t="s">
        <v>137</v>
      </c>
      <c r="Q1221" s="110" t="s">
        <v>96</v>
      </c>
      <c r="R1221" s="121">
        <v>0.22620000000000001</v>
      </c>
      <c r="S1221" s="113" t="e">
        <f t="shared" si="38"/>
        <v>#VALUE!</v>
      </c>
      <c r="T1221" s="113">
        <f t="shared" si="39"/>
        <v>0</v>
      </c>
    </row>
    <row r="1222" spans="1:20" s="109" customFormat="1" x14ac:dyDescent="0.2">
      <c r="A1222" s="116"/>
      <c r="B1222" s="111"/>
      <c r="C1222" s="110" t="s">
        <v>5066</v>
      </c>
      <c r="D1222" s="110" t="s">
        <v>5067</v>
      </c>
      <c r="E1222" s="112" t="s">
        <v>5068</v>
      </c>
      <c r="F1222" s="111" t="s">
        <v>126</v>
      </c>
      <c r="G1222" s="133">
        <v>140</v>
      </c>
      <c r="H1222" s="124"/>
      <c r="I1222" s="133" t="str">
        <f>IF(H1222&gt;0,(#REF!*H1222),"-")</f>
        <v>-</v>
      </c>
      <c r="J1222" s="113">
        <v>1384</v>
      </c>
      <c r="K1222" s="110" t="s">
        <v>129</v>
      </c>
      <c r="L1222" s="110" t="s">
        <v>5069</v>
      </c>
      <c r="M1222" s="110" t="s">
        <v>129</v>
      </c>
      <c r="N1222" s="110" t="s">
        <v>130</v>
      </c>
      <c r="O1222" s="110" t="s">
        <v>5070</v>
      </c>
      <c r="P1222" s="110" t="s">
        <v>137</v>
      </c>
      <c r="Q1222" s="110" t="s">
        <v>96</v>
      </c>
      <c r="R1222" s="121">
        <v>0.16200000000000001</v>
      </c>
      <c r="S1222" s="113" t="e">
        <f t="shared" si="38"/>
        <v>#VALUE!</v>
      </c>
      <c r="T1222" s="113">
        <f t="shared" si="39"/>
        <v>0</v>
      </c>
    </row>
    <row r="1223" spans="1:20" s="109" customFormat="1" x14ac:dyDescent="0.2">
      <c r="A1223" s="116"/>
      <c r="B1223" s="111"/>
      <c r="C1223" s="110" t="s">
        <v>5071</v>
      </c>
      <c r="D1223" s="110" t="s">
        <v>5072</v>
      </c>
      <c r="E1223" s="112" t="s">
        <v>5073</v>
      </c>
      <c r="F1223" s="111" t="s">
        <v>126</v>
      </c>
      <c r="G1223" s="133">
        <v>140</v>
      </c>
      <c r="H1223" s="124"/>
      <c r="I1223" s="133" t="str">
        <f>IF(H1223&gt;0,(#REF!*H1223),"-")</f>
        <v>-</v>
      </c>
      <c r="J1223" s="113">
        <v>1213</v>
      </c>
      <c r="K1223" s="110" t="s">
        <v>129</v>
      </c>
      <c r="L1223" s="110" t="s">
        <v>511</v>
      </c>
      <c r="M1223" s="110" t="s">
        <v>129</v>
      </c>
      <c r="N1223" s="110" t="s">
        <v>130</v>
      </c>
      <c r="O1223" s="110" t="s">
        <v>5074</v>
      </c>
      <c r="P1223" s="110" t="s">
        <v>137</v>
      </c>
      <c r="Q1223" s="110" t="s">
        <v>96</v>
      </c>
      <c r="R1223" s="121">
        <v>0.14099999999999999</v>
      </c>
      <c r="S1223" s="113" t="e">
        <f t="shared" si="38"/>
        <v>#VALUE!</v>
      </c>
      <c r="T1223" s="113">
        <f t="shared" si="39"/>
        <v>0</v>
      </c>
    </row>
    <row r="1224" spans="1:20" s="109" customFormat="1" x14ac:dyDescent="0.2">
      <c r="A1224" s="116"/>
      <c r="B1224" s="111" t="s">
        <v>289</v>
      </c>
      <c r="C1224" s="110" t="s">
        <v>5075</v>
      </c>
      <c r="D1224" s="110" t="s">
        <v>5076</v>
      </c>
      <c r="E1224" s="112" t="s">
        <v>5077</v>
      </c>
      <c r="F1224" s="111" t="s">
        <v>130</v>
      </c>
      <c r="G1224" s="133">
        <v>125</v>
      </c>
      <c r="H1224" s="124"/>
      <c r="I1224" s="133" t="str">
        <f>IF(H1224&gt;0,(#REF!*H1224),"-")</f>
        <v>-</v>
      </c>
      <c r="J1224" s="113">
        <v>994</v>
      </c>
      <c r="K1224" s="110" t="s">
        <v>129</v>
      </c>
      <c r="L1224" s="110" t="s">
        <v>5078</v>
      </c>
      <c r="M1224" s="110" t="s">
        <v>129</v>
      </c>
      <c r="N1224" s="110" t="s">
        <v>130</v>
      </c>
      <c r="O1224" s="110" t="s">
        <v>5079</v>
      </c>
      <c r="P1224" s="110" t="s">
        <v>137</v>
      </c>
      <c r="Q1224" s="110" t="s">
        <v>96</v>
      </c>
      <c r="R1224" s="121">
        <v>0.222</v>
      </c>
      <c r="S1224" s="113" t="e">
        <f t="shared" si="38"/>
        <v>#VALUE!</v>
      </c>
      <c r="T1224" s="113">
        <f t="shared" si="39"/>
        <v>0</v>
      </c>
    </row>
    <row r="1225" spans="1:20" s="109" customFormat="1" x14ac:dyDescent="0.2">
      <c r="A1225" s="116"/>
      <c r="B1225" s="111" t="s">
        <v>289</v>
      </c>
      <c r="C1225" s="110" t="s">
        <v>5080</v>
      </c>
      <c r="D1225" s="110" t="s">
        <v>5081</v>
      </c>
      <c r="E1225" s="112" t="s">
        <v>5082</v>
      </c>
      <c r="F1225" s="111" t="s">
        <v>130</v>
      </c>
      <c r="G1225" s="133">
        <v>125</v>
      </c>
      <c r="H1225" s="124"/>
      <c r="I1225" s="133" t="str">
        <f>IF(H1225&gt;0,(#REF!*H1225),"-")</f>
        <v>-</v>
      </c>
      <c r="J1225" s="113">
        <v>994</v>
      </c>
      <c r="K1225" s="110" t="s">
        <v>129</v>
      </c>
      <c r="L1225" s="110" t="s">
        <v>5078</v>
      </c>
      <c r="M1225" s="110" t="s">
        <v>129</v>
      </c>
      <c r="N1225" s="110" t="s">
        <v>130</v>
      </c>
      <c r="O1225" s="110" t="s">
        <v>5083</v>
      </c>
      <c r="P1225" s="110" t="s">
        <v>137</v>
      </c>
      <c r="Q1225" s="110" t="s">
        <v>96</v>
      </c>
      <c r="R1225" s="121">
        <v>0.222</v>
      </c>
      <c r="S1225" s="113" t="e">
        <f t="shared" si="38"/>
        <v>#VALUE!</v>
      </c>
      <c r="T1225" s="113">
        <f t="shared" si="39"/>
        <v>0</v>
      </c>
    </row>
    <row r="1226" spans="1:20" s="109" customFormat="1" x14ac:dyDescent="0.2">
      <c r="A1226" s="116"/>
      <c r="B1226" s="111"/>
      <c r="C1226" s="110" t="s">
        <v>5084</v>
      </c>
      <c r="D1226" s="110" t="s">
        <v>5085</v>
      </c>
      <c r="E1226" s="112" t="s">
        <v>5086</v>
      </c>
      <c r="F1226" s="111" t="s">
        <v>126</v>
      </c>
      <c r="G1226" s="133">
        <v>140</v>
      </c>
      <c r="H1226" s="124"/>
      <c r="I1226" s="133" t="str">
        <f>IF(H1226&gt;0,(#REF!*H1226),"-")</f>
        <v>-</v>
      </c>
      <c r="J1226" s="113">
        <v>1046</v>
      </c>
      <c r="K1226" s="110" t="s">
        <v>129</v>
      </c>
      <c r="L1226" s="110" t="s">
        <v>5078</v>
      </c>
      <c r="M1226" s="110" t="s">
        <v>129</v>
      </c>
      <c r="N1226" s="110" t="s">
        <v>130</v>
      </c>
      <c r="O1226" s="110" t="s">
        <v>5087</v>
      </c>
      <c r="P1226" s="110" t="s">
        <v>137</v>
      </c>
      <c r="Q1226" s="110" t="s">
        <v>96</v>
      </c>
      <c r="R1226" s="121">
        <v>0.14599999999999999</v>
      </c>
      <c r="S1226" s="113" t="e">
        <f t="shared" si="38"/>
        <v>#VALUE!</v>
      </c>
      <c r="T1226" s="113">
        <f t="shared" si="39"/>
        <v>0</v>
      </c>
    </row>
    <row r="1227" spans="1:20" s="109" customFormat="1" x14ac:dyDescent="0.2">
      <c r="A1227" s="116"/>
      <c r="B1227" s="111"/>
      <c r="C1227" s="110" t="s">
        <v>5088</v>
      </c>
      <c r="D1227" s="110" t="s">
        <v>5089</v>
      </c>
      <c r="E1227" s="112" t="s">
        <v>5090</v>
      </c>
      <c r="F1227" s="111" t="s">
        <v>126</v>
      </c>
      <c r="G1227" s="133">
        <v>140</v>
      </c>
      <c r="H1227" s="124"/>
      <c r="I1227" s="133" t="str">
        <f>IF(H1227&gt;0,(#REF!*H1227),"-")</f>
        <v>-</v>
      </c>
      <c r="J1227" s="113">
        <v>1563</v>
      </c>
      <c r="K1227" s="110" t="s">
        <v>129</v>
      </c>
      <c r="L1227" s="110" t="s">
        <v>390</v>
      </c>
      <c r="M1227" s="110" t="s">
        <v>129</v>
      </c>
      <c r="N1227" s="110" t="s">
        <v>130</v>
      </c>
      <c r="O1227" s="110" t="s">
        <v>5091</v>
      </c>
      <c r="P1227" s="110" t="s">
        <v>137</v>
      </c>
      <c r="Q1227" s="110" t="s">
        <v>96</v>
      </c>
      <c r="R1227" s="121">
        <v>0.15459999999999999</v>
      </c>
      <c r="S1227" s="113" t="e">
        <f t="shared" si="38"/>
        <v>#VALUE!</v>
      </c>
      <c r="T1227" s="113">
        <f t="shared" si="39"/>
        <v>0</v>
      </c>
    </row>
    <row r="1228" spans="1:20" s="109" customFormat="1" x14ac:dyDescent="0.2">
      <c r="A1228" s="116"/>
      <c r="B1228" s="111"/>
      <c r="C1228" s="110" t="s">
        <v>5092</v>
      </c>
      <c r="D1228" s="110" t="s">
        <v>5093</v>
      </c>
      <c r="E1228" s="112" t="s">
        <v>5094</v>
      </c>
      <c r="F1228" s="111" t="s">
        <v>126</v>
      </c>
      <c r="G1228" s="133">
        <v>100</v>
      </c>
      <c r="H1228" s="124"/>
      <c r="I1228" s="133" t="str">
        <f>IF(H1228&gt;0,(#REF!*H1228),"-")</f>
        <v>-</v>
      </c>
      <c r="J1228" s="113">
        <v>310</v>
      </c>
      <c r="K1228" s="110" t="s">
        <v>129</v>
      </c>
      <c r="L1228" s="110" t="s">
        <v>5095</v>
      </c>
      <c r="M1228" s="110" t="s">
        <v>129</v>
      </c>
      <c r="N1228" s="110" t="s">
        <v>130</v>
      </c>
      <c r="O1228" s="110" t="s">
        <v>5096</v>
      </c>
      <c r="P1228" s="110" t="s">
        <v>400</v>
      </c>
      <c r="Q1228" s="110" t="s">
        <v>97</v>
      </c>
      <c r="R1228" s="121">
        <v>0.17560000000000001</v>
      </c>
      <c r="S1228" s="113" t="e">
        <f t="shared" si="38"/>
        <v>#VALUE!</v>
      </c>
      <c r="T1228" s="113">
        <f t="shared" si="39"/>
        <v>0</v>
      </c>
    </row>
    <row r="1229" spans="1:20" s="109" customFormat="1" x14ac:dyDescent="0.2">
      <c r="A1229" s="116"/>
      <c r="B1229" s="111"/>
      <c r="C1229" s="110" t="s">
        <v>5097</v>
      </c>
      <c r="D1229" s="110" t="s">
        <v>5098</v>
      </c>
      <c r="E1229" s="112" t="s">
        <v>5099</v>
      </c>
      <c r="F1229" s="111" t="s">
        <v>126</v>
      </c>
      <c r="G1229" s="133">
        <v>60</v>
      </c>
      <c r="H1229" s="124"/>
      <c r="I1229" s="133" t="str">
        <f>IF(H1229&gt;0,(#REF!*H1229),"-")</f>
        <v>-</v>
      </c>
      <c r="J1229" s="113">
        <v>93</v>
      </c>
      <c r="K1229" s="110" t="s">
        <v>129</v>
      </c>
      <c r="L1229" s="110" t="s">
        <v>5095</v>
      </c>
      <c r="M1229" s="110" t="s">
        <v>129</v>
      </c>
      <c r="N1229" s="110" t="s">
        <v>130</v>
      </c>
      <c r="O1229" s="110" t="s">
        <v>5100</v>
      </c>
      <c r="P1229" s="110" t="s">
        <v>589</v>
      </c>
      <c r="Q1229" s="110" t="s">
        <v>97</v>
      </c>
      <c r="R1229" s="121">
        <v>6.2300000000000001E-2</v>
      </c>
      <c r="S1229" s="113" t="e">
        <f t="shared" si="38"/>
        <v>#VALUE!</v>
      </c>
      <c r="T1229" s="113">
        <f t="shared" si="39"/>
        <v>0</v>
      </c>
    </row>
    <row r="1230" spans="1:20" s="109" customFormat="1" x14ac:dyDescent="0.2">
      <c r="A1230" s="116"/>
      <c r="B1230" s="111"/>
      <c r="C1230" s="110" t="s">
        <v>5101</v>
      </c>
      <c r="D1230" s="110" t="s">
        <v>5102</v>
      </c>
      <c r="E1230" s="112" t="s">
        <v>5103</v>
      </c>
      <c r="F1230" s="111" t="s">
        <v>126</v>
      </c>
      <c r="G1230" s="133">
        <v>155</v>
      </c>
      <c r="H1230" s="124"/>
      <c r="I1230" s="133" t="str">
        <f>IF(H1230&gt;0,(#REF!*H1230),"-")</f>
        <v>-</v>
      </c>
      <c r="J1230" s="113">
        <v>1197</v>
      </c>
      <c r="K1230" s="110" t="s">
        <v>129</v>
      </c>
      <c r="L1230" s="110" t="s">
        <v>5095</v>
      </c>
      <c r="M1230" s="110" t="s">
        <v>129</v>
      </c>
      <c r="N1230" s="110" t="s">
        <v>130</v>
      </c>
      <c r="O1230" s="110" t="s">
        <v>5104</v>
      </c>
      <c r="P1230" s="110" t="s">
        <v>137</v>
      </c>
      <c r="Q1230" s="110" t="s">
        <v>96</v>
      </c>
      <c r="R1230" s="121">
        <v>0.16589999999999999</v>
      </c>
      <c r="S1230" s="113" t="e">
        <f t="shared" si="38"/>
        <v>#VALUE!</v>
      </c>
      <c r="T1230" s="113">
        <f t="shared" si="39"/>
        <v>0</v>
      </c>
    </row>
    <row r="1231" spans="1:20" s="109" customFormat="1" x14ac:dyDescent="0.2">
      <c r="A1231" s="116"/>
      <c r="B1231" s="111"/>
      <c r="C1231" s="110" t="s">
        <v>5105</v>
      </c>
      <c r="D1231" s="110" t="s">
        <v>5106</v>
      </c>
      <c r="E1231" s="112" t="s">
        <v>5107</v>
      </c>
      <c r="F1231" s="111" t="s">
        <v>126</v>
      </c>
      <c r="G1231" s="133">
        <v>155</v>
      </c>
      <c r="H1231" s="124"/>
      <c r="I1231" s="133" t="str">
        <f>IF(H1231&gt;0,(#REF!*H1231),"-")</f>
        <v>-</v>
      </c>
      <c r="J1231" s="113">
        <v>1181</v>
      </c>
      <c r="K1231" s="110" t="s">
        <v>129</v>
      </c>
      <c r="L1231" s="110" t="s">
        <v>5095</v>
      </c>
      <c r="M1231" s="110" t="s">
        <v>129</v>
      </c>
      <c r="N1231" s="110" t="s">
        <v>130</v>
      </c>
      <c r="O1231" s="110" t="s">
        <v>5108</v>
      </c>
      <c r="P1231" s="110" t="s">
        <v>137</v>
      </c>
      <c r="Q1231" s="110" t="s">
        <v>96</v>
      </c>
      <c r="R1231" s="121">
        <v>0.13719999999999999</v>
      </c>
      <c r="S1231" s="113" t="e">
        <f t="shared" si="38"/>
        <v>#VALUE!</v>
      </c>
      <c r="T1231" s="113">
        <f t="shared" si="39"/>
        <v>0</v>
      </c>
    </row>
    <row r="1232" spans="1:20" s="109" customFormat="1" x14ac:dyDescent="0.2">
      <c r="A1232" s="116"/>
      <c r="B1232" s="111"/>
      <c r="C1232" s="110" t="s">
        <v>5109</v>
      </c>
      <c r="D1232" s="110" t="s">
        <v>5110</v>
      </c>
      <c r="E1232" s="112" t="s">
        <v>5111</v>
      </c>
      <c r="F1232" s="111" t="s">
        <v>126</v>
      </c>
      <c r="G1232" s="133">
        <v>155</v>
      </c>
      <c r="H1232" s="124"/>
      <c r="I1232" s="133" t="str">
        <f>IF(H1232&gt;0,(#REF!*H1232),"-")</f>
        <v>-</v>
      </c>
      <c r="J1232" s="113">
        <v>1208</v>
      </c>
      <c r="K1232" s="110" t="s">
        <v>129</v>
      </c>
      <c r="L1232" s="110" t="s">
        <v>5095</v>
      </c>
      <c r="M1232" s="110" t="s">
        <v>129</v>
      </c>
      <c r="N1232" s="110" t="s">
        <v>130</v>
      </c>
      <c r="O1232" s="110" t="s">
        <v>5112</v>
      </c>
      <c r="P1232" s="110" t="s">
        <v>137</v>
      </c>
      <c r="Q1232" s="110" t="s">
        <v>96</v>
      </c>
      <c r="R1232" s="121">
        <v>0.1343</v>
      </c>
      <c r="S1232" s="113" t="e">
        <f t="shared" si="38"/>
        <v>#VALUE!</v>
      </c>
      <c r="T1232" s="113">
        <f t="shared" si="39"/>
        <v>0</v>
      </c>
    </row>
    <row r="1233" spans="1:20" s="109" customFormat="1" x14ac:dyDescent="0.2">
      <c r="A1233" s="116"/>
      <c r="B1233" s="111" t="s">
        <v>202</v>
      </c>
      <c r="C1233" s="110" t="s">
        <v>5113</v>
      </c>
      <c r="D1233" s="110" t="s">
        <v>5114</v>
      </c>
      <c r="E1233" s="112" t="s">
        <v>5115</v>
      </c>
      <c r="F1233" s="111" t="s">
        <v>130</v>
      </c>
      <c r="G1233" s="133">
        <v>110</v>
      </c>
      <c r="H1233" s="124"/>
      <c r="I1233" s="133" t="str">
        <f>IF(H1233&gt;0,(#REF!*H1233),"-")</f>
        <v>-</v>
      </c>
      <c r="J1233" s="113">
        <v>1245</v>
      </c>
      <c r="K1233" s="110" t="s">
        <v>129</v>
      </c>
      <c r="L1233" s="110" t="s">
        <v>5116</v>
      </c>
      <c r="M1233" s="110" t="s">
        <v>129</v>
      </c>
      <c r="N1233" s="110" t="s">
        <v>130</v>
      </c>
      <c r="O1233" s="110" t="s">
        <v>5117</v>
      </c>
      <c r="P1233" s="110" t="s">
        <v>137</v>
      </c>
      <c r="Q1233" s="110" t="s">
        <v>96</v>
      </c>
      <c r="R1233" s="121">
        <v>0.224</v>
      </c>
      <c r="S1233" s="113" t="e">
        <f t="shared" si="38"/>
        <v>#VALUE!</v>
      </c>
      <c r="T1233" s="113">
        <f t="shared" si="39"/>
        <v>0</v>
      </c>
    </row>
    <row r="1234" spans="1:20" s="109" customFormat="1" x14ac:dyDescent="0.2">
      <c r="A1234" s="116"/>
      <c r="B1234" s="111" t="s">
        <v>202</v>
      </c>
      <c r="C1234" s="110" t="s">
        <v>5118</v>
      </c>
      <c r="D1234" s="110" t="s">
        <v>5119</v>
      </c>
      <c r="E1234" s="112" t="s">
        <v>5120</v>
      </c>
      <c r="F1234" s="111" t="s">
        <v>130</v>
      </c>
      <c r="G1234" s="133">
        <v>110</v>
      </c>
      <c r="H1234" s="124"/>
      <c r="I1234" s="133" t="str">
        <f>IF(H1234&gt;0,(#REF!*H1234),"-")</f>
        <v>-</v>
      </c>
      <c r="J1234" s="113">
        <v>1245</v>
      </c>
      <c r="K1234" s="110" t="s">
        <v>129</v>
      </c>
      <c r="L1234" s="110" t="s">
        <v>5116</v>
      </c>
      <c r="M1234" s="110" t="s">
        <v>129</v>
      </c>
      <c r="N1234" s="110" t="s">
        <v>130</v>
      </c>
      <c r="O1234" s="110" t="s">
        <v>5121</v>
      </c>
      <c r="P1234" s="110" t="s">
        <v>137</v>
      </c>
      <c r="Q1234" s="110" t="s">
        <v>96</v>
      </c>
      <c r="R1234" s="121">
        <v>0.22700000000000001</v>
      </c>
      <c r="S1234" s="113" t="e">
        <f t="shared" si="38"/>
        <v>#VALUE!</v>
      </c>
      <c r="T1234" s="113">
        <f t="shared" si="39"/>
        <v>0</v>
      </c>
    </row>
    <row r="1235" spans="1:20" s="109" customFormat="1" x14ac:dyDescent="0.2">
      <c r="A1235" s="116"/>
      <c r="B1235" s="111" t="s">
        <v>289</v>
      </c>
      <c r="C1235" s="110" t="s">
        <v>5122</v>
      </c>
      <c r="D1235" s="110" t="s">
        <v>5123</v>
      </c>
      <c r="E1235" s="112" t="s">
        <v>5124</v>
      </c>
      <c r="F1235" s="111" t="s">
        <v>130</v>
      </c>
      <c r="G1235" s="133">
        <v>125</v>
      </c>
      <c r="H1235" s="124"/>
      <c r="I1235" s="133" t="str">
        <f>IF(H1235&gt;0,(#REF!*H1235),"-")</f>
        <v>-</v>
      </c>
      <c r="J1235" s="113">
        <v>1202</v>
      </c>
      <c r="K1235" s="110" t="s">
        <v>129</v>
      </c>
      <c r="L1235" s="110" t="s">
        <v>5116</v>
      </c>
      <c r="M1235" s="110" t="s">
        <v>129</v>
      </c>
      <c r="N1235" s="110" t="s">
        <v>130</v>
      </c>
      <c r="O1235" s="110" t="s">
        <v>5125</v>
      </c>
      <c r="P1235" s="110" t="s">
        <v>137</v>
      </c>
      <c r="Q1235" s="110" t="s">
        <v>96</v>
      </c>
      <c r="R1235" s="121">
        <v>0.215</v>
      </c>
      <c r="S1235" s="113" t="e">
        <f t="shared" si="38"/>
        <v>#VALUE!</v>
      </c>
      <c r="T1235" s="113">
        <f t="shared" si="39"/>
        <v>0</v>
      </c>
    </row>
    <row r="1236" spans="1:20" s="109" customFormat="1" x14ac:dyDescent="0.2">
      <c r="A1236" s="116"/>
      <c r="B1236" s="111" t="s">
        <v>289</v>
      </c>
      <c r="C1236" s="110" t="s">
        <v>5122</v>
      </c>
      <c r="D1236" s="110" t="s">
        <v>5126</v>
      </c>
      <c r="E1236" s="112" t="s">
        <v>5127</v>
      </c>
      <c r="F1236" s="111" t="s">
        <v>130</v>
      </c>
      <c r="G1236" s="133">
        <v>125</v>
      </c>
      <c r="H1236" s="124"/>
      <c r="I1236" s="133" t="str">
        <f>IF(H1236&gt;0,(#REF!*H1236),"-")</f>
        <v>-</v>
      </c>
      <c r="J1236" s="113">
        <v>1202</v>
      </c>
      <c r="K1236" s="110" t="s">
        <v>129</v>
      </c>
      <c r="L1236" s="110" t="s">
        <v>5116</v>
      </c>
      <c r="M1236" s="110" t="s">
        <v>129</v>
      </c>
      <c r="N1236" s="110" t="s">
        <v>130</v>
      </c>
      <c r="O1236" s="110" t="s">
        <v>5128</v>
      </c>
      <c r="P1236" s="110" t="s">
        <v>137</v>
      </c>
      <c r="Q1236" s="110" t="s">
        <v>96</v>
      </c>
      <c r="R1236" s="121">
        <v>0.215</v>
      </c>
      <c r="S1236" s="113" t="e">
        <f t="shared" si="38"/>
        <v>#VALUE!</v>
      </c>
      <c r="T1236" s="113">
        <f t="shared" si="39"/>
        <v>0</v>
      </c>
    </row>
    <row r="1237" spans="1:20" s="109" customFormat="1" x14ac:dyDescent="0.2">
      <c r="A1237" s="116"/>
      <c r="B1237" s="111"/>
      <c r="C1237" s="110" t="s">
        <v>5129</v>
      </c>
      <c r="D1237" s="110" t="s">
        <v>5130</v>
      </c>
      <c r="E1237" s="112" t="s">
        <v>5131</v>
      </c>
      <c r="F1237" s="111" t="s">
        <v>126</v>
      </c>
      <c r="G1237" s="133">
        <v>140</v>
      </c>
      <c r="H1237" s="124"/>
      <c r="I1237" s="133" t="str">
        <f>IF(H1237&gt;0,(#REF!*H1237),"-")</f>
        <v>-</v>
      </c>
      <c r="J1237" s="113">
        <v>1522</v>
      </c>
      <c r="K1237" s="110" t="s">
        <v>129</v>
      </c>
      <c r="L1237" s="110" t="s">
        <v>5116</v>
      </c>
      <c r="M1237" s="110" t="s">
        <v>129</v>
      </c>
      <c r="N1237" s="110" t="s">
        <v>130</v>
      </c>
      <c r="O1237" s="110" t="s">
        <v>5132</v>
      </c>
      <c r="P1237" s="110" t="s">
        <v>137</v>
      </c>
      <c r="Q1237" s="110" t="s">
        <v>96</v>
      </c>
      <c r="R1237" s="121">
        <v>0.17899999999999999</v>
      </c>
      <c r="S1237" s="113" t="e">
        <f t="shared" si="38"/>
        <v>#VALUE!</v>
      </c>
      <c r="T1237" s="113">
        <f t="shared" si="39"/>
        <v>0</v>
      </c>
    </row>
    <row r="1238" spans="1:20" s="109" customFormat="1" x14ac:dyDescent="0.2">
      <c r="A1238" s="116"/>
      <c r="B1238" s="111"/>
      <c r="C1238" s="110" t="s">
        <v>5133</v>
      </c>
      <c r="D1238" s="110" t="s">
        <v>5134</v>
      </c>
      <c r="E1238" s="112" t="s">
        <v>5135</v>
      </c>
      <c r="F1238" s="111" t="s">
        <v>126</v>
      </c>
      <c r="G1238" s="133">
        <v>140</v>
      </c>
      <c r="H1238" s="124"/>
      <c r="I1238" s="133" t="str">
        <f>IF(H1238&gt;0,(#REF!*H1238),"-")</f>
        <v>-</v>
      </c>
      <c r="J1238" s="113">
        <v>1046</v>
      </c>
      <c r="K1238" s="110" t="s">
        <v>129</v>
      </c>
      <c r="L1238" s="110" t="s">
        <v>5116</v>
      </c>
      <c r="M1238" s="110" t="s">
        <v>129</v>
      </c>
      <c r="N1238" s="110" t="s">
        <v>130</v>
      </c>
      <c r="O1238" s="110" t="s">
        <v>5136</v>
      </c>
      <c r="P1238" s="110" t="s">
        <v>137</v>
      </c>
      <c r="Q1238" s="110" t="s">
        <v>96</v>
      </c>
      <c r="R1238" s="121">
        <v>0.1434</v>
      </c>
      <c r="S1238" s="113" t="e">
        <f t="shared" si="38"/>
        <v>#VALUE!</v>
      </c>
      <c r="T1238" s="113">
        <f t="shared" si="39"/>
        <v>0</v>
      </c>
    </row>
    <row r="1239" spans="1:20" s="109" customFormat="1" x14ac:dyDescent="0.2">
      <c r="A1239" s="116"/>
      <c r="B1239" s="111"/>
      <c r="C1239" s="110" t="s">
        <v>5137</v>
      </c>
      <c r="D1239" s="110" t="s">
        <v>5138</v>
      </c>
      <c r="E1239" s="112" t="s">
        <v>5139</v>
      </c>
      <c r="F1239" s="111" t="s">
        <v>126</v>
      </c>
      <c r="G1239" s="133">
        <v>140</v>
      </c>
      <c r="H1239" s="124"/>
      <c r="I1239" s="133" t="str">
        <f>IF(H1239&gt;0,(#REF!*H1239),"-")</f>
        <v>-</v>
      </c>
      <c r="J1239" s="113">
        <v>1046</v>
      </c>
      <c r="K1239" s="110" t="s">
        <v>129</v>
      </c>
      <c r="L1239" s="110" t="s">
        <v>413</v>
      </c>
      <c r="M1239" s="110" t="s">
        <v>129</v>
      </c>
      <c r="N1239" s="110" t="s">
        <v>130</v>
      </c>
      <c r="O1239" s="110" t="s">
        <v>5140</v>
      </c>
      <c r="P1239" s="110" t="s">
        <v>137</v>
      </c>
      <c r="Q1239" s="110" t="s">
        <v>96</v>
      </c>
      <c r="R1239" s="121">
        <v>0.14399999999999999</v>
      </c>
      <c r="S1239" s="113" t="e">
        <f t="shared" si="38"/>
        <v>#VALUE!</v>
      </c>
      <c r="T1239" s="113">
        <f t="shared" si="39"/>
        <v>0</v>
      </c>
    </row>
    <row r="1240" spans="1:20" s="109" customFormat="1" x14ac:dyDescent="0.2">
      <c r="A1240" s="116"/>
      <c r="B1240" s="111"/>
      <c r="C1240" s="110" t="s">
        <v>5141</v>
      </c>
      <c r="D1240" s="110" t="s">
        <v>5142</v>
      </c>
      <c r="E1240" s="112" t="s">
        <v>5143</v>
      </c>
      <c r="F1240" s="111" t="s">
        <v>126</v>
      </c>
      <c r="G1240" s="133">
        <v>140</v>
      </c>
      <c r="H1240" s="124"/>
      <c r="I1240" s="133" t="str">
        <f>IF(H1240&gt;0,(#REF!*H1240),"-")</f>
        <v>-</v>
      </c>
      <c r="J1240" s="113">
        <v>1231</v>
      </c>
      <c r="K1240" s="110" t="s">
        <v>129</v>
      </c>
      <c r="L1240" s="110" t="s">
        <v>5144</v>
      </c>
      <c r="M1240" s="110" t="s">
        <v>129</v>
      </c>
      <c r="N1240" s="110" t="s">
        <v>130</v>
      </c>
      <c r="O1240" s="110" t="s">
        <v>5145</v>
      </c>
      <c r="P1240" s="110" t="s">
        <v>137</v>
      </c>
      <c r="Q1240" s="110" t="s">
        <v>96</v>
      </c>
      <c r="R1240" s="121">
        <v>0.161</v>
      </c>
      <c r="S1240" s="113" t="e">
        <f t="shared" si="38"/>
        <v>#VALUE!</v>
      </c>
      <c r="T1240" s="113">
        <f t="shared" si="39"/>
        <v>0</v>
      </c>
    </row>
    <row r="1241" spans="1:20" s="109" customFormat="1" x14ac:dyDescent="0.2">
      <c r="A1241" s="116"/>
      <c r="B1241" s="111"/>
      <c r="C1241" s="110" t="s">
        <v>5146</v>
      </c>
      <c r="D1241" s="110" t="s">
        <v>5147</v>
      </c>
      <c r="E1241" s="112" t="s">
        <v>5148</v>
      </c>
      <c r="F1241" s="111" t="s">
        <v>126</v>
      </c>
      <c r="G1241" s="133">
        <v>340</v>
      </c>
      <c r="H1241" s="124"/>
      <c r="I1241" s="133" t="str">
        <f>IF(H1241&gt;0,(#REF!*H1241),"-")</f>
        <v>-</v>
      </c>
      <c r="J1241" s="113">
        <v>5198</v>
      </c>
      <c r="K1241" s="110" t="s">
        <v>129</v>
      </c>
      <c r="L1241" s="110" t="s">
        <v>2222</v>
      </c>
      <c r="M1241" s="110" t="s">
        <v>129</v>
      </c>
      <c r="N1241" s="110" t="s">
        <v>130</v>
      </c>
      <c r="O1241" s="110" t="s">
        <v>5149</v>
      </c>
      <c r="P1241" s="110" t="s">
        <v>137</v>
      </c>
      <c r="Q1241" s="110" t="s">
        <v>96</v>
      </c>
      <c r="R1241" s="121">
        <v>0.63600000000000001</v>
      </c>
      <c r="S1241" s="113" t="e">
        <f t="shared" si="38"/>
        <v>#VALUE!</v>
      </c>
      <c r="T1241" s="113">
        <f t="shared" si="39"/>
        <v>0</v>
      </c>
    </row>
    <row r="1242" spans="1:20" s="109" customFormat="1" x14ac:dyDescent="0.2">
      <c r="A1242" s="116"/>
      <c r="B1242" s="111"/>
      <c r="C1242" s="110" t="s">
        <v>5150</v>
      </c>
      <c r="D1242" s="110" t="s">
        <v>5151</v>
      </c>
      <c r="E1242" s="112" t="s">
        <v>5152</v>
      </c>
      <c r="F1242" s="111" t="s">
        <v>126</v>
      </c>
      <c r="G1242" s="133">
        <v>340</v>
      </c>
      <c r="H1242" s="124"/>
      <c r="I1242" s="133" t="str">
        <f>IF(H1242&gt;0,(#REF!*H1242),"-")</f>
        <v>-</v>
      </c>
      <c r="J1242" s="113">
        <v>3375</v>
      </c>
      <c r="K1242" s="110" t="s">
        <v>129</v>
      </c>
      <c r="L1242" s="110" t="s">
        <v>2222</v>
      </c>
      <c r="M1242" s="110" t="s">
        <v>129</v>
      </c>
      <c r="N1242" s="110" t="s">
        <v>130</v>
      </c>
      <c r="O1242" s="110" t="s">
        <v>5153</v>
      </c>
      <c r="P1242" s="110" t="s">
        <v>137</v>
      </c>
      <c r="Q1242" s="110" t="s">
        <v>96</v>
      </c>
      <c r="R1242" s="121">
        <v>0.51400000000000001</v>
      </c>
      <c r="S1242" s="113" t="e">
        <f t="shared" si="38"/>
        <v>#VALUE!</v>
      </c>
      <c r="T1242" s="113">
        <f t="shared" si="39"/>
        <v>0</v>
      </c>
    </row>
    <row r="1243" spans="1:20" s="109" customFormat="1" x14ac:dyDescent="0.2">
      <c r="A1243" s="116"/>
      <c r="B1243" s="111" t="s">
        <v>202</v>
      </c>
      <c r="C1243" s="110" t="s">
        <v>5154</v>
      </c>
      <c r="D1243" s="110" t="s">
        <v>5155</v>
      </c>
      <c r="E1243" s="112" t="s">
        <v>5156</v>
      </c>
      <c r="F1243" s="111" t="s">
        <v>130</v>
      </c>
      <c r="G1243" s="133">
        <v>340</v>
      </c>
      <c r="H1243" s="124"/>
      <c r="I1243" s="133" t="str">
        <f>IF(H1243&gt;0,(#REF!*H1243),"-")</f>
        <v>-</v>
      </c>
      <c r="J1243" s="113">
        <v>4050</v>
      </c>
      <c r="K1243" s="110" t="s">
        <v>129</v>
      </c>
      <c r="L1243" s="110" t="s">
        <v>2222</v>
      </c>
      <c r="M1243" s="110" t="s">
        <v>129</v>
      </c>
      <c r="N1243" s="110" t="s">
        <v>130</v>
      </c>
      <c r="O1243" s="110" t="s">
        <v>5157</v>
      </c>
      <c r="P1243" s="110" t="s">
        <v>137</v>
      </c>
      <c r="Q1243" s="110" t="s">
        <v>96</v>
      </c>
      <c r="R1243" s="121">
        <v>0.58440000000000003</v>
      </c>
      <c r="S1243" s="113" t="e">
        <f t="shared" si="38"/>
        <v>#VALUE!</v>
      </c>
      <c r="T1243" s="113">
        <f t="shared" si="39"/>
        <v>0</v>
      </c>
    </row>
    <row r="1244" spans="1:20" s="109" customFormat="1" x14ac:dyDescent="0.2">
      <c r="A1244" s="116"/>
      <c r="B1244" s="111" t="s">
        <v>202</v>
      </c>
      <c r="C1244" s="110" t="s">
        <v>5158</v>
      </c>
      <c r="D1244" s="110" t="s">
        <v>5159</v>
      </c>
      <c r="E1244" s="112" t="s">
        <v>5160</v>
      </c>
      <c r="F1244" s="111" t="s">
        <v>130</v>
      </c>
      <c r="G1244" s="133">
        <v>340</v>
      </c>
      <c r="H1244" s="124"/>
      <c r="I1244" s="133" t="str">
        <f>IF(H1244&gt;0,(#REF!*H1244),"-")</f>
        <v>-</v>
      </c>
      <c r="J1244" s="113">
        <v>4309</v>
      </c>
      <c r="K1244" s="110" t="s">
        <v>129</v>
      </c>
      <c r="L1244" s="110" t="s">
        <v>2222</v>
      </c>
      <c r="M1244" s="110" t="s">
        <v>129</v>
      </c>
      <c r="N1244" s="110" t="s">
        <v>130</v>
      </c>
      <c r="O1244" s="110" t="s">
        <v>5161</v>
      </c>
      <c r="P1244" s="110" t="s">
        <v>137</v>
      </c>
      <c r="Q1244" s="110" t="s">
        <v>96</v>
      </c>
      <c r="R1244" s="121">
        <v>0.50800000000000001</v>
      </c>
      <c r="S1244" s="113" t="e">
        <f t="shared" si="38"/>
        <v>#VALUE!</v>
      </c>
      <c r="T1244" s="113">
        <f t="shared" si="39"/>
        <v>0</v>
      </c>
    </row>
    <row r="1245" spans="1:20" s="109" customFormat="1" x14ac:dyDescent="0.2">
      <c r="A1245" s="116"/>
      <c r="B1245" s="111"/>
      <c r="C1245" s="110" t="s">
        <v>5162</v>
      </c>
      <c r="D1245" s="110" t="s">
        <v>5163</v>
      </c>
      <c r="E1245" s="112" t="s">
        <v>5164</v>
      </c>
      <c r="F1245" s="111" t="s">
        <v>126</v>
      </c>
      <c r="G1245" s="133">
        <v>155</v>
      </c>
      <c r="H1245" s="124"/>
      <c r="I1245" s="133" t="str">
        <f>IF(H1245&gt;0,(#REF!*H1245),"-")</f>
        <v>-</v>
      </c>
      <c r="J1245" s="113">
        <v>802</v>
      </c>
      <c r="K1245" s="110" t="s">
        <v>129</v>
      </c>
      <c r="L1245" s="110" t="s">
        <v>2222</v>
      </c>
      <c r="M1245" s="110" t="s">
        <v>129</v>
      </c>
      <c r="N1245" s="110" t="s">
        <v>130</v>
      </c>
      <c r="O1245" s="110" t="s">
        <v>5165</v>
      </c>
      <c r="P1245" s="110" t="s">
        <v>137</v>
      </c>
      <c r="Q1245" s="110" t="s">
        <v>96</v>
      </c>
      <c r="R1245" s="121">
        <v>0.109</v>
      </c>
      <c r="S1245" s="113" t="e">
        <f t="shared" si="38"/>
        <v>#VALUE!</v>
      </c>
      <c r="T1245" s="113">
        <f t="shared" si="39"/>
        <v>0</v>
      </c>
    </row>
    <row r="1246" spans="1:20" s="109" customFormat="1" x14ac:dyDescent="0.2">
      <c r="A1246" s="116"/>
      <c r="B1246" s="111" t="s">
        <v>202</v>
      </c>
      <c r="C1246" s="110" t="s">
        <v>5166</v>
      </c>
      <c r="D1246" s="110" t="s">
        <v>5167</v>
      </c>
      <c r="E1246" s="112" t="s">
        <v>5168</v>
      </c>
      <c r="F1246" s="111" t="s">
        <v>130</v>
      </c>
      <c r="G1246" s="133">
        <v>525</v>
      </c>
      <c r="H1246" s="124"/>
      <c r="I1246" s="133" t="str">
        <f>IF(H1246&gt;0,(#REF!*H1246),"-")</f>
        <v>-</v>
      </c>
      <c r="J1246" s="113">
        <v>5472</v>
      </c>
      <c r="K1246" s="110" t="s">
        <v>129</v>
      </c>
      <c r="L1246" s="110" t="s">
        <v>2222</v>
      </c>
      <c r="M1246" s="110" t="s">
        <v>129</v>
      </c>
      <c r="N1246" s="110" t="s">
        <v>130</v>
      </c>
      <c r="O1246" s="110" t="s">
        <v>5169</v>
      </c>
      <c r="P1246" s="110" t="s">
        <v>137</v>
      </c>
      <c r="Q1246" s="110" t="s">
        <v>96</v>
      </c>
      <c r="R1246" s="121">
        <v>0.61699999999999999</v>
      </c>
      <c r="S1246" s="113" t="e">
        <f t="shared" si="38"/>
        <v>#VALUE!</v>
      </c>
      <c r="T1246" s="113">
        <f t="shared" si="39"/>
        <v>0</v>
      </c>
    </row>
    <row r="1247" spans="1:20" s="109" customFormat="1" x14ac:dyDescent="0.2">
      <c r="A1247" s="116"/>
      <c r="B1247" s="111"/>
      <c r="C1247" s="110" t="s">
        <v>5170</v>
      </c>
      <c r="D1247" s="110" t="s">
        <v>5171</v>
      </c>
      <c r="E1247" s="112" t="s">
        <v>5172</v>
      </c>
      <c r="F1247" s="111" t="s">
        <v>126</v>
      </c>
      <c r="G1247" s="133">
        <v>200</v>
      </c>
      <c r="H1247" s="124"/>
      <c r="I1247" s="133" t="str">
        <f>IF(H1247&gt;0,(#REF!*H1247),"-")</f>
        <v>-</v>
      </c>
      <c r="J1247" s="113">
        <v>1104</v>
      </c>
      <c r="K1247" s="110" t="s">
        <v>129</v>
      </c>
      <c r="L1247" s="110" t="s">
        <v>2222</v>
      </c>
      <c r="M1247" s="110" t="s">
        <v>129</v>
      </c>
      <c r="N1247" s="110" t="s">
        <v>130</v>
      </c>
      <c r="O1247" s="110" t="s">
        <v>5173</v>
      </c>
      <c r="P1247" s="110" t="s">
        <v>137</v>
      </c>
      <c r="Q1247" s="110" t="s">
        <v>96</v>
      </c>
      <c r="R1247" s="121">
        <v>0.11799999999999999</v>
      </c>
      <c r="S1247" s="113" t="e">
        <f t="shared" si="38"/>
        <v>#VALUE!</v>
      </c>
      <c r="T1247" s="113">
        <f t="shared" si="39"/>
        <v>0</v>
      </c>
    </row>
    <row r="1248" spans="1:20" s="109" customFormat="1" x14ac:dyDescent="0.2">
      <c r="A1248" s="116"/>
      <c r="B1248" s="111"/>
      <c r="C1248" s="110" t="s">
        <v>5174</v>
      </c>
      <c r="D1248" s="110" t="s">
        <v>5175</v>
      </c>
      <c r="E1248" s="112" t="s">
        <v>5176</v>
      </c>
      <c r="F1248" s="111" t="s">
        <v>126</v>
      </c>
      <c r="G1248" s="133">
        <v>110</v>
      </c>
      <c r="H1248" s="124"/>
      <c r="I1248" s="133" t="str">
        <f>IF(H1248&gt;0,(#REF!*H1248),"-")</f>
        <v>-</v>
      </c>
      <c r="J1248" s="113">
        <v>334</v>
      </c>
      <c r="K1248" s="110" t="s">
        <v>129</v>
      </c>
      <c r="L1248" s="110" t="s">
        <v>2222</v>
      </c>
      <c r="M1248" s="110" t="s">
        <v>129</v>
      </c>
      <c r="N1248" s="110" t="s">
        <v>130</v>
      </c>
      <c r="O1248" s="110" t="s">
        <v>5177</v>
      </c>
      <c r="P1248" s="110" t="s">
        <v>137</v>
      </c>
      <c r="Q1248" s="110" t="s">
        <v>96</v>
      </c>
      <c r="R1248" s="121">
        <v>2.3E-2</v>
      </c>
      <c r="S1248" s="113" t="e">
        <f t="shared" si="38"/>
        <v>#VALUE!</v>
      </c>
      <c r="T1248" s="113">
        <f t="shared" si="39"/>
        <v>0</v>
      </c>
    </row>
    <row r="1249" spans="1:20" s="109" customFormat="1" x14ac:dyDescent="0.2">
      <c r="A1249" s="116"/>
      <c r="B1249" s="111"/>
      <c r="C1249" s="110" t="s">
        <v>5178</v>
      </c>
      <c r="D1249" s="110" t="s">
        <v>5179</v>
      </c>
      <c r="E1249" s="112" t="s">
        <v>5180</v>
      </c>
      <c r="F1249" s="111" t="s">
        <v>126</v>
      </c>
      <c r="G1249" s="133">
        <v>110</v>
      </c>
      <c r="H1249" s="124"/>
      <c r="I1249" s="133" t="str">
        <f>IF(H1249&gt;0,(#REF!*H1249),"-")</f>
        <v>-</v>
      </c>
      <c r="J1249" s="113">
        <v>375</v>
      </c>
      <c r="K1249" s="110" t="s">
        <v>129</v>
      </c>
      <c r="L1249" s="110" t="s">
        <v>2222</v>
      </c>
      <c r="M1249" s="110" t="s">
        <v>129</v>
      </c>
      <c r="N1249" s="110" t="s">
        <v>130</v>
      </c>
      <c r="O1249" s="110" t="s">
        <v>5181</v>
      </c>
      <c r="P1249" s="110" t="s">
        <v>137</v>
      </c>
      <c r="Q1249" s="110" t="s">
        <v>96</v>
      </c>
      <c r="R1249" s="121">
        <v>2.5000000000000001E-2</v>
      </c>
      <c r="S1249" s="113" t="e">
        <f t="shared" si="38"/>
        <v>#VALUE!</v>
      </c>
      <c r="T1249" s="113">
        <f t="shared" si="39"/>
        <v>0</v>
      </c>
    </row>
    <row r="1250" spans="1:20" s="109" customFormat="1" x14ac:dyDescent="0.2">
      <c r="A1250" s="116"/>
      <c r="B1250" s="111"/>
      <c r="C1250" s="110" t="s">
        <v>5182</v>
      </c>
      <c r="D1250" s="110" t="s">
        <v>5183</v>
      </c>
      <c r="E1250" s="112" t="s">
        <v>5184</v>
      </c>
      <c r="F1250" s="111" t="s">
        <v>126</v>
      </c>
      <c r="G1250" s="133">
        <v>125</v>
      </c>
      <c r="H1250" s="124"/>
      <c r="I1250" s="133" t="str">
        <f>IF(H1250&gt;0,(#REF!*H1250),"-")</f>
        <v>-</v>
      </c>
      <c r="J1250" s="113">
        <v>1676</v>
      </c>
      <c r="K1250" s="110" t="s">
        <v>129</v>
      </c>
      <c r="L1250" s="110" t="s">
        <v>2222</v>
      </c>
      <c r="M1250" s="110" t="s">
        <v>129</v>
      </c>
      <c r="N1250" s="110" t="s">
        <v>130</v>
      </c>
      <c r="O1250" s="110" t="s">
        <v>5185</v>
      </c>
      <c r="P1250" s="110" t="s">
        <v>137</v>
      </c>
      <c r="Q1250" s="110" t="s">
        <v>96</v>
      </c>
      <c r="R1250" s="121">
        <v>0.223</v>
      </c>
      <c r="S1250" s="113" t="e">
        <f t="shared" si="38"/>
        <v>#VALUE!</v>
      </c>
      <c r="T1250" s="113">
        <f t="shared" si="39"/>
        <v>0</v>
      </c>
    </row>
    <row r="1251" spans="1:20" s="109" customFormat="1" x14ac:dyDescent="0.2">
      <c r="A1251" s="116"/>
      <c r="B1251" s="111" t="s">
        <v>202</v>
      </c>
      <c r="C1251" s="110" t="s">
        <v>5186</v>
      </c>
      <c r="D1251" s="110" t="s">
        <v>5187</v>
      </c>
      <c r="E1251" s="112" t="s">
        <v>5188</v>
      </c>
      <c r="F1251" s="111" t="s">
        <v>130</v>
      </c>
      <c r="G1251" s="133">
        <v>525</v>
      </c>
      <c r="H1251" s="124"/>
      <c r="I1251" s="133" t="str">
        <f>IF(H1251&gt;0,(#REF!*H1251),"-")</f>
        <v>-</v>
      </c>
      <c r="J1251" s="113">
        <v>4529</v>
      </c>
      <c r="K1251" s="110" t="s">
        <v>129</v>
      </c>
      <c r="L1251" s="110" t="s">
        <v>2222</v>
      </c>
      <c r="M1251" s="110" t="s">
        <v>129</v>
      </c>
      <c r="N1251" s="110" t="s">
        <v>130</v>
      </c>
      <c r="O1251" s="110" t="s">
        <v>5189</v>
      </c>
      <c r="P1251" s="110" t="s">
        <v>137</v>
      </c>
      <c r="Q1251" s="110" t="s">
        <v>96</v>
      </c>
      <c r="R1251" s="121">
        <v>0.437</v>
      </c>
      <c r="S1251" s="113" t="e">
        <f t="shared" si="38"/>
        <v>#VALUE!</v>
      </c>
      <c r="T1251" s="113">
        <f t="shared" si="39"/>
        <v>0</v>
      </c>
    </row>
    <row r="1252" spans="1:20" s="109" customFormat="1" x14ac:dyDescent="0.2">
      <c r="A1252" s="116"/>
      <c r="B1252" s="111" t="s">
        <v>289</v>
      </c>
      <c r="C1252" s="110" t="s">
        <v>5190</v>
      </c>
      <c r="D1252" s="110" t="s">
        <v>5191</v>
      </c>
      <c r="E1252" s="112" t="s">
        <v>5192</v>
      </c>
      <c r="F1252" s="111" t="s">
        <v>130</v>
      </c>
      <c r="G1252" s="133">
        <v>125</v>
      </c>
      <c r="H1252" s="124"/>
      <c r="I1252" s="133" t="str">
        <f>IF(H1252&gt;0,(#REF!*H1252),"-")</f>
        <v>-</v>
      </c>
      <c r="J1252" s="113">
        <v>1522</v>
      </c>
      <c r="K1252" s="110" t="s">
        <v>129</v>
      </c>
      <c r="L1252" s="110" t="s">
        <v>2222</v>
      </c>
      <c r="M1252" s="110" t="s">
        <v>129</v>
      </c>
      <c r="N1252" s="110" t="s">
        <v>130</v>
      </c>
      <c r="O1252" s="110" t="s">
        <v>5193</v>
      </c>
      <c r="P1252" s="110" t="s">
        <v>137</v>
      </c>
      <c r="Q1252" s="110" t="s">
        <v>96</v>
      </c>
      <c r="R1252" s="121">
        <v>0.15</v>
      </c>
      <c r="S1252" s="113" t="e">
        <f t="shared" si="38"/>
        <v>#VALUE!</v>
      </c>
      <c r="T1252" s="113">
        <f t="shared" si="39"/>
        <v>0</v>
      </c>
    </row>
    <row r="1253" spans="1:20" s="109" customFormat="1" x14ac:dyDescent="0.2">
      <c r="A1253" s="116"/>
      <c r="B1253" s="111"/>
      <c r="C1253" s="110" t="s">
        <v>5194</v>
      </c>
      <c r="D1253" s="110" t="s">
        <v>5195</v>
      </c>
      <c r="E1253" s="112" t="s">
        <v>5196</v>
      </c>
      <c r="F1253" s="111" t="s">
        <v>126</v>
      </c>
      <c r="G1253" s="133">
        <v>125</v>
      </c>
      <c r="H1253" s="124"/>
      <c r="I1253" s="133" t="str">
        <f>IF(H1253&gt;0,(#REF!*H1253),"-")</f>
        <v>-</v>
      </c>
      <c r="J1253" s="113">
        <v>1046</v>
      </c>
      <c r="K1253" s="110" t="s">
        <v>129</v>
      </c>
      <c r="L1253" s="110" t="s">
        <v>2222</v>
      </c>
      <c r="M1253" s="110" t="s">
        <v>129</v>
      </c>
      <c r="N1253" s="110" t="s">
        <v>130</v>
      </c>
      <c r="O1253" s="110" t="s">
        <v>5197</v>
      </c>
      <c r="P1253" s="110" t="s">
        <v>137</v>
      </c>
      <c r="Q1253" s="110" t="s">
        <v>96</v>
      </c>
      <c r="R1253" s="121">
        <v>0.1089</v>
      </c>
      <c r="S1253" s="113" t="e">
        <f t="shared" si="38"/>
        <v>#VALUE!</v>
      </c>
      <c r="T1253" s="113">
        <f t="shared" si="39"/>
        <v>0</v>
      </c>
    </row>
    <row r="1254" spans="1:20" s="109" customFormat="1" x14ac:dyDescent="0.2">
      <c r="A1254" s="116"/>
      <c r="B1254" s="111" t="s">
        <v>202</v>
      </c>
      <c r="C1254" s="110" t="s">
        <v>5198</v>
      </c>
      <c r="D1254" s="110" t="s">
        <v>5199</v>
      </c>
      <c r="E1254" s="112" t="s">
        <v>5200</v>
      </c>
      <c r="F1254" s="111" t="s">
        <v>130</v>
      </c>
      <c r="G1254" s="133">
        <v>125</v>
      </c>
      <c r="H1254" s="124"/>
      <c r="I1254" s="133" t="str">
        <f>IF(H1254&gt;0,(#REF!*H1254),"-")</f>
        <v>-</v>
      </c>
      <c r="J1254" s="113">
        <v>1046</v>
      </c>
      <c r="K1254" s="110" t="s">
        <v>129</v>
      </c>
      <c r="L1254" s="110" t="s">
        <v>2222</v>
      </c>
      <c r="M1254" s="110" t="s">
        <v>129</v>
      </c>
      <c r="N1254" s="110" t="s">
        <v>130</v>
      </c>
      <c r="O1254" s="110" t="s">
        <v>5201</v>
      </c>
      <c r="P1254" s="110" t="s">
        <v>137</v>
      </c>
      <c r="Q1254" s="110" t="s">
        <v>96</v>
      </c>
      <c r="R1254" s="121">
        <v>0.13500000000000001</v>
      </c>
      <c r="S1254" s="113" t="e">
        <f t="shared" si="38"/>
        <v>#VALUE!</v>
      </c>
      <c r="T1254" s="113">
        <f t="shared" si="39"/>
        <v>0</v>
      </c>
    </row>
    <row r="1255" spans="1:20" s="109" customFormat="1" x14ac:dyDescent="0.2">
      <c r="A1255" s="116"/>
      <c r="B1255" s="111"/>
      <c r="C1255" s="110" t="s">
        <v>5202</v>
      </c>
      <c r="D1255" s="110" t="s">
        <v>5203</v>
      </c>
      <c r="E1255" s="112" t="s">
        <v>5204</v>
      </c>
      <c r="F1255" s="111" t="s">
        <v>126</v>
      </c>
      <c r="G1255" s="133">
        <v>140</v>
      </c>
      <c r="H1255" s="124"/>
      <c r="I1255" s="133" t="str">
        <f>IF(H1255&gt;0,(#REF!*H1255),"-")</f>
        <v>-</v>
      </c>
      <c r="J1255" s="113">
        <v>1046</v>
      </c>
      <c r="K1255" s="110" t="s">
        <v>129</v>
      </c>
      <c r="L1255" s="110" t="s">
        <v>2222</v>
      </c>
      <c r="M1255" s="110" t="s">
        <v>129</v>
      </c>
      <c r="N1255" s="110" t="s">
        <v>130</v>
      </c>
      <c r="O1255" s="110" t="s">
        <v>5205</v>
      </c>
      <c r="P1255" s="110" t="s">
        <v>137</v>
      </c>
      <c r="Q1255" s="110" t="s">
        <v>96</v>
      </c>
      <c r="R1255" s="121">
        <v>0.13900000000000001</v>
      </c>
      <c r="S1255" s="113" t="e">
        <f t="shared" si="38"/>
        <v>#VALUE!</v>
      </c>
      <c r="T1255" s="113">
        <f t="shared" si="39"/>
        <v>0</v>
      </c>
    </row>
    <row r="1256" spans="1:20" s="109" customFormat="1" x14ac:dyDescent="0.2">
      <c r="A1256" s="116"/>
      <c r="B1256" s="111"/>
      <c r="C1256" s="110" t="s">
        <v>5206</v>
      </c>
      <c r="D1256" s="110" t="s">
        <v>5207</v>
      </c>
      <c r="E1256" s="112" t="s">
        <v>5208</v>
      </c>
      <c r="F1256" s="111" t="s">
        <v>126</v>
      </c>
      <c r="G1256" s="133">
        <v>110</v>
      </c>
      <c r="H1256" s="124"/>
      <c r="I1256" s="133" t="str">
        <f>IF(H1256&gt;0,(#REF!*H1256),"-")</f>
        <v>-</v>
      </c>
      <c r="J1256" s="113">
        <v>756</v>
      </c>
      <c r="K1256" s="110" t="s">
        <v>129</v>
      </c>
      <c r="L1256" s="110" t="s">
        <v>2222</v>
      </c>
      <c r="M1256" s="110" t="s">
        <v>129</v>
      </c>
      <c r="N1256" s="110" t="s">
        <v>130</v>
      </c>
      <c r="O1256" s="110" t="s">
        <v>5209</v>
      </c>
      <c r="P1256" s="110" t="s">
        <v>3628</v>
      </c>
      <c r="Q1256" s="110" t="s">
        <v>96</v>
      </c>
      <c r="R1256" s="121">
        <v>7.8E-2</v>
      </c>
      <c r="S1256" s="113" t="e">
        <f t="shared" si="38"/>
        <v>#VALUE!</v>
      </c>
      <c r="T1256" s="113">
        <f t="shared" si="39"/>
        <v>0</v>
      </c>
    </row>
    <row r="1257" spans="1:20" s="109" customFormat="1" x14ac:dyDescent="0.2">
      <c r="A1257" s="116"/>
      <c r="B1257" s="111"/>
      <c r="C1257" s="110" t="s">
        <v>5210</v>
      </c>
      <c r="D1257" s="110" t="s">
        <v>5211</v>
      </c>
      <c r="E1257" s="112" t="s">
        <v>5212</v>
      </c>
      <c r="F1257" s="111" t="s">
        <v>126</v>
      </c>
      <c r="G1257" s="133">
        <v>110</v>
      </c>
      <c r="H1257" s="124"/>
      <c r="I1257" s="133" t="str">
        <f>IF(H1257&gt;0,(#REF!*H1257),"-")</f>
        <v>-</v>
      </c>
      <c r="J1257" s="113">
        <v>756</v>
      </c>
      <c r="K1257" s="110" t="s">
        <v>129</v>
      </c>
      <c r="L1257" s="110" t="s">
        <v>2222</v>
      </c>
      <c r="M1257" s="110" t="s">
        <v>129</v>
      </c>
      <c r="N1257" s="110" t="s">
        <v>130</v>
      </c>
      <c r="O1257" s="110" t="s">
        <v>5213</v>
      </c>
      <c r="P1257" s="110" t="s">
        <v>137</v>
      </c>
      <c r="Q1257" s="110" t="s">
        <v>96</v>
      </c>
      <c r="R1257" s="121">
        <v>8.9899999999999994E-2</v>
      </c>
      <c r="S1257" s="113" t="e">
        <f t="shared" si="38"/>
        <v>#VALUE!</v>
      </c>
      <c r="T1257" s="113">
        <f t="shared" si="39"/>
        <v>0</v>
      </c>
    </row>
    <row r="1258" spans="1:20" s="109" customFormat="1" x14ac:dyDescent="0.2">
      <c r="A1258" s="116"/>
      <c r="B1258" s="111"/>
      <c r="C1258" s="110" t="s">
        <v>5214</v>
      </c>
      <c r="D1258" s="110" t="s">
        <v>5215</v>
      </c>
      <c r="E1258" s="112" t="s">
        <v>5216</v>
      </c>
      <c r="F1258" s="111" t="s">
        <v>126</v>
      </c>
      <c r="G1258" s="133">
        <v>155</v>
      </c>
      <c r="H1258" s="124"/>
      <c r="I1258" s="133" t="str">
        <f>IF(H1258&gt;0,(#REF!*H1258),"-")</f>
        <v>-</v>
      </c>
      <c r="J1258" s="113">
        <v>1522</v>
      </c>
      <c r="K1258" s="110" t="s">
        <v>129</v>
      </c>
      <c r="L1258" s="110" t="s">
        <v>2222</v>
      </c>
      <c r="M1258" s="110" t="s">
        <v>129</v>
      </c>
      <c r="N1258" s="110" t="s">
        <v>130</v>
      </c>
      <c r="O1258" s="110" t="s">
        <v>5217</v>
      </c>
      <c r="P1258" s="110" t="s">
        <v>137</v>
      </c>
      <c r="Q1258" s="110" t="s">
        <v>96</v>
      </c>
      <c r="R1258" s="121">
        <v>0.2072</v>
      </c>
      <c r="S1258" s="113" t="e">
        <f t="shared" si="38"/>
        <v>#VALUE!</v>
      </c>
      <c r="T1258" s="113">
        <f t="shared" si="39"/>
        <v>0</v>
      </c>
    </row>
    <row r="1259" spans="1:20" s="109" customFormat="1" x14ac:dyDescent="0.2">
      <c r="A1259" s="116"/>
      <c r="B1259" s="111" t="s">
        <v>207</v>
      </c>
      <c r="C1259" s="110" t="s">
        <v>5218</v>
      </c>
      <c r="D1259" s="110" t="s">
        <v>5219</v>
      </c>
      <c r="E1259" s="112" t="s">
        <v>5220</v>
      </c>
      <c r="F1259" s="111" t="s">
        <v>130</v>
      </c>
      <c r="G1259" s="133">
        <v>525</v>
      </c>
      <c r="H1259" s="124"/>
      <c r="I1259" s="133" t="str">
        <f>IF(H1259&gt;0,(#REF!*H1259),"-")</f>
        <v>-</v>
      </c>
      <c r="J1259" s="113">
        <v>3713</v>
      </c>
      <c r="K1259" s="110" t="s">
        <v>129</v>
      </c>
      <c r="L1259" s="110" t="s">
        <v>2222</v>
      </c>
      <c r="M1259" s="110" t="s">
        <v>129</v>
      </c>
      <c r="N1259" s="110" t="s">
        <v>130</v>
      </c>
      <c r="O1259" s="110" t="s">
        <v>5221</v>
      </c>
      <c r="P1259" s="110" t="s">
        <v>137</v>
      </c>
      <c r="Q1259" s="110" t="s">
        <v>96</v>
      </c>
      <c r="R1259" s="121">
        <v>0.46</v>
      </c>
      <c r="S1259" s="113" t="e">
        <f t="shared" si="38"/>
        <v>#VALUE!</v>
      </c>
      <c r="T1259" s="113">
        <f t="shared" si="39"/>
        <v>0</v>
      </c>
    </row>
    <row r="1260" spans="1:20" s="109" customFormat="1" x14ac:dyDescent="0.2">
      <c r="A1260" s="116"/>
      <c r="B1260" s="111" t="s">
        <v>207</v>
      </c>
      <c r="C1260" s="110" t="s">
        <v>5222</v>
      </c>
      <c r="D1260" s="110" t="s">
        <v>5223</v>
      </c>
      <c r="E1260" s="112" t="s">
        <v>5224</v>
      </c>
      <c r="F1260" s="111" t="s">
        <v>130</v>
      </c>
      <c r="G1260" s="133">
        <v>525</v>
      </c>
      <c r="H1260" s="124"/>
      <c r="I1260" s="133" t="str">
        <f>IF(H1260&gt;0,(#REF!*H1260),"-")</f>
        <v>-</v>
      </c>
      <c r="J1260" s="113">
        <v>3375</v>
      </c>
      <c r="K1260" s="110" t="s">
        <v>129</v>
      </c>
      <c r="L1260" s="110" t="s">
        <v>2222</v>
      </c>
      <c r="M1260" s="110" t="s">
        <v>129</v>
      </c>
      <c r="N1260" s="110" t="s">
        <v>130</v>
      </c>
      <c r="O1260" s="110" t="s">
        <v>5225</v>
      </c>
      <c r="P1260" s="110" t="s">
        <v>137</v>
      </c>
      <c r="Q1260" s="110" t="s">
        <v>96</v>
      </c>
      <c r="R1260" s="121">
        <v>0.42399999999999999</v>
      </c>
      <c r="S1260" s="113" t="e">
        <f t="shared" si="38"/>
        <v>#VALUE!</v>
      </c>
      <c r="T1260" s="113">
        <f t="shared" si="39"/>
        <v>0</v>
      </c>
    </row>
    <row r="1261" spans="1:20" s="109" customFormat="1" x14ac:dyDescent="0.2">
      <c r="A1261" s="116"/>
      <c r="B1261" s="111"/>
      <c r="C1261" s="110" t="s">
        <v>5226</v>
      </c>
      <c r="D1261" s="110" t="s">
        <v>5227</v>
      </c>
      <c r="E1261" s="112" t="s">
        <v>5228</v>
      </c>
      <c r="F1261" s="111" t="s">
        <v>126</v>
      </c>
      <c r="G1261" s="133">
        <v>525</v>
      </c>
      <c r="H1261" s="124"/>
      <c r="I1261" s="133" t="str">
        <f>IF(H1261&gt;0,(#REF!*H1261),"-")</f>
        <v>-</v>
      </c>
      <c r="J1261" s="113">
        <v>4050</v>
      </c>
      <c r="K1261" s="110" t="s">
        <v>129</v>
      </c>
      <c r="L1261" s="110" t="s">
        <v>2222</v>
      </c>
      <c r="M1261" s="110" t="s">
        <v>129</v>
      </c>
      <c r="N1261" s="110" t="s">
        <v>130</v>
      </c>
      <c r="O1261" s="110" t="s">
        <v>5229</v>
      </c>
      <c r="P1261" s="110" t="s">
        <v>137</v>
      </c>
      <c r="Q1261" s="110" t="s">
        <v>96</v>
      </c>
      <c r="R1261" s="121">
        <v>0.38279999999999997</v>
      </c>
      <c r="S1261" s="113" t="e">
        <f t="shared" si="38"/>
        <v>#VALUE!</v>
      </c>
      <c r="T1261" s="113">
        <f t="shared" si="39"/>
        <v>0</v>
      </c>
    </row>
    <row r="1262" spans="1:20" s="109" customFormat="1" x14ac:dyDescent="0.2">
      <c r="A1262" s="116"/>
      <c r="B1262" s="111"/>
      <c r="C1262" s="110" t="s">
        <v>5230</v>
      </c>
      <c r="D1262" s="110" t="s">
        <v>5231</v>
      </c>
      <c r="E1262" s="112" t="s">
        <v>5232</v>
      </c>
      <c r="F1262" s="111" t="s">
        <v>126</v>
      </c>
      <c r="G1262" s="133">
        <v>140</v>
      </c>
      <c r="H1262" s="124"/>
      <c r="I1262" s="133" t="str">
        <f>IF(H1262&gt;0,(#REF!*H1262),"-")</f>
        <v>-</v>
      </c>
      <c r="J1262" s="113">
        <v>1046</v>
      </c>
      <c r="K1262" s="110" t="s">
        <v>129</v>
      </c>
      <c r="L1262" s="110" t="s">
        <v>2222</v>
      </c>
      <c r="M1262" s="110" t="s">
        <v>129</v>
      </c>
      <c r="N1262" s="110" t="s">
        <v>130</v>
      </c>
      <c r="O1262" s="110" t="s">
        <v>5233</v>
      </c>
      <c r="P1262" s="110" t="s">
        <v>137</v>
      </c>
      <c r="Q1262" s="110" t="s">
        <v>96</v>
      </c>
      <c r="R1262" s="121">
        <v>0.12330000000000001</v>
      </c>
      <c r="S1262" s="113" t="e">
        <f t="shared" si="38"/>
        <v>#VALUE!</v>
      </c>
      <c r="T1262" s="113">
        <f t="shared" si="39"/>
        <v>0</v>
      </c>
    </row>
    <row r="1263" spans="1:20" s="109" customFormat="1" x14ac:dyDescent="0.2">
      <c r="A1263" s="116"/>
      <c r="B1263" s="111" t="s">
        <v>202</v>
      </c>
      <c r="C1263" s="110" t="s">
        <v>5234</v>
      </c>
      <c r="D1263" s="110" t="s">
        <v>5235</v>
      </c>
      <c r="E1263" s="112" t="s">
        <v>5236</v>
      </c>
      <c r="F1263" s="111" t="s">
        <v>130</v>
      </c>
      <c r="G1263" s="133">
        <v>125</v>
      </c>
      <c r="H1263" s="124"/>
      <c r="I1263" s="133" t="str">
        <f>IF(H1263&gt;0,(#REF!*H1263),"-")</f>
        <v>-</v>
      </c>
      <c r="J1263" s="113">
        <v>528</v>
      </c>
      <c r="K1263" s="110" t="s">
        <v>129</v>
      </c>
      <c r="L1263" s="110" t="s">
        <v>2222</v>
      </c>
      <c r="M1263" s="110" t="s">
        <v>129</v>
      </c>
      <c r="N1263" s="110" t="s">
        <v>130</v>
      </c>
      <c r="O1263" s="110" t="s">
        <v>5237</v>
      </c>
      <c r="P1263" s="110" t="s">
        <v>137</v>
      </c>
      <c r="Q1263" s="110" t="s">
        <v>96</v>
      </c>
      <c r="R1263" s="121">
        <v>6.2E-2</v>
      </c>
      <c r="S1263" s="113" t="e">
        <f t="shared" si="38"/>
        <v>#VALUE!</v>
      </c>
      <c r="T1263" s="113">
        <f t="shared" si="39"/>
        <v>0</v>
      </c>
    </row>
    <row r="1264" spans="1:20" s="109" customFormat="1" x14ac:dyDescent="0.2">
      <c r="A1264" s="116"/>
      <c r="B1264" s="111"/>
      <c r="C1264" s="110" t="s">
        <v>5238</v>
      </c>
      <c r="D1264" s="110" t="s">
        <v>5239</v>
      </c>
      <c r="E1264" s="112" t="s">
        <v>5240</v>
      </c>
      <c r="F1264" s="111" t="s">
        <v>126</v>
      </c>
      <c r="G1264" s="133">
        <v>185</v>
      </c>
      <c r="H1264" s="124"/>
      <c r="I1264" s="133" t="str">
        <f>IF(H1264&gt;0,(#REF!*H1264),"-")</f>
        <v>-</v>
      </c>
      <c r="J1264" s="113">
        <v>1384</v>
      </c>
      <c r="K1264" s="110" t="s">
        <v>129</v>
      </c>
      <c r="L1264" s="110" t="s">
        <v>2222</v>
      </c>
      <c r="M1264" s="110" t="s">
        <v>129</v>
      </c>
      <c r="N1264" s="110" t="s">
        <v>130</v>
      </c>
      <c r="O1264" s="110" t="s">
        <v>5241</v>
      </c>
      <c r="P1264" s="110" t="s">
        <v>137</v>
      </c>
      <c r="Q1264" s="110" t="s">
        <v>96</v>
      </c>
      <c r="R1264" s="121">
        <v>0.14899999999999999</v>
      </c>
      <c r="S1264" s="113" t="e">
        <f t="shared" si="38"/>
        <v>#VALUE!</v>
      </c>
      <c r="T1264" s="113">
        <f t="shared" si="39"/>
        <v>0</v>
      </c>
    </row>
    <row r="1265" spans="1:20" s="109" customFormat="1" x14ac:dyDescent="0.2">
      <c r="A1265" s="116"/>
      <c r="B1265" s="111" t="s">
        <v>202</v>
      </c>
      <c r="C1265" s="110" t="s">
        <v>5242</v>
      </c>
      <c r="D1265" s="110" t="s">
        <v>5243</v>
      </c>
      <c r="E1265" s="112" t="s">
        <v>5244</v>
      </c>
      <c r="F1265" s="111" t="s">
        <v>130</v>
      </c>
      <c r="G1265" s="133">
        <v>125</v>
      </c>
      <c r="H1265" s="124"/>
      <c r="I1265" s="133" t="str">
        <f>IF(H1265&gt;0,(#REF!*H1265),"-")</f>
        <v>-</v>
      </c>
      <c r="J1265" s="113">
        <v>756</v>
      </c>
      <c r="K1265" s="110" t="s">
        <v>129</v>
      </c>
      <c r="L1265" s="110" t="s">
        <v>2222</v>
      </c>
      <c r="M1265" s="110" t="s">
        <v>129</v>
      </c>
      <c r="N1265" s="110" t="s">
        <v>130</v>
      </c>
      <c r="O1265" s="110" t="s">
        <v>5245</v>
      </c>
      <c r="P1265" s="110" t="s">
        <v>137</v>
      </c>
      <c r="Q1265" s="110" t="s">
        <v>96</v>
      </c>
      <c r="R1265" s="121">
        <v>6.6000000000000003E-2</v>
      </c>
      <c r="S1265" s="113" t="e">
        <f t="shared" si="38"/>
        <v>#VALUE!</v>
      </c>
      <c r="T1265" s="113">
        <f t="shared" si="39"/>
        <v>0</v>
      </c>
    </row>
    <row r="1266" spans="1:20" s="109" customFormat="1" x14ac:dyDescent="0.2">
      <c r="A1266" s="116"/>
      <c r="B1266" s="111"/>
      <c r="C1266" s="110" t="s">
        <v>5246</v>
      </c>
      <c r="D1266" s="110" t="s">
        <v>5247</v>
      </c>
      <c r="E1266" s="112" t="s">
        <v>5248</v>
      </c>
      <c r="F1266" s="111" t="s">
        <v>126</v>
      </c>
      <c r="G1266" s="133">
        <v>155</v>
      </c>
      <c r="H1266" s="124"/>
      <c r="I1266" s="133" t="str">
        <f>IF(H1266&gt;0,(#REF!*H1266),"-")</f>
        <v>-</v>
      </c>
      <c r="J1266" s="113">
        <v>504</v>
      </c>
      <c r="K1266" s="110" t="s">
        <v>129</v>
      </c>
      <c r="L1266" s="110" t="s">
        <v>2222</v>
      </c>
      <c r="M1266" s="110" t="s">
        <v>129</v>
      </c>
      <c r="N1266" s="110" t="s">
        <v>130</v>
      </c>
      <c r="O1266" s="110" t="s">
        <v>5249</v>
      </c>
      <c r="P1266" s="110" t="s">
        <v>137</v>
      </c>
      <c r="Q1266" s="110" t="s">
        <v>96</v>
      </c>
      <c r="R1266" s="121">
        <v>5.5E-2</v>
      </c>
      <c r="S1266" s="113" t="e">
        <f t="shared" si="38"/>
        <v>#VALUE!</v>
      </c>
      <c r="T1266" s="113">
        <f t="shared" si="39"/>
        <v>0</v>
      </c>
    </row>
    <row r="1267" spans="1:20" s="109" customFormat="1" x14ac:dyDescent="0.2">
      <c r="A1267" s="116"/>
      <c r="B1267" s="111"/>
      <c r="C1267" s="110" t="s">
        <v>5250</v>
      </c>
      <c r="D1267" s="110" t="s">
        <v>5251</v>
      </c>
      <c r="E1267" s="112" t="s">
        <v>5252</v>
      </c>
      <c r="F1267" s="111" t="s">
        <v>126</v>
      </c>
      <c r="G1267" s="133">
        <v>185</v>
      </c>
      <c r="H1267" s="124"/>
      <c r="I1267" s="133" t="str">
        <f>IF(H1267&gt;0,(#REF!*H1267),"-")</f>
        <v>-</v>
      </c>
      <c r="J1267" s="113">
        <v>1046</v>
      </c>
      <c r="K1267" s="110" t="s">
        <v>129</v>
      </c>
      <c r="L1267" s="110" t="s">
        <v>2222</v>
      </c>
      <c r="M1267" s="110" t="s">
        <v>129</v>
      </c>
      <c r="N1267" s="110" t="s">
        <v>130</v>
      </c>
      <c r="O1267" s="110" t="s">
        <v>5253</v>
      </c>
      <c r="P1267" s="110" t="s">
        <v>137</v>
      </c>
      <c r="Q1267" s="110" t="s">
        <v>96</v>
      </c>
      <c r="R1267" s="121">
        <v>0.10290000000000001</v>
      </c>
      <c r="S1267" s="113" t="e">
        <f t="shared" si="38"/>
        <v>#VALUE!</v>
      </c>
      <c r="T1267" s="113">
        <f t="shared" si="39"/>
        <v>0</v>
      </c>
    </row>
    <row r="1268" spans="1:20" s="109" customFormat="1" x14ac:dyDescent="0.2">
      <c r="A1268" s="116"/>
      <c r="B1268" s="111"/>
      <c r="C1268" s="110" t="s">
        <v>5254</v>
      </c>
      <c r="D1268" s="110" t="s">
        <v>5255</v>
      </c>
      <c r="E1268" s="112" t="s">
        <v>5256</v>
      </c>
      <c r="F1268" s="111" t="s">
        <v>126</v>
      </c>
      <c r="G1268" s="133">
        <v>185</v>
      </c>
      <c r="H1268" s="124"/>
      <c r="I1268" s="133" t="str">
        <f>IF(H1268&gt;0,(#REF!*H1268),"-")</f>
        <v>-</v>
      </c>
      <c r="J1268" s="113">
        <v>756</v>
      </c>
      <c r="K1268" s="110" t="s">
        <v>129</v>
      </c>
      <c r="L1268" s="110" t="s">
        <v>2222</v>
      </c>
      <c r="M1268" s="110" t="s">
        <v>129</v>
      </c>
      <c r="N1268" s="110" t="s">
        <v>130</v>
      </c>
      <c r="O1268" s="110" t="s">
        <v>5257</v>
      </c>
      <c r="P1268" s="110" t="s">
        <v>137</v>
      </c>
      <c r="Q1268" s="110" t="s">
        <v>96</v>
      </c>
      <c r="R1268" s="121">
        <v>7.9299999999999995E-2</v>
      </c>
      <c r="S1268" s="113" t="e">
        <f t="shared" si="38"/>
        <v>#VALUE!</v>
      </c>
      <c r="T1268" s="113">
        <f t="shared" si="39"/>
        <v>0</v>
      </c>
    </row>
    <row r="1269" spans="1:20" s="109" customFormat="1" x14ac:dyDescent="0.2">
      <c r="A1269" s="116"/>
      <c r="B1269" s="111"/>
      <c r="C1269" s="110" t="s">
        <v>5258</v>
      </c>
      <c r="D1269" s="110" t="s">
        <v>5259</v>
      </c>
      <c r="E1269" s="112" t="s">
        <v>5260</v>
      </c>
      <c r="F1269" s="111" t="s">
        <v>126</v>
      </c>
      <c r="G1269" s="133">
        <v>110</v>
      </c>
      <c r="H1269" s="124"/>
      <c r="I1269" s="133" t="str">
        <f>IF(H1269&gt;0,(#REF!*H1269),"-")</f>
        <v>-</v>
      </c>
      <c r="J1269" s="113">
        <v>398</v>
      </c>
      <c r="K1269" s="110" t="s">
        <v>129</v>
      </c>
      <c r="L1269" s="110" t="s">
        <v>2222</v>
      </c>
      <c r="M1269" s="110" t="s">
        <v>129</v>
      </c>
      <c r="N1269" s="110" t="s">
        <v>130</v>
      </c>
      <c r="O1269" s="110" t="s">
        <v>5261</v>
      </c>
      <c r="P1269" s="110" t="s">
        <v>137</v>
      </c>
      <c r="Q1269" s="110" t="s">
        <v>96</v>
      </c>
      <c r="R1269" s="121">
        <v>2.3900000000000001E-2</v>
      </c>
      <c r="S1269" s="113" t="e">
        <f t="shared" si="38"/>
        <v>#VALUE!</v>
      </c>
      <c r="T1269" s="113">
        <f t="shared" si="39"/>
        <v>0</v>
      </c>
    </row>
    <row r="1270" spans="1:20" s="109" customFormat="1" x14ac:dyDescent="0.2">
      <c r="A1270" s="116"/>
      <c r="B1270" s="111"/>
      <c r="C1270" s="110" t="s">
        <v>5262</v>
      </c>
      <c r="D1270" s="110" t="s">
        <v>5263</v>
      </c>
      <c r="E1270" s="112" t="s">
        <v>5264</v>
      </c>
      <c r="F1270" s="111" t="s">
        <v>126</v>
      </c>
      <c r="G1270" s="133">
        <v>185</v>
      </c>
      <c r="H1270" s="124"/>
      <c r="I1270" s="133" t="str">
        <f>IF(H1270&gt;0,(#REF!*H1270),"-")</f>
        <v>-</v>
      </c>
      <c r="J1270" s="113">
        <v>756</v>
      </c>
      <c r="K1270" s="110" t="s">
        <v>129</v>
      </c>
      <c r="L1270" s="110" t="s">
        <v>2222</v>
      </c>
      <c r="M1270" s="110" t="s">
        <v>129</v>
      </c>
      <c r="N1270" s="110" t="s">
        <v>130</v>
      </c>
      <c r="O1270" s="110" t="s">
        <v>5265</v>
      </c>
      <c r="P1270" s="110" t="s">
        <v>137</v>
      </c>
      <c r="Q1270" s="110" t="s">
        <v>96</v>
      </c>
      <c r="R1270" s="121">
        <v>0.11119999999999999</v>
      </c>
      <c r="S1270" s="113" t="e">
        <f t="shared" si="38"/>
        <v>#VALUE!</v>
      </c>
      <c r="T1270" s="113">
        <f t="shared" si="39"/>
        <v>0</v>
      </c>
    </row>
    <row r="1271" spans="1:20" s="109" customFormat="1" x14ac:dyDescent="0.2">
      <c r="A1271" s="116"/>
      <c r="B1271" s="111"/>
      <c r="C1271" s="110" t="s">
        <v>5266</v>
      </c>
      <c r="D1271" s="110" t="s">
        <v>5267</v>
      </c>
      <c r="E1271" s="112" t="s">
        <v>5268</v>
      </c>
      <c r="F1271" s="111" t="s">
        <v>126</v>
      </c>
      <c r="G1271" s="133">
        <v>125</v>
      </c>
      <c r="H1271" s="124"/>
      <c r="I1271" s="133" t="str">
        <f>IF(H1271&gt;0,(#REF!*H1271),"-")</f>
        <v>-</v>
      </c>
      <c r="J1271" s="113">
        <v>540</v>
      </c>
      <c r="K1271" s="110" t="s">
        <v>129</v>
      </c>
      <c r="L1271" s="110" t="s">
        <v>2222</v>
      </c>
      <c r="M1271" s="110" t="s">
        <v>129</v>
      </c>
      <c r="N1271" s="110" t="s">
        <v>130</v>
      </c>
      <c r="O1271" s="110" t="s">
        <v>5269</v>
      </c>
      <c r="P1271" s="110" t="s">
        <v>137</v>
      </c>
      <c r="Q1271" s="110" t="s">
        <v>96</v>
      </c>
      <c r="R1271" s="121">
        <v>3.5999999999999997E-2</v>
      </c>
      <c r="S1271" s="113" t="e">
        <f t="shared" si="38"/>
        <v>#VALUE!</v>
      </c>
      <c r="T1271" s="113">
        <f t="shared" si="39"/>
        <v>0</v>
      </c>
    </row>
    <row r="1272" spans="1:20" s="109" customFormat="1" x14ac:dyDescent="0.2">
      <c r="A1272" s="116"/>
      <c r="B1272" s="111"/>
      <c r="C1272" s="110" t="s">
        <v>5270</v>
      </c>
      <c r="D1272" s="110" t="s">
        <v>5271</v>
      </c>
      <c r="E1272" s="112" t="s">
        <v>5272</v>
      </c>
      <c r="F1272" s="111" t="s">
        <v>126</v>
      </c>
      <c r="G1272" s="133">
        <v>110</v>
      </c>
      <c r="H1272" s="124"/>
      <c r="I1272" s="133" t="str">
        <f>IF(H1272&gt;0,(#REF!*H1272),"-")</f>
        <v>-</v>
      </c>
      <c r="J1272" s="113">
        <v>398</v>
      </c>
      <c r="K1272" s="110" t="s">
        <v>129</v>
      </c>
      <c r="L1272" s="110" t="s">
        <v>2222</v>
      </c>
      <c r="M1272" s="110" t="s">
        <v>129</v>
      </c>
      <c r="N1272" s="110" t="s">
        <v>130</v>
      </c>
      <c r="O1272" s="110" t="s">
        <v>5273</v>
      </c>
      <c r="P1272" s="110" t="s">
        <v>137</v>
      </c>
      <c r="Q1272" s="110" t="s">
        <v>96</v>
      </c>
      <c r="R1272" s="121">
        <v>2.5000000000000001E-2</v>
      </c>
      <c r="S1272" s="113" t="e">
        <f t="shared" si="38"/>
        <v>#VALUE!</v>
      </c>
      <c r="T1272" s="113">
        <f t="shared" si="39"/>
        <v>0</v>
      </c>
    </row>
    <row r="1273" spans="1:20" s="109" customFormat="1" x14ac:dyDescent="0.2">
      <c r="A1273" s="116"/>
      <c r="B1273" s="111"/>
      <c r="C1273" s="110" t="s">
        <v>5274</v>
      </c>
      <c r="D1273" s="110" t="s">
        <v>5275</v>
      </c>
      <c r="E1273" s="112" t="s">
        <v>5276</v>
      </c>
      <c r="F1273" s="111" t="s">
        <v>126</v>
      </c>
      <c r="G1273" s="133">
        <v>590</v>
      </c>
      <c r="H1273" s="124"/>
      <c r="I1273" s="133" t="str">
        <f>IF(H1273&gt;0,(#REF!*H1273),"-")</f>
        <v>-</v>
      </c>
      <c r="J1273" s="113">
        <v>8306</v>
      </c>
      <c r="K1273" s="110" t="s">
        <v>129</v>
      </c>
      <c r="L1273" s="110" t="s">
        <v>2222</v>
      </c>
      <c r="M1273" s="110" t="s">
        <v>129</v>
      </c>
      <c r="N1273" s="110" t="s">
        <v>130</v>
      </c>
      <c r="O1273" s="110" t="s">
        <v>5277</v>
      </c>
      <c r="P1273" s="110" t="s">
        <v>137</v>
      </c>
      <c r="Q1273" s="110" t="s">
        <v>96</v>
      </c>
      <c r="R1273" s="121">
        <v>1.589</v>
      </c>
      <c r="S1273" s="113" t="e">
        <f t="shared" si="38"/>
        <v>#VALUE!</v>
      </c>
      <c r="T1273" s="113">
        <f t="shared" si="39"/>
        <v>0</v>
      </c>
    </row>
    <row r="1274" spans="1:20" s="109" customFormat="1" x14ac:dyDescent="0.2">
      <c r="A1274" s="116"/>
      <c r="B1274" s="111"/>
      <c r="C1274" s="110" t="s">
        <v>5278</v>
      </c>
      <c r="D1274" s="110" t="s">
        <v>5279</v>
      </c>
      <c r="E1274" s="112" t="s">
        <v>5280</v>
      </c>
      <c r="F1274" s="111" t="s">
        <v>126</v>
      </c>
      <c r="G1274" s="133">
        <v>50</v>
      </c>
      <c r="H1274" s="124"/>
      <c r="I1274" s="133" t="str">
        <f>IF(H1274&gt;0,(#REF!*H1274),"-")</f>
        <v>-</v>
      </c>
      <c r="J1274" s="113">
        <v>192</v>
      </c>
      <c r="K1274" s="110" t="s">
        <v>129</v>
      </c>
      <c r="L1274" s="110" t="s">
        <v>692</v>
      </c>
      <c r="M1274" s="110" t="s">
        <v>129</v>
      </c>
      <c r="N1274" s="110" t="s">
        <v>130</v>
      </c>
      <c r="O1274" s="110" t="s">
        <v>5281</v>
      </c>
      <c r="P1274" s="110" t="s">
        <v>589</v>
      </c>
      <c r="Q1274" s="110" t="s">
        <v>97</v>
      </c>
      <c r="R1274" s="121">
        <v>3.7999999999999999E-2</v>
      </c>
      <c r="S1274" s="113" t="e">
        <f t="shared" si="38"/>
        <v>#VALUE!</v>
      </c>
      <c r="T1274" s="113">
        <f t="shared" si="39"/>
        <v>0</v>
      </c>
    </row>
    <row r="1275" spans="1:20" s="109" customFormat="1" x14ac:dyDescent="0.2">
      <c r="A1275" s="116"/>
      <c r="B1275" s="111"/>
      <c r="C1275" s="110" t="s">
        <v>5282</v>
      </c>
      <c r="D1275" s="110" t="s">
        <v>5283</v>
      </c>
      <c r="E1275" s="112" t="s">
        <v>5284</v>
      </c>
      <c r="F1275" s="111" t="s">
        <v>126</v>
      </c>
      <c r="G1275" s="133">
        <v>50</v>
      </c>
      <c r="H1275" s="124"/>
      <c r="I1275" s="133" t="str">
        <f>IF(H1275&gt;0,(#REF!*H1275),"-")</f>
        <v>-</v>
      </c>
      <c r="J1275" s="113">
        <v>225</v>
      </c>
      <c r="K1275" s="110" t="s">
        <v>129</v>
      </c>
      <c r="L1275" s="110" t="s">
        <v>692</v>
      </c>
      <c r="M1275" s="110" t="s">
        <v>129</v>
      </c>
      <c r="N1275" s="110" t="s">
        <v>130</v>
      </c>
      <c r="O1275" s="110" t="s">
        <v>5285</v>
      </c>
      <c r="P1275" s="110" t="s">
        <v>4634</v>
      </c>
      <c r="Q1275" s="110" t="s">
        <v>97</v>
      </c>
      <c r="R1275" s="121">
        <v>8.2000000000000003E-2</v>
      </c>
      <c r="S1275" s="113" t="e">
        <f t="shared" si="38"/>
        <v>#VALUE!</v>
      </c>
      <c r="T1275" s="113">
        <f t="shared" si="39"/>
        <v>0</v>
      </c>
    </row>
    <row r="1276" spans="1:20" s="109" customFormat="1" x14ac:dyDescent="0.2">
      <c r="A1276" s="116"/>
      <c r="B1276" s="111"/>
      <c r="C1276" s="110" t="s">
        <v>5286</v>
      </c>
      <c r="D1276" s="110" t="s">
        <v>5287</v>
      </c>
      <c r="E1276" s="112" t="s">
        <v>5288</v>
      </c>
      <c r="F1276" s="111" t="s">
        <v>126</v>
      </c>
      <c r="G1276" s="133">
        <v>110</v>
      </c>
      <c r="H1276" s="124"/>
      <c r="I1276" s="133" t="str">
        <f>IF(H1276&gt;0,(#REF!*H1276),"-")</f>
        <v>-</v>
      </c>
      <c r="J1276" s="113">
        <v>968</v>
      </c>
      <c r="K1276" s="110" t="s">
        <v>129</v>
      </c>
      <c r="L1276" s="110" t="s">
        <v>538</v>
      </c>
      <c r="M1276" s="110" t="s">
        <v>129</v>
      </c>
      <c r="N1276" s="110" t="s">
        <v>130</v>
      </c>
      <c r="O1276" s="110" t="s">
        <v>5289</v>
      </c>
      <c r="P1276" s="110" t="s">
        <v>137</v>
      </c>
      <c r="Q1276" s="110" t="s">
        <v>96</v>
      </c>
      <c r="R1276" s="121">
        <v>0.20599999999999999</v>
      </c>
      <c r="S1276" s="113" t="e">
        <f t="shared" si="38"/>
        <v>#VALUE!</v>
      </c>
      <c r="T1276" s="113">
        <f t="shared" si="39"/>
        <v>0</v>
      </c>
    </row>
    <row r="1277" spans="1:20" s="109" customFormat="1" x14ac:dyDescent="0.2">
      <c r="A1277" s="116"/>
      <c r="B1277" s="111"/>
      <c r="C1277" s="110" t="s">
        <v>5290</v>
      </c>
      <c r="D1277" s="110" t="s">
        <v>5291</v>
      </c>
      <c r="E1277" s="112" t="s">
        <v>5292</v>
      </c>
      <c r="F1277" s="111" t="s">
        <v>126</v>
      </c>
      <c r="G1277" s="133">
        <v>110</v>
      </c>
      <c r="H1277" s="124"/>
      <c r="I1277" s="133" t="str">
        <f>IF(H1277&gt;0,(#REF!*H1277),"-")</f>
        <v>-</v>
      </c>
      <c r="J1277" s="113">
        <v>968</v>
      </c>
      <c r="K1277" s="110" t="s">
        <v>129</v>
      </c>
      <c r="L1277" s="110" t="s">
        <v>538</v>
      </c>
      <c r="M1277" s="110" t="s">
        <v>129</v>
      </c>
      <c r="N1277" s="110" t="s">
        <v>130</v>
      </c>
      <c r="O1277" s="110" t="s">
        <v>5293</v>
      </c>
      <c r="P1277" s="110" t="s">
        <v>137</v>
      </c>
      <c r="Q1277" s="110" t="s">
        <v>96</v>
      </c>
      <c r="R1277" s="121">
        <v>0.20599999999999999</v>
      </c>
      <c r="S1277" s="113" t="e">
        <f t="shared" si="38"/>
        <v>#VALUE!</v>
      </c>
      <c r="T1277" s="113">
        <f t="shared" si="39"/>
        <v>0</v>
      </c>
    </row>
    <row r="1278" spans="1:20" s="109" customFormat="1" x14ac:dyDescent="0.2">
      <c r="A1278" s="116"/>
      <c r="B1278" s="111" t="s">
        <v>289</v>
      </c>
      <c r="C1278" s="110" t="s">
        <v>5294</v>
      </c>
      <c r="D1278" s="110" t="s">
        <v>5295</v>
      </c>
      <c r="E1278" s="112" t="s">
        <v>5296</v>
      </c>
      <c r="F1278" s="111" t="s">
        <v>4518</v>
      </c>
      <c r="G1278" s="133">
        <v>17</v>
      </c>
      <c r="H1278" s="124"/>
      <c r="I1278" s="133" t="str">
        <f>IF(H1278&gt;0,(#REF!*H1278),"-")</f>
        <v>-</v>
      </c>
      <c r="J1278" s="113">
        <v>286</v>
      </c>
      <c r="K1278" s="110" t="s">
        <v>129</v>
      </c>
      <c r="L1278" s="110" t="s">
        <v>5297</v>
      </c>
      <c r="M1278" s="110" t="s">
        <v>129</v>
      </c>
      <c r="N1278" s="110" t="s">
        <v>944</v>
      </c>
      <c r="O1278" s="110" t="s">
        <v>5298</v>
      </c>
      <c r="P1278" s="110" t="s">
        <v>4520</v>
      </c>
      <c r="Q1278" s="110" t="s">
        <v>96</v>
      </c>
      <c r="R1278" s="121">
        <v>0.1628</v>
      </c>
      <c r="S1278" s="113" t="e">
        <f t="shared" si="38"/>
        <v>#VALUE!</v>
      </c>
      <c r="T1278" s="113">
        <f t="shared" si="39"/>
        <v>0</v>
      </c>
    </row>
    <row r="1279" spans="1:20" s="109" customFormat="1" x14ac:dyDescent="0.2">
      <c r="A1279" s="116"/>
      <c r="B1279" s="111" t="s">
        <v>5299</v>
      </c>
      <c r="C1279" s="110" t="s">
        <v>5300</v>
      </c>
      <c r="D1279" s="110" t="s">
        <v>5301</v>
      </c>
      <c r="E1279" s="112" t="s">
        <v>5302</v>
      </c>
      <c r="F1279" s="111" t="s">
        <v>4518</v>
      </c>
      <c r="G1279" s="133">
        <v>17</v>
      </c>
      <c r="H1279" s="124"/>
      <c r="I1279" s="133" t="str">
        <f>IF(H1279&gt;0,(#REF!*H1279),"-")</f>
        <v>-</v>
      </c>
      <c r="J1279" s="113">
        <v>286</v>
      </c>
      <c r="K1279" s="110" t="s">
        <v>129</v>
      </c>
      <c r="L1279" s="110" t="s">
        <v>5297</v>
      </c>
      <c r="M1279" s="110" t="s">
        <v>129</v>
      </c>
      <c r="N1279" s="110" t="s">
        <v>944</v>
      </c>
      <c r="O1279" s="110" t="s">
        <v>5303</v>
      </c>
      <c r="P1279" s="110" t="s">
        <v>4520</v>
      </c>
      <c r="Q1279" s="110" t="s">
        <v>96</v>
      </c>
      <c r="R1279" s="121">
        <v>0.1628</v>
      </c>
      <c r="S1279" s="113" t="e">
        <f t="shared" si="38"/>
        <v>#VALUE!</v>
      </c>
      <c r="T1279" s="113">
        <f t="shared" si="39"/>
        <v>0</v>
      </c>
    </row>
    <row r="1280" spans="1:20" s="109" customFormat="1" x14ac:dyDescent="0.2">
      <c r="A1280" s="116"/>
      <c r="B1280" s="111" t="s">
        <v>289</v>
      </c>
      <c r="C1280" s="110" t="s">
        <v>5304</v>
      </c>
      <c r="D1280" s="110" t="s">
        <v>5305</v>
      </c>
      <c r="E1280" s="112" t="s">
        <v>5306</v>
      </c>
      <c r="F1280" s="111" t="s">
        <v>944</v>
      </c>
      <c r="G1280" s="133">
        <v>17</v>
      </c>
      <c r="H1280" s="124"/>
      <c r="I1280" s="133" t="str">
        <f>IF(H1280&gt;0,(#REF!*H1280),"-")</f>
        <v>-</v>
      </c>
      <c r="J1280" s="113">
        <v>286</v>
      </c>
      <c r="K1280" s="110" t="s">
        <v>129</v>
      </c>
      <c r="L1280" s="110" t="s">
        <v>5297</v>
      </c>
      <c r="M1280" s="110" t="s">
        <v>129</v>
      </c>
      <c r="N1280" s="110" t="s">
        <v>944</v>
      </c>
      <c r="O1280" s="110" t="s">
        <v>5307</v>
      </c>
      <c r="P1280" s="110" t="s">
        <v>4520</v>
      </c>
      <c r="Q1280" s="110" t="s">
        <v>96</v>
      </c>
      <c r="R1280" s="121">
        <v>0.1628</v>
      </c>
      <c r="S1280" s="113" t="e">
        <f t="shared" si="38"/>
        <v>#VALUE!</v>
      </c>
      <c r="T1280" s="113">
        <f t="shared" si="39"/>
        <v>0</v>
      </c>
    </row>
    <row r="1281" spans="1:20" s="109" customFormat="1" x14ac:dyDescent="0.2">
      <c r="A1281" s="116"/>
      <c r="B1281" s="111" t="s">
        <v>1037</v>
      </c>
      <c r="C1281" s="110" t="s">
        <v>5308</v>
      </c>
      <c r="D1281" s="110" t="s">
        <v>5309</v>
      </c>
      <c r="E1281" s="112" t="s">
        <v>5310</v>
      </c>
      <c r="F1281" s="111" t="s">
        <v>944</v>
      </c>
      <c r="G1281" s="133">
        <v>17</v>
      </c>
      <c r="H1281" s="124"/>
      <c r="I1281" s="133" t="str">
        <f>IF(H1281&gt;0,(#REF!*H1281),"-")</f>
        <v>-</v>
      </c>
      <c r="J1281" s="113">
        <v>286</v>
      </c>
      <c r="K1281" s="110" t="s">
        <v>129</v>
      </c>
      <c r="L1281" s="110" t="s">
        <v>5297</v>
      </c>
      <c r="M1281" s="110" t="s">
        <v>129</v>
      </c>
      <c r="N1281" s="110" t="s">
        <v>944</v>
      </c>
      <c r="O1281" s="110" t="s">
        <v>5311</v>
      </c>
      <c r="P1281" s="110" t="s">
        <v>4520</v>
      </c>
      <c r="Q1281" s="110" t="s">
        <v>96</v>
      </c>
      <c r="R1281" s="121">
        <v>0.1628</v>
      </c>
      <c r="S1281" s="113" t="e">
        <f t="shared" si="38"/>
        <v>#VALUE!</v>
      </c>
      <c r="T1281" s="113">
        <f t="shared" si="39"/>
        <v>0</v>
      </c>
    </row>
    <row r="1282" spans="1:20" s="109" customFormat="1" x14ac:dyDescent="0.2">
      <c r="A1282" s="116"/>
      <c r="B1282" s="111" t="s">
        <v>1037</v>
      </c>
      <c r="C1282" s="110" t="s">
        <v>5312</v>
      </c>
      <c r="D1282" s="110" t="s">
        <v>5313</v>
      </c>
      <c r="E1282" s="112" t="s">
        <v>5314</v>
      </c>
      <c r="F1282" s="111" t="s">
        <v>4518</v>
      </c>
      <c r="G1282" s="133">
        <v>17</v>
      </c>
      <c r="H1282" s="124"/>
      <c r="I1282" s="133" t="str">
        <f>IF(H1282&gt;0,(#REF!*H1282),"-")</f>
        <v>-</v>
      </c>
      <c r="J1282" s="113">
        <v>286</v>
      </c>
      <c r="K1282" s="110" t="s">
        <v>129</v>
      </c>
      <c r="L1282" s="110" t="s">
        <v>5297</v>
      </c>
      <c r="M1282" s="110" t="s">
        <v>129</v>
      </c>
      <c r="N1282" s="110" t="s">
        <v>944</v>
      </c>
      <c r="O1282" s="110" t="s">
        <v>5315</v>
      </c>
      <c r="P1282" s="110" t="s">
        <v>4520</v>
      </c>
      <c r="Q1282" s="110" t="s">
        <v>96</v>
      </c>
      <c r="R1282" s="121">
        <v>0.1628</v>
      </c>
      <c r="S1282" s="113" t="e">
        <f t="shared" ref="S1282:S1345" si="40">Q1282*H1282</f>
        <v>#VALUE!</v>
      </c>
      <c r="T1282" s="113">
        <f t="shared" ref="T1282:T1345" si="41">R1282*H1282</f>
        <v>0</v>
      </c>
    </row>
    <row r="1283" spans="1:20" s="109" customFormat="1" x14ac:dyDescent="0.2">
      <c r="A1283" s="116"/>
      <c r="B1283" s="111" t="s">
        <v>959</v>
      </c>
      <c r="C1283" s="110" t="s">
        <v>5316</v>
      </c>
      <c r="D1283" s="110" t="s">
        <v>5317</v>
      </c>
      <c r="E1283" s="112" t="s">
        <v>5318</v>
      </c>
      <c r="F1283" s="111" t="s">
        <v>4518</v>
      </c>
      <c r="G1283" s="133">
        <v>17</v>
      </c>
      <c r="H1283" s="124"/>
      <c r="I1283" s="133" t="str">
        <f>IF(H1283&gt;0,(#REF!*H1283),"-")</f>
        <v>-</v>
      </c>
      <c r="J1283" s="113">
        <v>286</v>
      </c>
      <c r="K1283" s="110" t="s">
        <v>129</v>
      </c>
      <c r="L1283" s="110" t="s">
        <v>5297</v>
      </c>
      <c r="M1283" s="110" t="s">
        <v>129</v>
      </c>
      <c r="N1283" s="110" t="s">
        <v>944</v>
      </c>
      <c r="O1283" s="110" t="s">
        <v>5319</v>
      </c>
      <c r="P1283" s="110" t="s">
        <v>4520</v>
      </c>
      <c r="Q1283" s="110" t="s">
        <v>96</v>
      </c>
      <c r="R1283" s="121">
        <v>0.1628</v>
      </c>
      <c r="S1283" s="113" t="e">
        <f t="shared" si="40"/>
        <v>#VALUE!</v>
      </c>
      <c r="T1283" s="113">
        <f t="shared" si="41"/>
        <v>0</v>
      </c>
    </row>
    <row r="1284" spans="1:20" s="109" customFormat="1" x14ac:dyDescent="0.2">
      <c r="A1284" s="116"/>
      <c r="B1284" s="111" t="s">
        <v>1037</v>
      </c>
      <c r="C1284" s="110" t="s">
        <v>5320</v>
      </c>
      <c r="D1284" s="110" t="s">
        <v>5321</v>
      </c>
      <c r="E1284" s="112" t="s">
        <v>5322</v>
      </c>
      <c r="F1284" s="111" t="s">
        <v>4518</v>
      </c>
      <c r="G1284" s="133">
        <v>17</v>
      </c>
      <c r="H1284" s="124"/>
      <c r="I1284" s="133" t="str">
        <f>IF(H1284&gt;0,(#REF!*H1284),"-")</f>
        <v>-</v>
      </c>
      <c r="J1284" s="113">
        <v>286</v>
      </c>
      <c r="K1284" s="110" t="s">
        <v>129</v>
      </c>
      <c r="L1284" s="110" t="s">
        <v>5297</v>
      </c>
      <c r="M1284" s="110" t="s">
        <v>129</v>
      </c>
      <c r="N1284" s="110" t="s">
        <v>944</v>
      </c>
      <c r="O1284" s="110" t="s">
        <v>5323</v>
      </c>
      <c r="P1284" s="110" t="s">
        <v>4520</v>
      </c>
      <c r="Q1284" s="110" t="s">
        <v>96</v>
      </c>
      <c r="R1284" s="121">
        <v>0.1628</v>
      </c>
      <c r="S1284" s="113" t="e">
        <f t="shared" si="40"/>
        <v>#VALUE!</v>
      </c>
      <c r="T1284" s="113">
        <f t="shared" si="41"/>
        <v>0</v>
      </c>
    </row>
    <row r="1285" spans="1:20" s="109" customFormat="1" x14ac:dyDescent="0.2">
      <c r="A1285" s="116"/>
      <c r="B1285" s="111" t="s">
        <v>289</v>
      </c>
      <c r="C1285" s="110" t="s">
        <v>5324</v>
      </c>
      <c r="D1285" s="110" t="s">
        <v>5325</v>
      </c>
      <c r="E1285" s="112" t="s">
        <v>5326</v>
      </c>
      <c r="F1285" s="111" t="s">
        <v>4518</v>
      </c>
      <c r="G1285" s="133">
        <v>17</v>
      </c>
      <c r="H1285" s="124"/>
      <c r="I1285" s="133" t="str">
        <f>IF(H1285&gt;0,(#REF!*H1285),"-")</f>
        <v>-</v>
      </c>
      <c r="J1285" s="113">
        <v>286</v>
      </c>
      <c r="K1285" s="110" t="s">
        <v>129</v>
      </c>
      <c r="L1285" s="110" t="s">
        <v>5297</v>
      </c>
      <c r="M1285" s="110" t="s">
        <v>129</v>
      </c>
      <c r="N1285" s="110" t="s">
        <v>944</v>
      </c>
      <c r="O1285" s="110" t="s">
        <v>5327</v>
      </c>
      <c r="P1285" s="110" t="s">
        <v>4520</v>
      </c>
      <c r="Q1285" s="110" t="s">
        <v>96</v>
      </c>
      <c r="R1285" s="121">
        <v>0.1628</v>
      </c>
      <c r="S1285" s="113" t="e">
        <f t="shared" si="40"/>
        <v>#VALUE!</v>
      </c>
      <c r="T1285" s="113">
        <f t="shared" si="41"/>
        <v>0</v>
      </c>
    </row>
    <row r="1286" spans="1:20" s="109" customFormat="1" x14ac:dyDescent="0.2">
      <c r="A1286" s="116"/>
      <c r="B1286" s="111" t="s">
        <v>1037</v>
      </c>
      <c r="C1286" s="110" t="s">
        <v>5328</v>
      </c>
      <c r="D1286" s="110" t="s">
        <v>5329</v>
      </c>
      <c r="E1286" s="112" t="s">
        <v>5330</v>
      </c>
      <c r="F1286" s="111" t="s">
        <v>4518</v>
      </c>
      <c r="G1286" s="133">
        <v>17</v>
      </c>
      <c r="H1286" s="124"/>
      <c r="I1286" s="133" t="str">
        <f>IF(H1286&gt;0,(#REF!*H1286),"-")</f>
        <v>-</v>
      </c>
      <c r="J1286" s="113">
        <v>286</v>
      </c>
      <c r="K1286" s="110" t="s">
        <v>129</v>
      </c>
      <c r="L1286" s="110" t="s">
        <v>5297</v>
      </c>
      <c r="M1286" s="110" t="s">
        <v>129</v>
      </c>
      <c r="N1286" s="110" t="s">
        <v>944</v>
      </c>
      <c r="O1286" s="110" t="s">
        <v>5331</v>
      </c>
      <c r="P1286" s="110" t="s">
        <v>4520</v>
      </c>
      <c r="Q1286" s="110" t="s">
        <v>96</v>
      </c>
      <c r="R1286" s="121">
        <v>0.1628</v>
      </c>
      <c r="S1286" s="113" t="e">
        <f t="shared" si="40"/>
        <v>#VALUE!</v>
      </c>
      <c r="T1286" s="113">
        <f t="shared" si="41"/>
        <v>0</v>
      </c>
    </row>
    <row r="1287" spans="1:20" s="109" customFormat="1" x14ac:dyDescent="0.2">
      <c r="A1287" s="116"/>
      <c r="B1287" s="111" t="s">
        <v>1037</v>
      </c>
      <c r="C1287" s="110" t="s">
        <v>5332</v>
      </c>
      <c r="D1287" s="110" t="s">
        <v>5333</v>
      </c>
      <c r="E1287" s="112" t="s">
        <v>5334</v>
      </c>
      <c r="F1287" s="111" t="s">
        <v>4518</v>
      </c>
      <c r="G1287" s="133">
        <v>17</v>
      </c>
      <c r="H1287" s="124"/>
      <c r="I1287" s="133" t="str">
        <f>IF(H1287&gt;0,(#REF!*H1287),"-")</f>
        <v>-</v>
      </c>
      <c r="J1287" s="113">
        <v>286</v>
      </c>
      <c r="K1287" s="110" t="s">
        <v>129</v>
      </c>
      <c r="L1287" s="110" t="s">
        <v>5297</v>
      </c>
      <c r="M1287" s="110" t="s">
        <v>129</v>
      </c>
      <c r="N1287" s="110" t="s">
        <v>944</v>
      </c>
      <c r="O1287" s="110" t="s">
        <v>5335</v>
      </c>
      <c r="P1287" s="110" t="s">
        <v>4520</v>
      </c>
      <c r="Q1287" s="110" t="s">
        <v>96</v>
      </c>
      <c r="R1287" s="121">
        <v>0.1628</v>
      </c>
      <c r="S1287" s="113" t="e">
        <f t="shared" si="40"/>
        <v>#VALUE!</v>
      </c>
      <c r="T1287" s="113">
        <f t="shared" si="41"/>
        <v>0</v>
      </c>
    </row>
    <row r="1288" spans="1:20" s="109" customFormat="1" x14ac:dyDescent="0.2">
      <c r="A1288" s="116"/>
      <c r="B1288" s="111" t="s">
        <v>5299</v>
      </c>
      <c r="C1288" s="110" t="s">
        <v>5336</v>
      </c>
      <c r="D1288" s="110" t="s">
        <v>5337</v>
      </c>
      <c r="E1288" s="112" t="s">
        <v>5338</v>
      </c>
      <c r="F1288" s="111" t="s">
        <v>4518</v>
      </c>
      <c r="G1288" s="133">
        <v>17</v>
      </c>
      <c r="H1288" s="124"/>
      <c r="I1288" s="133" t="str">
        <f>IF(H1288&gt;0,(#REF!*H1288),"-")</f>
        <v>-</v>
      </c>
      <c r="J1288" s="113">
        <v>286</v>
      </c>
      <c r="K1288" s="110" t="s">
        <v>129</v>
      </c>
      <c r="L1288" s="110" t="s">
        <v>5297</v>
      </c>
      <c r="M1288" s="110" t="s">
        <v>129</v>
      </c>
      <c r="N1288" s="110" t="s">
        <v>944</v>
      </c>
      <c r="O1288" s="110" t="s">
        <v>5339</v>
      </c>
      <c r="P1288" s="110" t="s">
        <v>4520</v>
      </c>
      <c r="Q1288" s="110" t="s">
        <v>96</v>
      </c>
      <c r="R1288" s="121">
        <v>0.1628</v>
      </c>
      <c r="S1288" s="113" t="e">
        <f t="shared" si="40"/>
        <v>#VALUE!</v>
      </c>
      <c r="T1288" s="113">
        <f t="shared" si="41"/>
        <v>0</v>
      </c>
    </row>
    <row r="1289" spans="1:20" s="109" customFormat="1" x14ac:dyDescent="0.2">
      <c r="A1289" s="116"/>
      <c r="B1289" s="111" t="s">
        <v>1037</v>
      </c>
      <c r="C1289" s="110" t="s">
        <v>5340</v>
      </c>
      <c r="D1289" s="110" t="s">
        <v>5341</v>
      </c>
      <c r="E1289" s="112" t="s">
        <v>5342</v>
      </c>
      <c r="F1289" s="111" t="s">
        <v>4518</v>
      </c>
      <c r="G1289" s="133">
        <v>17</v>
      </c>
      <c r="H1289" s="124"/>
      <c r="I1289" s="133" t="str">
        <f>IF(H1289&gt;0,(#REF!*H1289),"-")</f>
        <v>-</v>
      </c>
      <c r="J1289" s="113">
        <v>286</v>
      </c>
      <c r="K1289" s="110" t="s">
        <v>129</v>
      </c>
      <c r="L1289" s="110" t="s">
        <v>5297</v>
      </c>
      <c r="M1289" s="110" t="s">
        <v>129</v>
      </c>
      <c r="N1289" s="110" t="s">
        <v>944</v>
      </c>
      <c r="O1289" s="110" t="s">
        <v>5343</v>
      </c>
      <c r="P1289" s="110" t="s">
        <v>4520</v>
      </c>
      <c r="Q1289" s="110" t="s">
        <v>96</v>
      </c>
      <c r="R1289" s="121">
        <v>0.1628</v>
      </c>
      <c r="S1289" s="113" t="e">
        <f t="shared" si="40"/>
        <v>#VALUE!</v>
      </c>
      <c r="T1289" s="113">
        <f t="shared" si="41"/>
        <v>0</v>
      </c>
    </row>
    <row r="1290" spans="1:20" s="109" customFormat="1" x14ac:dyDescent="0.2">
      <c r="A1290" s="116"/>
      <c r="B1290" s="111" t="s">
        <v>289</v>
      </c>
      <c r="C1290" s="110" t="s">
        <v>5344</v>
      </c>
      <c r="D1290" s="110" t="s">
        <v>5345</v>
      </c>
      <c r="E1290" s="112" t="s">
        <v>5346</v>
      </c>
      <c r="F1290" s="111" t="s">
        <v>4518</v>
      </c>
      <c r="G1290" s="133">
        <v>17</v>
      </c>
      <c r="H1290" s="124"/>
      <c r="I1290" s="133" t="str">
        <f>IF(H1290&gt;0,(#REF!*H1290),"-")</f>
        <v>-</v>
      </c>
      <c r="J1290" s="113">
        <v>286</v>
      </c>
      <c r="K1290" s="110" t="s">
        <v>129</v>
      </c>
      <c r="L1290" s="110" t="s">
        <v>5297</v>
      </c>
      <c r="M1290" s="110" t="s">
        <v>129</v>
      </c>
      <c r="N1290" s="110" t="s">
        <v>944</v>
      </c>
      <c r="O1290" s="110" t="s">
        <v>5347</v>
      </c>
      <c r="P1290" s="110" t="s">
        <v>4520</v>
      </c>
      <c r="Q1290" s="110" t="s">
        <v>96</v>
      </c>
      <c r="R1290" s="121">
        <v>0.1628</v>
      </c>
      <c r="S1290" s="113" t="e">
        <f t="shared" si="40"/>
        <v>#VALUE!</v>
      </c>
      <c r="T1290" s="113">
        <f t="shared" si="41"/>
        <v>0</v>
      </c>
    </row>
    <row r="1291" spans="1:20" s="109" customFormat="1" x14ac:dyDescent="0.2">
      <c r="A1291" s="116"/>
      <c r="B1291" s="111" t="s">
        <v>5299</v>
      </c>
      <c r="C1291" s="110" t="s">
        <v>5348</v>
      </c>
      <c r="D1291" s="110" t="s">
        <v>5349</v>
      </c>
      <c r="E1291" s="112" t="s">
        <v>5350</v>
      </c>
      <c r="F1291" s="111" t="s">
        <v>4518</v>
      </c>
      <c r="G1291" s="133">
        <v>17</v>
      </c>
      <c r="H1291" s="124"/>
      <c r="I1291" s="133" t="str">
        <f>IF(H1291&gt;0,(#REF!*H1291),"-")</f>
        <v>-</v>
      </c>
      <c r="J1291" s="113">
        <v>286</v>
      </c>
      <c r="K1291" s="110" t="s">
        <v>129</v>
      </c>
      <c r="L1291" s="110" t="s">
        <v>5297</v>
      </c>
      <c r="M1291" s="110" t="s">
        <v>129</v>
      </c>
      <c r="N1291" s="110" t="s">
        <v>944</v>
      </c>
      <c r="O1291" s="110" t="s">
        <v>5351</v>
      </c>
      <c r="P1291" s="110" t="s">
        <v>4520</v>
      </c>
      <c r="Q1291" s="110" t="s">
        <v>96</v>
      </c>
      <c r="R1291" s="121">
        <v>0.1628</v>
      </c>
      <c r="S1291" s="113" t="e">
        <f t="shared" si="40"/>
        <v>#VALUE!</v>
      </c>
      <c r="T1291" s="113">
        <f t="shared" si="41"/>
        <v>0</v>
      </c>
    </row>
    <row r="1292" spans="1:20" s="109" customFormat="1" x14ac:dyDescent="0.2">
      <c r="A1292" s="116"/>
      <c r="B1292" s="111" t="s">
        <v>1037</v>
      </c>
      <c r="C1292" s="110" t="s">
        <v>5352</v>
      </c>
      <c r="D1292" s="110" t="s">
        <v>5353</v>
      </c>
      <c r="E1292" s="112" t="s">
        <v>5354</v>
      </c>
      <c r="F1292" s="111" t="s">
        <v>4518</v>
      </c>
      <c r="G1292" s="133">
        <v>17</v>
      </c>
      <c r="H1292" s="124"/>
      <c r="I1292" s="133" t="str">
        <f>IF(H1292&gt;0,(#REF!*H1292),"-")</f>
        <v>-</v>
      </c>
      <c r="J1292" s="113">
        <v>286</v>
      </c>
      <c r="K1292" s="110" t="s">
        <v>129</v>
      </c>
      <c r="L1292" s="110" t="s">
        <v>5297</v>
      </c>
      <c r="M1292" s="110" t="s">
        <v>129</v>
      </c>
      <c r="N1292" s="110" t="s">
        <v>944</v>
      </c>
      <c r="O1292" s="110" t="s">
        <v>5355</v>
      </c>
      <c r="P1292" s="110" t="s">
        <v>4520</v>
      </c>
      <c r="Q1292" s="110" t="s">
        <v>96</v>
      </c>
      <c r="R1292" s="121">
        <v>0.1628</v>
      </c>
      <c r="S1292" s="113" t="e">
        <f t="shared" si="40"/>
        <v>#VALUE!</v>
      </c>
      <c r="T1292" s="113">
        <f t="shared" si="41"/>
        <v>0</v>
      </c>
    </row>
    <row r="1293" spans="1:20" s="109" customFormat="1" x14ac:dyDescent="0.2">
      <c r="A1293" s="116"/>
      <c r="B1293" s="111" t="s">
        <v>1037</v>
      </c>
      <c r="C1293" s="110" t="s">
        <v>5356</v>
      </c>
      <c r="D1293" s="110" t="s">
        <v>5357</v>
      </c>
      <c r="E1293" s="112" t="s">
        <v>5358</v>
      </c>
      <c r="F1293" s="111" t="s">
        <v>944</v>
      </c>
      <c r="G1293" s="133">
        <v>17</v>
      </c>
      <c r="H1293" s="124"/>
      <c r="I1293" s="133" t="str">
        <f>IF(H1293&gt;0,(#REF!*H1293),"-")</f>
        <v>-</v>
      </c>
      <c r="J1293" s="113">
        <v>286</v>
      </c>
      <c r="K1293" s="110" t="s">
        <v>129</v>
      </c>
      <c r="L1293" s="110" t="s">
        <v>5297</v>
      </c>
      <c r="M1293" s="110" t="s">
        <v>129</v>
      </c>
      <c r="N1293" s="110" t="s">
        <v>944</v>
      </c>
      <c r="O1293" s="110" t="s">
        <v>5359</v>
      </c>
      <c r="P1293" s="110" t="s">
        <v>4520</v>
      </c>
      <c r="Q1293" s="110" t="s">
        <v>96</v>
      </c>
      <c r="R1293" s="121">
        <v>0.1628</v>
      </c>
      <c r="S1293" s="113" t="e">
        <f t="shared" si="40"/>
        <v>#VALUE!</v>
      </c>
      <c r="T1293" s="113">
        <f t="shared" si="41"/>
        <v>0</v>
      </c>
    </row>
    <row r="1294" spans="1:20" s="109" customFormat="1" x14ac:dyDescent="0.2">
      <c r="A1294" s="116"/>
      <c r="B1294" s="111" t="s">
        <v>1037</v>
      </c>
      <c r="C1294" s="110" t="s">
        <v>5360</v>
      </c>
      <c r="D1294" s="110" t="s">
        <v>5361</v>
      </c>
      <c r="E1294" s="112" t="s">
        <v>5362</v>
      </c>
      <c r="F1294" s="111" t="s">
        <v>4518</v>
      </c>
      <c r="G1294" s="133">
        <v>17</v>
      </c>
      <c r="H1294" s="124"/>
      <c r="I1294" s="133" t="str">
        <f>IF(H1294&gt;0,(#REF!*H1294),"-")</f>
        <v>-</v>
      </c>
      <c r="J1294" s="113">
        <v>286</v>
      </c>
      <c r="K1294" s="110" t="s">
        <v>129</v>
      </c>
      <c r="L1294" s="110" t="s">
        <v>5297</v>
      </c>
      <c r="M1294" s="110" t="s">
        <v>129</v>
      </c>
      <c r="N1294" s="110" t="s">
        <v>944</v>
      </c>
      <c r="O1294" s="110" t="s">
        <v>5363</v>
      </c>
      <c r="P1294" s="110" t="s">
        <v>4520</v>
      </c>
      <c r="Q1294" s="110" t="s">
        <v>96</v>
      </c>
      <c r="R1294" s="121">
        <v>0.1628</v>
      </c>
      <c r="S1294" s="113" t="e">
        <f t="shared" si="40"/>
        <v>#VALUE!</v>
      </c>
      <c r="T1294" s="113">
        <f t="shared" si="41"/>
        <v>0</v>
      </c>
    </row>
    <row r="1295" spans="1:20" s="109" customFormat="1" x14ac:dyDescent="0.2">
      <c r="A1295" s="116"/>
      <c r="B1295" s="111" t="s">
        <v>5299</v>
      </c>
      <c r="C1295" s="110" t="s">
        <v>5364</v>
      </c>
      <c r="D1295" s="110" t="s">
        <v>5365</v>
      </c>
      <c r="E1295" s="112" t="s">
        <v>5366</v>
      </c>
      <c r="F1295" s="111" t="s">
        <v>4518</v>
      </c>
      <c r="G1295" s="133">
        <v>17</v>
      </c>
      <c r="H1295" s="124"/>
      <c r="I1295" s="133" t="str">
        <f>IF(H1295&gt;0,(#REF!*H1295),"-")</f>
        <v>-</v>
      </c>
      <c r="J1295" s="113">
        <v>286</v>
      </c>
      <c r="K1295" s="110" t="s">
        <v>129</v>
      </c>
      <c r="L1295" s="110" t="s">
        <v>5297</v>
      </c>
      <c r="M1295" s="110" t="s">
        <v>129</v>
      </c>
      <c r="N1295" s="110" t="s">
        <v>944</v>
      </c>
      <c r="O1295" s="110" t="s">
        <v>5367</v>
      </c>
      <c r="P1295" s="110" t="s">
        <v>4520</v>
      </c>
      <c r="Q1295" s="110" t="s">
        <v>96</v>
      </c>
      <c r="R1295" s="121">
        <v>0.1628</v>
      </c>
      <c r="S1295" s="113" t="e">
        <f t="shared" si="40"/>
        <v>#VALUE!</v>
      </c>
      <c r="T1295" s="113">
        <f t="shared" si="41"/>
        <v>0</v>
      </c>
    </row>
    <row r="1296" spans="1:20" s="109" customFormat="1" x14ac:dyDescent="0.2">
      <c r="A1296" s="116"/>
      <c r="B1296" s="111" t="s">
        <v>5299</v>
      </c>
      <c r="C1296" s="110" t="s">
        <v>5368</v>
      </c>
      <c r="D1296" s="110" t="s">
        <v>5369</v>
      </c>
      <c r="E1296" s="112" t="s">
        <v>5370</v>
      </c>
      <c r="F1296" s="111" t="s">
        <v>4518</v>
      </c>
      <c r="G1296" s="133">
        <v>17</v>
      </c>
      <c r="H1296" s="124"/>
      <c r="I1296" s="133" t="str">
        <f>IF(H1296&gt;0,(#REF!*H1296),"-")</f>
        <v>-</v>
      </c>
      <c r="J1296" s="113">
        <v>286</v>
      </c>
      <c r="K1296" s="110" t="s">
        <v>129</v>
      </c>
      <c r="L1296" s="110" t="s">
        <v>5297</v>
      </c>
      <c r="M1296" s="110" t="s">
        <v>129</v>
      </c>
      <c r="N1296" s="110" t="s">
        <v>944</v>
      </c>
      <c r="O1296" s="110" t="s">
        <v>5371</v>
      </c>
      <c r="P1296" s="110" t="s">
        <v>4520</v>
      </c>
      <c r="Q1296" s="110" t="s">
        <v>96</v>
      </c>
      <c r="R1296" s="121">
        <v>0.1628</v>
      </c>
      <c r="S1296" s="113" t="e">
        <f t="shared" si="40"/>
        <v>#VALUE!</v>
      </c>
      <c r="T1296" s="113">
        <f t="shared" si="41"/>
        <v>0</v>
      </c>
    </row>
    <row r="1297" spans="1:20" s="109" customFormat="1" x14ac:dyDescent="0.2">
      <c r="A1297" s="116"/>
      <c r="B1297" s="111" t="s">
        <v>289</v>
      </c>
      <c r="C1297" s="110" t="s">
        <v>5372</v>
      </c>
      <c r="D1297" s="110" t="s">
        <v>5373</v>
      </c>
      <c r="E1297" s="112" t="s">
        <v>5374</v>
      </c>
      <c r="F1297" s="111" t="s">
        <v>4518</v>
      </c>
      <c r="G1297" s="133">
        <v>17</v>
      </c>
      <c r="H1297" s="124"/>
      <c r="I1297" s="133" t="str">
        <f>IF(H1297&gt;0,(#REF!*H1297),"-")</f>
        <v>-</v>
      </c>
      <c r="J1297" s="113">
        <v>286</v>
      </c>
      <c r="K1297" s="110" t="s">
        <v>129</v>
      </c>
      <c r="L1297" s="110" t="s">
        <v>5297</v>
      </c>
      <c r="M1297" s="110" t="s">
        <v>129</v>
      </c>
      <c r="N1297" s="110" t="s">
        <v>944</v>
      </c>
      <c r="O1297" s="110" t="s">
        <v>5375</v>
      </c>
      <c r="P1297" s="110" t="s">
        <v>4520</v>
      </c>
      <c r="Q1297" s="110" t="s">
        <v>96</v>
      </c>
      <c r="R1297" s="121">
        <v>0.1628</v>
      </c>
      <c r="S1297" s="113" t="e">
        <f t="shared" si="40"/>
        <v>#VALUE!</v>
      </c>
      <c r="T1297" s="113">
        <f t="shared" si="41"/>
        <v>0</v>
      </c>
    </row>
    <row r="1298" spans="1:20" s="109" customFormat="1" x14ac:dyDescent="0.2">
      <c r="A1298" s="116"/>
      <c r="B1298" s="111" t="s">
        <v>1037</v>
      </c>
      <c r="C1298" s="110" t="s">
        <v>5376</v>
      </c>
      <c r="D1298" s="110" t="s">
        <v>5377</v>
      </c>
      <c r="E1298" s="112" t="s">
        <v>5378</v>
      </c>
      <c r="F1298" s="111" t="s">
        <v>4518</v>
      </c>
      <c r="G1298" s="133">
        <v>17</v>
      </c>
      <c r="H1298" s="124"/>
      <c r="I1298" s="133" t="str">
        <f>IF(H1298&gt;0,(#REF!*H1298),"-")</f>
        <v>-</v>
      </c>
      <c r="J1298" s="113">
        <v>286</v>
      </c>
      <c r="K1298" s="110" t="s">
        <v>129</v>
      </c>
      <c r="L1298" s="110" t="s">
        <v>5297</v>
      </c>
      <c r="M1298" s="110" t="s">
        <v>129</v>
      </c>
      <c r="N1298" s="110" t="s">
        <v>944</v>
      </c>
      <c r="O1298" s="110" t="s">
        <v>5379</v>
      </c>
      <c r="P1298" s="110" t="s">
        <v>4520</v>
      </c>
      <c r="Q1298" s="110" t="s">
        <v>96</v>
      </c>
      <c r="R1298" s="121">
        <v>0.1628</v>
      </c>
      <c r="S1298" s="113" t="e">
        <f t="shared" si="40"/>
        <v>#VALUE!</v>
      </c>
      <c r="T1298" s="113">
        <f t="shared" si="41"/>
        <v>0</v>
      </c>
    </row>
    <row r="1299" spans="1:20" s="109" customFormat="1" x14ac:dyDescent="0.2">
      <c r="A1299" s="116"/>
      <c r="B1299" s="111" t="s">
        <v>1037</v>
      </c>
      <c r="C1299" s="110" t="s">
        <v>5380</v>
      </c>
      <c r="D1299" s="110" t="s">
        <v>5381</v>
      </c>
      <c r="E1299" s="112" t="s">
        <v>5382</v>
      </c>
      <c r="F1299" s="111" t="s">
        <v>944</v>
      </c>
      <c r="G1299" s="133">
        <v>17</v>
      </c>
      <c r="H1299" s="124"/>
      <c r="I1299" s="133" t="str">
        <f>IF(H1299&gt;0,(#REF!*H1299),"-")</f>
        <v>-</v>
      </c>
      <c r="J1299" s="113">
        <v>286</v>
      </c>
      <c r="K1299" s="110" t="s">
        <v>129</v>
      </c>
      <c r="L1299" s="110" t="s">
        <v>5297</v>
      </c>
      <c r="M1299" s="110" t="s">
        <v>129</v>
      </c>
      <c r="N1299" s="110" t="s">
        <v>944</v>
      </c>
      <c r="O1299" s="110" t="s">
        <v>5383</v>
      </c>
      <c r="P1299" s="110" t="s">
        <v>4520</v>
      </c>
      <c r="Q1299" s="110" t="s">
        <v>96</v>
      </c>
      <c r="R1299" s="121">
        <v>0.1628</v>
      </c>
      <c r="S1299" s="113" t="e">
        <f t="shared" si="40"/>
        <v>#VALUE!</v>
      </c>
      <c r="T1299" s="113">
        <f t="shared" si="41"/>
        <v>0</v>
      </c>
    </row>
    <row r="1300" spans="1:20" s="109" customFormat="1" x14ac:dyDescent="0.2">
      <c r="A1300" s="116"/>
      <c r="B1300" s="111" t="s">
        <v>5299</v>
      </c>
      <c r="C1300" s="110" t="s">
        <v>5384</v>
      </c>
      <c r="D1300" s="110" t="s">
        <v>5385</v>
      </c>
      <c r="E1300" s="112" t="s">
        <v>5386</v>
      </c>
      <c r="F1300" s="111" t="s">
        <v>4518</v>
      </c>
      <c r="G1300" s="133">
        <v>17</v>
      </c>
      <c r="H1300" s="124"/>
      <c r="I1300" s="133" t="str">
        <f>IF(H1300&gt;0,(#REF!*H1300),"-")</f>
        <v>-</v>
      </c>
      <c r="J1300" s="113">
        <v>286</v>
      </c>
      <c r="K1300" s="110" t="s">
        <v>129</v>
      </c>
      <c r="L1300" s="110" t="s">
        <v>5297</v>
      </c>
      <c r="M1300" s="110" t="s">
        <v>129</v>
      </c>
      <c r="N1300" s="110" t="s">
        <v>944</v>
      </c>
      <c r="O1300" s="110" t="s">
        <v>5387</v>
      </c>
      <c r="P1300" s="110" t="s">
        <v>4520</v>
      </c>
      <c r="Q1300" s="110" t="s">
        <v>96</v>
      </c>
      <c r="R1300" s="121">
        <v>0.1628</v>
      </c>
      <c r="S1300" s="113" t="e">
        <f t="shared" si="40"/>
        <v>#VALUE!</v>
      </c>
      <c r="T1300" s="113">
        <f t="shared" si="41"/>
        <v>0</v>
      </c>
    </row>
    <row r="1301" spans="1:20" s="109" customFormat="1" x14ac:dyDescent="0.2">
      <c r="A1301" s="116"/>
      <c r="B1301" s="111" t="s">
        <v>1037</v>
      </c>
      <c r="C1301" s="110" t="s">
        <v>5388</v>
      </c>
      <c r="D1301" s="110" t="s">
        <v>5389</v>
      </c>
      <c r="E1301" s="112" t="s">
        <v>5390</v>
      </c>
      <c r="F1301" s="111" t="s">
        <v>4518</v>
      </c>
      <c r="G1301" s="133">
        <v>17</v>
      </c>
      <c r="H1301" s="124"/>
      <c r="I1301" s="133" t="str">
        <f>IF(H1301&gt;0,(#REF!*H1301),"-")</f>
        <v>-</v>
      </c>
      <c r="J1301" s="113">
        <v>286</v>
      </c>
      <c r="K1301" s="110" t="s">
        <v>129</v>
      </c>
      <c r="L1301" s="110" t="s">
        <v>5297</v>
      </c>
      <c r="M1301" s="110" t="s">
        <v>129</v>
      </c>
      <c r="N1301" s="110" t="s">
        <v>944</v>
      </c>
      <c r="O1301" s="110" t="s">
        <v>5391</v>
      </c>
      <c r="P1301" s="110" t="s">
        <v>4520</v>
      </c>
      <c r="Q1301" s="110" t="s">
        <v>96</v>
      </c>
      <c r="R1301" s="121">
        <v>0.1628</v>
      </c>
      <c r="S1301" s="113" t="e">
        <f t="shared" si="40"/>
        <v>#VALUE!</v>
      </c>
      <c r="T1301" s="113">
        <f t="shared" si="41"/>
        <v>0</v>
      </c>
    </row>
    <row r="1302" spans="1:20" s="109" customFormat="1" x14ac:dyDescent="0.2">
      <c r="A1302" s="116"/>
      <c r="B1302" s="111" t="s">
        <v>289</v>
      </c>
      <c r="C1302" s="110" t="s">
        <v>5392</v>
      </c>
      <c r="D1302" s="110" t="s">
        <v>5393</v>
      </c>
      <c r="E1302" s="112" t="s">
        <v>5394</v>
      </c>
      <c r="F1302" s="111" t="s">
        <v>944</v>
      </c>
      <c r="G1302" s="133">
        <v>17</v>
      </c>
      <c r="H1302" s="124"/>
      <c r="I1302" s="133" t="str">
        <f>IF(H1302&gt;0,(#REF!*H1302),"-")</f>
        <v>-</v>
      </c>
      <c r="J1302" s="113">
        <v>286</v>
      </c>
      <c r="K1302" s="110" t="s">
        <v>129</v>
      </c>
      <c r="L1302" s="110" t="s">
        <v>5297</v>
      </c>
      <c r="M1302" s="110" t="s">
        <v>129</v>
      </c>
      <c r="N1302" s="110" t="s">
        <v>944</v>
      </c>
      <c r="O1302" s="110" t="s">
        <v>5395</v>
      </c>
      <c r="P1302" s="110" t="s">
        <v>4520</v>
      </c>
      <c r="Q1302" s="110" t="s">
        <v>96</v>
      </c>
      <c r="R1302" s="121">
        <v>0.1628</v>
      </c>
      <c r="S1302" s="113" t="e">
        <f t="shared" si="40"/>
        <v>#VALUE!</v>
      </c>
      <c r="T1302" s="113">
        <f t="shared" si="41"/>
        <v>0</v>
      </c>
    </row>
    <row r="1303" spans="1:20" s="109" customFormat="1" x14ac:dyDescent="0.2">
      <c r="A1303" s="116"/>
      <c r="B1303" s="111" t="s">
        <v>1037</v>
      </c>
      <c r="C1303" s="110" t="s">
        <v>5396</v>
      </c>
      <c r="D1303" s="110" t="s">
        <v>5397</v>
      </c>
      <c r="E1303" s="112" t="s">
        <v>5398</v>
      </c>
      <c r="F1303" s="111" t="s">
        <v>4518</v>
      </c>
      <c r="G1303" s="133">
        <v>17</v>
      </c>
      <c r="H1303" s="124"/>
      <c r="I1303" s="133" t="str">
        <f>IF(H1303&gt;0,(#REF!*H1303),"-")</f>
        <v>-</v>
      </c>
      <c r="J1303" s="113">
        <v>286</v>
      </c>
      <c r="K1303" s="110" t="s">
        <v>129</v>
      </c>
      <c r="L1303" s="110" t="s">
        <v>5297</v>
      </c>
      <c r="M1303" s="110" t="s">
        <v>129</v>
      </c>
      <c r="N1303" s="110" t="s">
        <v>944</v>
      </c>
      <c r="O1303" s="110" t="s">
        <v>5399</v>
      </c>
      <c r="P1303" s="110" t="s">
        <v>4520</v>
      </c>
      <c r="Q1303" s="110" t="s">
        <v>96</v>
      </c>
      <c r="R1303" s="121">
        <v>0.1628</v>
      </c>
      <c r="S1303" s="113" t="e">
        <f t="shared" si="40"/>
        <v>#VALUE!</v>
      </c>
      <c r="T1303" s="113">
        <f t="shared" si="41"/>
        <v>0</v>
      </c>
    </row>
    <row r="1304" spans="1:20" s="109" customFormat="1" x14ac:dyDescent="0.2">
      <c r="A1304" s="116"/>
      <c r="B1304" s="111" t="s">
        <v>5299</v>
      </c>
      <c r="C1304" s="110" t="s">
        <v>5400</v>
      </c>
      <c r="D1304" s="110" t="s">
        <v>5401</v>
      </c>
      <c r="E1304" s="112" t="s">
        <v>5402</v>
      </c>
      <c r="F1304" s="111" t="s">
        <v>944</v>
      </c>
      <c r="G1304" s="133">
        <v>17</v>
      </c>
      <c r="H1304" s="124"/>
      <c r="I1304" s="133" t="str">
        <f>IF(H1304&gt;0,(#REF!*H1304),"-")</f>
        <v>-</v>
      </c>
      <c r="J1304" s="113">
        <v>286</v>
      </c>
      <c r="K1304" s="110" t="s">
        <v>129</v>
      </c>
      <c r="L1304" s="110" t="s">
        <v>5297</v>
      </c>
      <c r="M1304" s="110" t="s">
        <v>129</v>
      </c>
      <c r="N1304" s="110" t="s">
        <v>944</v>
      </c>
      <c r="O1304" s="110" t="s">
        <v>5403</v>
      </c>
      <c r="P1304" s="110" t="s">
        <v>4520</v>
      </c>
      <c r="Q1304" s="110" t="s">
        <v>96</v>
      </c>
      <c r="R1304" s="121">
        <v>0.1628</v>
      </c>
      <c r="S1304" s="113" t="e">
        <f t="shared" si="40"/>
        <v>#VALUE!</v>
      </c>
      <c r="T1304" s="113">
        <f t="shared" si="41"/>
        <v>0</v>
      </c>
    </row>
    <row r="1305" spans="1:20" s="109" customFormat="1" x14ac:dyDescent="0.2">
      <c r="A1305" s="116"/>
      <c r="B1305" s="111" t="s">
        <v>289</v>
      </c>
      <c r="C1305" s="110" t="s">
        <v>5404</v>
      </c>
      <c r="D1305" s="110" t="s">
        <v>5405</v>
      </c>
      <c r="E1305" s="112" t="s">
        <v>5406</v>
      </c>
      <c r="F1305" s="111" t="s">
        <v>944</v>
      </c>
      <c r="G1305" s="133">
        <v>17</v>
      </c>
      <c r="H1305" s="124"/>
      <c r="I1305" s="133" t="str">
        <f>IF(H1305&gt;0,(#REF!*H1305),"-")</f>
        <v>-</v>
      </c>
      <c r="J1305" s="113">
        <v>286</v>
      </c>
      <c r="K1305" s="110" t="s">
        <v>129</v>
      </c>
      <c r="L1305" s="110" t="s">
        <v>5297</v>
      </c>
      <c r="M1305" s="110" t="s">
        <v>129</v>
      </c>
      <c r="N1305" s="110" t="s">
        <v>944</v>
      </c>
      <c r="O1305" s="110" t="s">
        <v>5407</v>
      </c>
      <c r="P1305" s="110" t="s">
        <v>4520</v>
      </c>
      <c r="Q1305" s="110" t="s">
        <v>96</v>
      </c>
      <c r="R1305" s="121">
        <v>0.1628</v>
      </c>
      <c r="S1305" s="113" t="e">
        <f t="shared" si="40"/>
        <v>#VALUE!</v>
      </c>
      <c r="T1305" s="113">
        <f t="shared" si="41"/>
        <v>0</v>
      </c>
    </row>
    <row r="1306" spans="1:20" s="109" customFormat="1" x14ac:dyDescent="0.2">
      <c r="A1306" s="116"/>
      <c r="B1306" s="111" t="s">
        <v>1037</v>
      </c>
      <c r="C1306" s="110" t="s">
        <v>5408</v>
      </c>
      <c r="D1306" s="110" t="s">
        <v>5409</v>
      </c>
      <c r="E1306" s="112" t="s">
        <v>5410</v>
      </c>
      <c r="F1306" s="111" t="s">
        <v>944</v>
      </c>
      <c r="G1306" s="133">
        <v>17</v>
      </c>
      <c r="H1306" s="124"/>
      <c r="I1306" s="133" t="str">
        <f>IF(H1306&gt;0,(#REF!*H1306),"-")</f>
        <v>-</v>
      </c>
      <c r="J1306" s="113">
        <v>200</v>
      </c>
      <c r="K1306" s="110" t="s">
        <v>129</v>
      </c>
      <c r="L1306" s="110" t="s">
        <v>5297</v>
      </c>
      <c r="M1306" s="110" t="s">
        <v>129</v>
      </c>
      <c r="N1306" s="110" t="s">
        <v>944</v>
      </c>
      <c r="O1306" s="110" t="s">
        <v>5411</v>
      </c>
      <c r="P1306" s="110" t="s">
        <v>4520</v>
      </c>
      <c r="Q1306" s="110" t="s">
        <v>96</v>
      </c>
      <c r="R1306" s="121">
        <v>0.1628</v>
      </c>
      <c r="S1306" s="113" t="e">
        <f t="shared" si="40"/>
        <v>#VALUE!</v>
      </c>
      <c r="T1306" s="113">
        <f t="shared" si="41"/>
        <v>0</v>
      </c>
    </row>
    <row r="1307" spans="1:20" s="109" customFormat="1" x14ac:dyDescent="0.2">
      <c r="A1307" s="116"/>
      <c r="B1307" s="111" t="s">
        <v>1037</v>
      </c>
      <c r="C1307" s="110" t="s">
        <v>5412</v>
      </c>
      <c r="D1307" s="110" t="s">
        <v>5413</v>
      </c>
      <c r="E1307" s="112" t="s">
        <v>5414</v>
      </c>
      <c r="F1307" s="111" t="s">
        <v>4518</v>
      </c>
      <c r="G1307" s="133">
        <v>17</v>
      </c>
      <c r="H1307" s="124"/>
      <c r="I1307" s="133" t="str">
        <f>IF(H1307&gt;0,(#REF!*H1307),"-")</f>
        <v>-</v>
      </c>
      <c r="J1307" s="113">
        <v>286</v>
      </c>
      <c r="K1307" s="110" t="s">
        <v>129</v>
      </c>
      <c r="L1307" s="110" t="s">
        <v>5297</v>
      </c>
      <c r="M1307" s="110" t="s">
        <v>129</v>
      </c>
      <c r="N1307" s="110" t="s">
        <v>944</v>
      </c>
      <c r="O1307" s="110" t="s">
        <v>5415</v>
      </c>
      <c r="P1307" s="110" t="s">
        <v>4520</v>
      </c>
      <c r="Q1307" s="110" t="s">
        <v>96</v>
      </c>
      <c r="R1307" s="121">
        <v>0.1628</v>
      </c>
      <c r="S1307" s="113" t="e">
        <f t="shared" si="40"/>
        <v>#VALUE!</v>
      </c>
      <c r="T1307" s="113">
        <f t="shared" si="41"/>
        <v>0</v>
      </c>
    </row>
    <row r="1308" spans="1:20" s="109" customFormat="1" x14ac:dyDescent="0.2">
      <c r="A1308" s="116"/>
      <c r="B1308" s="111" t="s">
        <v>5299</v>
      </c>
      <c r="C1308" s="110" t="s">
        <v>5416</v>
      </c>
      <c r="D1308" s="110" t="s">
        <v>5417</v>
      </c>
      <c r="E1308" s="112" t="s">
        <v>5418</v>
      </c>
      <c r="F1308" s="111" t="s">
        <v>4518</v>
      </c>
      <c r="G1308" s="133">
        <v>17</v>
      </c>
      <c r="H1308" s="124"/>
      <c r="I1308" s="133" t="str">
        <f>IF(H1308&gt;0,(#REF!*H1308),"-")</f>
        <v>-</v>
      </c>
      <c r="J1308" s="113">
        <v>286</v>
      </c>
      <c r="K1308" s="110" t="s">
        <v>129</v>
      </c>
      <c r="L1308" s="110" t="s">
        <v>5297</v>
      </c>
      <c r="M1308" s="110" t="s">
        <v>129</v>
      </c>
      <c r="N1308" s="110" t="s">
        <v>944</v>
      </c>
      <c r="O1308" s="110" t="s">
        <v>5419</v>
      </c>
      <c r="P1308" s="110" t="s">
        <v>4520</v>
      </c>
      <c r="Q1308" s="110" t="s">
        <v>96</v>
      </c>
      <c r="R1308" s="121">
        <v>0.1628</v>
      </c>
      <c r="S1308" s="113" t="e">
        <f t="shared" si="40"/>
        <v>#VALUE!</v>
      </c>
      <c r="T1308" s="113">
        <f t="shared" si="41"/>
        <v>0</v>
      </c>
    </row>
    <row r="1309" spans="1:20" s="109" customFormat="1" x14ac:dyDescent="0.2">
      <c r="A1309" s="116"/>
      <c r="B1309" s="111" t="s">
        <v>1037</v>
      </c>
      <c r="C1309" s="110" t="s">
        <v>5420</v>
      </c>
      <c r="D1309" s="110" t="s">
        <v>5421</v>
      </c>
      <c r="E1309" s="112" t="s">
        <v>5422</v>
      </c>
      <c r="F1309" s="111" t="s">
        <v>4518</v>
      </c>
      <c r="G1309" s="133">
        <v>17</v>
      </c>
      <c r="H1309" s="124"/>
      <c r="I1309" s="133" t="str">
        <f>IF(H1309&gt;0,(#REF!*H1309),"-")</f>
        <v>-</v>
      </c>
      <c r="J1309" s="113">
        <v>286</v>
      </c>
      <c r="K1309" s="110" t="s">
        <v>129</v>
      </c>
      <c r="L1309" s="110" t="s">
        <v>5297</v>
      </c>
      <c r="M1309" s="110" t="s">
        <v>129</v>
      </c>
      <c r="N1309" s="110" t="s">
        <v>944</v>
      </c>
      <c r="O1309" s="110" t="s">
        <v>5423</v>
      </c>
      <c r="P1309" s="110" t="s">
        <v>4520</v>
      </c>
      <c r="Q1309" s="110" t="s">
        <v>96</v>
      </c>
      <c r="R1309" s="121">
        <v>0.1628</v>
      </c>
      <c r="S1309" s="113" t="e">
        <f t="shared" si="40"/>
        <v>#VALUE!</v>
      </c>
      <c r="T1309" s="113">
        <f t="shared" si="41"/>
        <v>0</v>
      </c>
    </row>
    <row r="1310" spans="1:20" s="109" customFormat="1" x14ac:dyDescent="0.2">
      <c r="A1310" s="116"/>
      <c r="B1310" s="111" t="s">
        <v>5299</v>
      </c>
      <c r="C1310" s="110" t="s">
        <v>5424</v>
      </c>
      <c r="D1310" s="110" t="s">
        <v>5425</v>
      </c>
      <c r="E1310" s="112" t="s">
        <v>5426</v>
      </c>
      <c r="F1310" s="111" t="s">
        <v>4518</v>
      </c>
      <c r="G1310" s="133">
        <v>17</v>
      </c>
      <c r="H1310" s="124"/>
      <c r="I1310" s="133" t="str">
        <f>IF(H1310&gt;0,(#REF!*H1310),"-")</f>
        <v>-</v>
      </c>
      <c r="J1310" s="113">
        <v>286</v>
      </c>
      <c r="K1310" s="110" t="s">
        <v>129</v>
      </c>
      <c r="L1310" s="110" t="s">
        <v>5297</v>
      </c>
      <c r="M1310" s="110" t="s">
        <v>129</v>
      </c>
      <c r="N1310" s="110" t="s">
        <v>944</v>
      </c>
      <c r="O1310" s="110" t="s">
        <v>5427</v>
      </c>
      <c r="P1310" s="110" t="s">
        <v>4520</v>
      </c>
      <c r="Q1310" s="110" t="s">
        <v>96</v>
      </c>
      <c r="R1310" s="121">
        <v>0.1628</v>
      </c>
      <c r="S1310" s="113" t="e">
        <f t="shared" si="40"/>
        <v>#VALUE!</v>
      </c>
      <c r="T1310" s="113">
        <f t="shared" si="41"/>
        <v>0</v>
      </c>
    </row>
    <row r="1311" spans="1:20" s="109" customFormat="1" x14ac:dyDescent="0.2">
      <c r="A1311" s="116"/>
      <c r="B1311" s="111" t="s">
        <v>289</v>
      </c>
      <c r="C1311" s="110" t="s">
        <v>5428</v>
      </c>
      <c r="D1311" s="110" t="s">
        <v>5429</v>
      </c>
      <c r="E1311" s="112" t="s">
        <v>5430</v>
      </c>
      <c r="F1311" s="111" t="s">
        <v>944</v>
      </c>
      <c r="G1311" s="133">
        <v>23</v>
      </c>
      <c r="H1311" s="124"/>
      <c r="I1311" s="133" t="str">
        <f>IF(H1311&gt;0,(#REF!*H1311),"-")</f>
        <v>-</v>
      </c>
      <c r="J1311" s="113">
        <v>286</v>
      </c>
      <c r="K1311" s="110" t="s">
        <v>129</v>
      </c>
      <c r="L1311" s="110" t="s">
        <v>5297</v>
      </c>
      <c r="M1311" s="110" t="s">
        <v>129</v>
      </c>
      <c r="N1311" s="110" t="s">
        <v>944</v>
      </c>
      <c r="O1311" s="110" t="s">
        <v>5431</v>
      </c>
      <c r="P1311" s="110" t="s">
        <v>4520</v>
      </c>
      <c r="Q1311" s="110" t="s">
        <v>96</v>
      </c>
      <c r="R1311" s="121">
        <v>0.13589999999999999</v>
      </c>
      <c r="S1311" s="113" t="e">
        <f t="shared" si="40"/>
        <v>#VALUE!</v>
      </c>
      <c r="T1311" s="113">
        <f t="shared" si="41"/>
        <v>0</v>
      </c>
    </row>
    <row r="1312" spans="1:20" s="109" customFormat="1" x14ac:dyDescent="0.2">
      <c r="A1312" s="116"/>
      <c r="B1312" s="111" t="s">
        <v>5299</v>
      </c>
      <c r="C1312" s="110" t="s">
        <v>5432</v>
      </c>
      <c r="D1312" s="110" t="s">
        <v>5433</v>
      </c>
      <c r="E1312" s="112" t="s">
        <v>5434</v>
      </c>
      <c r="F1312" s="111" t="s">
        <v>4518</v>
      </c>
      <c r="G1312" s="133">
        <v>17</v>
      </c>
      <c r="H1312" s="124"/>
      <c r="I1312" s="133" t="str">
        <f>IF(H1312&gt;0,(#REF!*H1312),"-")</f>
        <v>-</v>
      </c>
      <c r="J1312" s="113">
        <v>573</v>
      </c>
      <c r="K1312" s="110" t="s">
        <v>129</v>
      </c>
      <c r="L1312" s="110" t="s">
        <v>5297</v>
      </c>
      <c r="M1312" s="110" t="s">
        <v>129</v>
      </c>
      <c r="N1312" s="110" t="s">
        <v>944</v>
      </c>
      <c r="O1312" s="110" t="s">
        <v>5435</v>
      </c>
      <c r="P1312" s="110" t="s">
        <v>4520</v>
      </c>
      <c r="Q1312" s="110" t="s">
        <v>96</v>
      </c>
      <c r="R1312" s="121">
        <v>0.1492</v>
      </c>
      <c r="S1312" s="113" t="e">
        <f t="shared" si="40"/>
        <v>#VALUE!</v>
      </c>
      <c r="T1312" s="113">
        <f t="shared" si="41"/>
        <v>0</v>
      </c>
    </row>
    <row r="1313" spans="1:20" s="109" customFormat="1" x14ac:dyDescent="0.2">
      <c r="A1313" s="116"/>
      <c r="B1313" s="111" t="s">
        <v>1037</v>
      </c>
      <c r="C1313" s="110" t="s">
        <v>5436</v>
      </c>
      <c r="D1313" s="110" t="s">
        <v>5437</v>
      </c>
      <c r="E1313" s="112" t="s">
        <v>5438</v>
      </c>
      <c r="F1313" s="111" t="s">
        <v>4518</v>
      </c>
      <c r="G1313" s="133">
        <v>17</v>
      </c>
      <c r="H1313" s="124"/>
      <c r="I1313" s="133" t="str">
        <f>IF(H1313&gt;0,(#REF!*H1313),"-")</f>
        <v>-</v>
      </c>
      <c r="J1313" s="113">
        <v>202</v>
      </c>
      <c r="K1313" s="110" t="s">
        <v>129</v>
      </c>
      <c r="L1313" s="110" t="s">
        <v>5297</v>
      </c>
      <c r="M1313" s="110" t="s">
        <v>129</v>
      </c>
      <c r="N1313" s="110" t="s">
        <v>944</v>
      </c>
      <c r="O1313" s="110" t="s">
        <v>5439</v>
      </c>
      <c r="P1313" s="110" t="s">
        <v>4520</v>
      </c>
      <c r="Q1313" s="110" t="s">
        <v>96</v>
      </c>
      <c r="R1313" s="121">
        <v>0.154</v>
      </c>
      <c r="S1313" s="113" t="e">
        <f t="shared" si="40"/>
        <v>#VALUE!</v>
      </c>
      <c r="T1313" s="113">
        <f t="shared" si="41"/>
        <v>0</v>
      </c>
    </row>
    <row r="1314" spans="1:20" s="109" customFormat="1" x14ac:dyDescent="0.2">
      <c r="A1314" s="116"/>
      <c r="B1314" s="111" t="s">
        <v>1037</v>
      </c>
      <c r="C1314" s="110" t="s">
        <v>5440</v>
      </c>
      <c r="D1314" s="110" t="s">
        <v>5441</v>
      </c>
      <c r="E1314" s="112" t="s">
        <v>5442</v>
      </c>
      <c r="F1314" s="111" t="s">
        <v>944</v>
      </c>
      <c r="G1314" s="133">
        <v>17</v>
      </c>
      <c r="H1314" s="124"/>
      <c r="I1314" s="133" t="str">
        <f>IF(H1314&gt;0,(#REF!*H1314),"-")</f>
        <v>-</v>
      </c>
      <c r="J1314" s="113">
        <v>277</v>
      </c>
      <c r="K1314" s="110" t="s">
        <v>129</v>
      </c>
      <c r="L1314" s="110" t="s">
        <v>5297</v>
      </c>
      <c r="M1314" s="110" t="s">
        <v>129</v>
      </c>
      <c r="N1314" s="110" t="s">
        <v>944</v>
      </c>
      <c r="O1314" s="110" t="s">
        <v>5443</v>
      </c>
      <c r="P1314" s="110" t="s">
        <v>4520</v>
      </c>
      <c r="Q1314" s="110" t="s">
        <v>96</v>
      </c>
      <c r="R1314" s="121">
        <v>0.16</v>
      </c>
      <c r="S1314" s="113" t="e">
        <f t="shared" si="40"/>
        <v>#VALUE!</v>
      </c>
      <c r="T1314" s="113">
        <f t="shared" si="41"/>
        <v>0</v>
      </c>
    </row>
    <row r="1315" spans="1:20" s="109" customFormat="1" x14ac:dyDescent="0.2">
      <c r="A1315" s="116"/>
      <c r="B1315" s="111" t="s">
        <v>959</v>
      </c>
      <c r="C1315" s="110" t="s">
        <v>5444</v>
      </c>
      <c r="D1315" s="110" t="s">
        <v>5445</v>
      </c>
      <c r="E1315" s="112" t="s">
        <v>5446</v>
      </c>
      <c r="F1315" s="111" t="s">
        <v>4518</v>
      </c>
      <c r="G1315" s="133">
        <v>17</v>
      </c>
      <c r="H1315" s="124"/>
      <c r="I1315" s="133" t="str">
        <f>IF(H1315&gt;0,(#REF!*H1315),"-")</f>
        <v>-</v>
      </c>
      <c r="J1315" s="113">
        <v>277</v>
      </c>
      <c r="K1315" s="110" t="s">
        <v>129</v>
      </c>
      <c r="L1315" s="110" t="s">
        <v>5297</v>
      </c>
      <c r="M1315" s="110" t="s">
        <v>129</v>
      </c>
      <c r="N1315" s="110" t="s">
        <v>944</v>
      </c>
      <c r="O1315" s="110" t="s">
        <v>5447</v>
      </c>
      <c r="P1315" s="110" t="s">
        <v>4520</v>
      </c>
      <c r="Q1315" s="110" t="s">
        <v>96</v>
      </c>
      <c r="R1315" s="121">
        <v>0.1467</v>
      </c>
      <c r="S1315" s="113" t="e">
        <f t="shared" si="40"/>
        <v>#VALUE!</v>
      </c>
      <c r="T1315" s="113">
        <f t="shared" si="41"/>
        <v>0</v>
      </c>
    </row>
    <row r="1316" spans="1:20" s="109" customFormat="1" x14ac:dyDescent="0.2">
      <c r="A1316" s="116"/>
      <c r="B1316" s="111" t="s">
        <v>959</v>
      </c>
      <c r="C1316" s="110" t="s">
        <v>5448</v>
      </c>
      <c r="D1316" s="110" t="s">
        <v>5449</v>
      </c>
      <c r="E1316" s="112" t="s">
        <v>5450</v>
      </c>
      <c r="F1316" s="111" t="s">
        <v>4518</v>
      </c>
      <c r="G1316" s="133">
        <v>17</v>
      </c>
      <c r="H1316" s="124"/>
      <c r="I1316" s="133" t="str">
        <f>IF(H1316&gt;0,(#REF!*H1316),"-")</f>
        <v>-</v>
      </c>
      <c r="J1316" s="113">
        <v>284</v>
      </c>
      <c r="K1316" s="110" t="s">
        <v>129</v>
      </c>
      <c r="L1316" s="110" t="s">
        <v>5297</v>
      </c>
      <c r="M1316" s="110" t="s">
        <v>129</v>
      </c>
      <c r="N1316" s="110" t="s">
        <v>944</v>
      </c>
      <c r="O1316" s="110" t="s">
        <v>5451</v>
      </c>
      <c r="P1316" s="110" t="s">
        <v>4520</v>
      </c>
      <c r="Q1316" s="110" t="s">
        <v>96</v>
      </c>
      <c r="R1316" s="121">
        <v>0.1628</v>
      </c>
      <c r="S1316" s="113" t="e">
        <f t="shared" si="40"/>
        <v>#VALUE!</v>
      </c>
      <c r="T1316" s="113">
        <f t="shared" si="41"/>
        <v>0</v>
      </c>
    </row>
    <row r="1317" spans="1:20" s="109" customFormat="1" x14ac:dyDescent="0.2">
      <c r="A1317" s="116"/>
      <c r="B1317" s="111" t="s">
        <v>959</v>
      </c>
      <c r="C1317" s="110" t="s">
        <v>5452</v>
      </c>
      <c r="D1317" s="110" t="s">
        <v>5453</v>
      </c>
      <c r="E1317" s="112" t="s">
        <v>5454</v>
      </c>
      <c r="F1317" s="111" t="s">
        <v>4518</v>
      </c>
      <c r="G1317" s="133">
        <v>17</v>
      </c>
      <c r="H1317" s="124"/>
      <c r="I1317" s="133" t="str">
        <f>IF(H1317&gt;0,(#REF!*H1317),"-")</f>
        <v>-</v>
      </c>
      <c r="J1317" s="113">
        <v>284</v>
      </c>
      <c r="K1317" s="110" t="s">
        <v>129</v>
      </c>
      <c r="L1317" s="110" t="s">
        <v>5297</v>
      </c>
      <c r="M1317" s="110" t="s">
        <v>129</v>
      </c>
      <c r="N1317" s="110" t="s">
        <v>944</v>
      </c>
      <c r="O1317" s="110" t="s">
        <v>5455</v>
      </c>
      <c r="P1317" s="110" t="s">
        <v>4520</v>
      </c>
      <c r="Q1317" s="110" t="s">
        <v>96</v>
      </c>
      <c r="R1317" s="121">
        <v>0.159</v>
      </c>
      <c r="S1317" s="113" t="e">
        <f t="shared" si="40"/>
        <v>#VALUE!</v>
      </c>
      <c r="T1317" s="113">
        <f t="shared" si="41"/>
        <v>0</v>
      </c>
    </row>
    <row r="1318" spans="1:20" s="109" customFormat="1" x14ac:dyDescent="0.2">
      <c r="A1318" s="116"/>
      <c r="B1318" s="111" t="s">
        <v>959</v>
      </c>
      <c r="C1318" s="110" t="s">
        <v>5456</v>
      </c>
      <c r="D1318" s="110" t="s">
        <v>5457</v>
      </c>
      <c r="E1318" s="112" t="s">
        <v>5458</v>
      </c>
      <c r="F1318" s="111" t="s">
        <v>4518</v>
      </c>
      <c r="G1318" s="133">
        <v>17</v>
      </c>
      <c r="H1318" s="124"/>
      <c r="I1318" s="133" t="str">
        <f>IF(H1318&gt;0,(#REF!*H1318),"-")</f>
        <v>-</v>
      </c>
      <c r="J1318" s="113">
        <v>277</v>
      </c>
      <c r="K1318" s="110" t="s">
        <v>129</v>
      </c>
      <c r="L1318" s="110" t="s">
        <v>5297</v>
      </c>
      <c r="M1318" s="110" t="s">
        <v>129</v>
      </c>
      <c r="N1318" s="110" t="s">
        <v>944</v>
      </c>
      <c r="O1318" s="110" t="s">
        <v>5459</v>
      </c>
      <c r="P1318" s="110" t="s">
        <v>4520</v>
      </c>
      <c r="Q1318" s="110" t="s">
        <v>96</v>
      </c>
      <c r="R1318" s="121">
        <v>0.1474</v>
      </c>
      <c r="S1318" s="113" t="e">
        <f t="shared" si="40"/>
        <v>#VALUE!</v>
      </c>
      <c r="T1318" s="113">
        <f t="shared" si="41"/>
        <v>0</v>
      </c>
    </row>
    <row r="1319" spans="1:20" s="109" customFormat="1" x14ac:dyDescent="0.2">
      <c r="A1319" s="116"/>
      <c r="B1319" s="111" t="s">
        <v>959</v>
      </c>
      <c r="C1319" s="110" t="s">
        <v>5460</v>
      </c>
      <c r="D1319" s="110" t="s">
        <v>5461</v>
      </c>
      <c r="E1319" s="112" t="s">
        <v>5462</v>
      </c>
      <c r="F1319" s="111" t="s">
        <v>4518</v>
      </c>
      <c r="G1319" s="133">
        <v>17</v>
      </c>
      <c r="H1319" s="124"/>
      <c r="I1319" s="133" t="str">
        <f>IF(H1319&gt;0,(#REF!*H1319),"-")</f>
        <v>-</v>
      </c>
      <c r="J1319" s="113">
        <v>284</v>
      </c>
      <c r="K1319" s="110" t="s">
        <v>129</v>
      </c>
      <c r="L1319" s="110" t="s">
        <v>5297</v>
      </c>
      <c r="M1319" s="110" t="s">
        <v>129</v>
      </c>
      <c r="N1319" s="110" t="s">
        <v>944</v>
      </c>
      <c r="O1319" s="110" t="s">
        <v>5463</v>
      </c>
      <c r="P1319" s="110" t="s">
        <v>4520</v>
      </c>
      <c r="Q1319" s="110" t="s">
        <v>96</v>
      </c>
      <c r="R1319" s="121">
        <v>0.15260000000000001</v>
      </c>
      <c r="S1319" s="113" t="e">
        <f t="shared" si="40"/>
        <v>#VALUE!</v>
      </c>
      <c r="T1319" s="113">
        <f t="shared" si="41"/>
        <v>0</v>
      </c>
    </row>
    <row r="1320" spans="1:20" s="109" customFormat="1" x14ac:dyDescent="0.2">
      <c r="A1320" s="116"/>
      <c r="B1320" s="111" t="s">
        <v>959</v>
      </c>
      <c r="C1320" s="110" t="s">
        <v>5464</v>
      </c>
      <c r="D1320" s="110" t="s">
        <v>5465</v>
      </c>
      <c r="E1320" s="112" t="s">
        <v>5466</v>
      </c>
      <c r="F1320" s="111" t="s">
        <v>4518</v>
      </c>
      <c r="G1320" s="133">
        <v>17</v>
      </c>
      <c r="H1320" s="124"/>
      <c r="I1320" s="133" t="str">
        <f>IF(H1320&gt;0,(#REF!*H1320),"-")</f>
        <v>-</v>
      </c>
      <c r="J1320" s="113">
        <v>277</v>
      </c>
      <c r="K1320" s="110" t="s">
        <v>129</v>
      </c>
      <c r="L1320" s="110" t="s">
        <v>5297</v>
      </c>
      <c r="M1320" s="110" t="s">
        <v>129</v>
      </c>
      <c r="N1320" s="110" t="s">
        <v>944</v>
      </c>
      <c r="O1320" s="110" t="s">
        <v>5467</v>
      </c>
      <c r="P1320" s="110" t="s">
        <v>4520</v>
      </c>
      <c r="Q1320" s="110" t="s">
        <v>96</v>
      </c>
      <c r="R1320" s="121">
        <v>0.156</v>
      </c>
      <c r="S1320" s="113" t="e">
        <f t="shared" si="40"/>
        <v>#VALUE!</v>
      </c>
      <c r="T1320" s="113">
        <f t="shared" si="41"/>
        <v>0</v>
      </c>
    </row>
    <row r="1321" spans="1:20" s="109" customFormat="1" x14ac:dyDescent="0.2">
      <c r="A1321" s="116"/>
      <c r="B1321" s="111" t="s">
        <v>959</v>
      </c>
      <c r="C1321" s="110" t="s">
        <v>5468</v>
      </c>
      <c r="D1321" s="110" t="s">
        <v>5469</v>
      </c>
      <c r="E1321" s="112" t="s">
        <v>5470</v>
      </c>
      <c r="F1321" s="111" t="s">
        <v>4518</v>
      </c>
      <c r="G1321" s="133">
        <v>17</v>
      </c>
      <c r="H1321" s="124"/>
      <c r="I1321" s="133" t="str">
        <f>IF(H1321&gt;0,(#REF!*H1321),"-")</f>
        <v>-</v>
      </c>
      <c r="J1321" s="113">
        <v>284</v>
      </c>
      <c r="K1321" s="110" t="s">
        <v>129</v>
      </c>
      <c r="L1321" s="110" t="s">
        <v>5297</v>
      </c>
      <c r="M1321" s="110" t="s">
        <v>129</v>
      </c>
      <c r="N1321" s="110" t="s">
        <v>944</v>
      </c>
      <c r="O1321" s="110" t="s">
        <v>5471</v>
      </c>
      <c r="P1321" s="110" t="s">
        <v>4520</v>
      </c>
      <c r="Q1321" s="110" t="s">
        <v>96</v>
      </c>
      <c r="R1321" s="121">
        <v>0.15690000000000001</v>
      </c>
      <c r="S1321" s="113" t="e">
        <f t="shared" si="40"/>
        <v>#VALUE!</v>
      </c>
      <c r="T1321" s="113">
        <f t="shared" si="41"/>
        <v>0</v>
      </c>
    </row>
    <row r="1322" spans="1:20" s="109" customFormat="1" x14ac:dyDescent="0.2">
      <c r="A1322" s="116"/>
      <c r="B1322" s="111" t="s">
        <v>959</v>
      </c>
      <c r="C1322" s="110" t="s">
        <v>5472</v>
      </c>
      <c r="D1322" s="110" t="s">
        <v>5473</v>
      </c>
      <c r="E1322" s="112" t="s">
        <v>5474</v>
      </c>
      <c r="F1322" s="111" t="s">
        <v>4518</v>
      </c>
      <c r="G1322" s="133">
        <v>17</v>
      </c>
      <c r="H1322" s="124"/>
      <c r="I1322" s="133" t="str">
        <f>IF(H1322&gt;0,(#REF!*H1322),"-")</f>
        <v>-</v>
      </c>
      <c r="J1322" s="113">
        <v>277</v>
      </c>
      <c r="K1322" s="110" t="s">
        <v>129</v>
      </c>
      <c r="L1322" s="110" t="s">
        <v>5297</v>
      </c>
      <c r="M1322" s="110" t="s">
        <v>129</v>
      </c>
      <c r="N1322" s="110" t="s">
        <v>944</v>
      </c>
      <c r="O1322" s="110" t="s">
        <v>5475</v>
      </c>
      <c r="P1322" s="110" t="s">
        <v>4520</v>
      </c>
      <c r="Q1322" s="110" t="s">
        <v>96</v>
      </c>
      <c r="R1322" s="121">
        <v>0.13439999999999999</v>
      </c>
      <c r="S1322" s="113" t="e">
        <f t="shared" si="40"/>
        <v>#VALUE!</v>
      </c>
      <c r="T1322" s="113">
        <f t="shared" si="41"/>
        <v>0</v>
      </c>
    </row>
    <row r="1323" spans="1:20" s="109" customFormat="1" x14ac:dyDescent="0.2">
      <c r="A1323" s="116"/>
      <c r="B1323" s="111" t="s">
        <v>959</v>
      </c>
      <c r="C1323" s="110" t="s">
        <v>5476</v>
      </c>
      <c r="D1323" s="110" t="s">
        <v>5477</v>
      </c>
      <c r="E1323" s="112" t="s">
        <v>5478</v>
      </c>
      <c r="F1323" s="111" t="s">
        <v>4518</v>
      </c>
      <c r="G1323" s="133">
        <v>17</v>
      </c>
      <c r="H1323" s="124"/>
      <c r="I1323" s="133" t="str">
        <f>IF(H1323&gt;0,(#REF!*H1323),"-")</f>
        <v>-</v>
      </c>
      <c r="J1323" s="113">
        <v>277</v>
      </c>
      <c r="K1323" s="110" t="s">
        <v>129</v>
      </c>
      <c r="L1323" s="110" t="s">
        <v>5297</v>
      </c>
      <c r="M1323" s="110" t="s">
        <v>129</v>
      </c>
      <c r="N1323" s="110" t="s">
        <v>944</v>
      </c>
      <c r="O1323" s="110" t="s">
        <v>5479</v>
      </c>
      <c r="P1323" s="110" t="s">
        <v>4520</v>
      </c>
      <c r="Q1323" s="110" t="s">
        <v>96</v>
      </c>
      <c r="R1323" s="121">
        <v>0.1333</v>
      </c>
      <c r="S1323" s="113" t="e">
        <f t="shared" si="40"/>
        <v>#VALUE!</v>
      </c>
      <c r="T1323" s="113">
        <f t="shared" si="41"/>
        <v>0</v>
      </c>
    </row>
    <row r="1324" spans="1:20" s="109" customFormat="1" x14ac:dyDescent="0.2">
      <c r="A1324" s="116"/>
      <c r="B1324" s="111" t="s">
        <v>5299</v>
      </c>
      <c r="C1324" s="110" t="s">
        <v>5480</v>
      </c>
      <c r="D1324" s="110" t="s">
        <v>5481</v>
      </c>
      <c r="E1324" s="112" t="s">
        <v>5482</v>
      </c>
      <c r="F1324" s="111" t="s">
        <v>4518</v>
      </c>
      <c r="G1324" s="133">
        <v>17</v>
      </c>
      <c r="H1324" s="124"/>
      <c r="I1324" s="133" t="str">
        <f>IF(H1324&gt;0,(#REF!*H1324),"-")</f>
        <v>-</v>
      </c>
      <c r="J1324" s="113">
        <v>284</v>
      </c>
      <c r="K1324" s="110" t="s">
        <v>129</v>
      </c>
      <c r="L1324" s="110" t="s">
        <v>5297</v>
      </c>
      <c r="M1324" s="110" t="s">
        <v>129</v>
      </c>
      <c r="N1324" s="110" t="s">
        <v>944</v>
      </c>
      <c r="O1324" s="110" t="s">
        <v>5483</v>
      </c>
      <c r="P1324" s="110" t="s">
        <v>4520</v>
      </c>
      <c r="Q1324" s="110" t="s">
        <v>96</v>
      </c>
      <c r="R1324" s="121">
        <v>0.13200000000000001</v>
      </c>
      <c r="S1324" s="113" t="e">
        <f t="shared" si="40"/>
        <v>#VALUE!</v>
      </c>
      <c r="T1324" s="113">
        <f t="shared" si="41"/>
        <v>0</v>
      </c>
    </row>
    <row r="1325" spans="1:20" s="109" customFormat="1" x14ac:dyDescent="0.2">
      <c r="A1325" s="116"/>
      <c r="B1325" s="111" t="s">
        <v>5299</v>
      </c>
      <c r="C1325" s="110" t="s">
        <v>5484</v>
      </c>
      <c r="D1325" s="110" t="s">
        <v>5485</v>
      </c>
      <c r="E1325" s="112" t="s">
        <v>5486</v>
      </c>
      <c r="F1325" s="111" t="s">
        <v>4518</v>
      </c>
      <c r="G1325" s="133">
        <v>17</v>
      </c>
      <c r="H1325" s="124"/>
      <c r="I1325" s="133" t="str">
        <f>IF(H1325&gt;0,(#REF!*H1325),"-")</f>
        <v>-</v>
      </c>
      <c r="J1325" s="113">
        <v>277</v>
      </c>
      <c r="K1325" s="110" t="s">
        <v>129</v>
      </c>
      <c r="L1325" s="110" t="s">
        <v>5297</v>
      </c>
      <c r="M1325" s="110" t="s">
        <v>129</v>
      </c>
      <c r="N1325" s="110" t="s">
        <v>944</v>
      </c>
      <c r="O1325" s="110" t="s">
        <v>5487</v>
      </c>
      <c r="P1325" s="110" t="s">
        <v>4520</v>
      </c>
      <c r="Q1325" s="110" t="s">
        <v>96</v>
      </c>
      <c r="R1325" s="121">
        <v>0.152</v>
      </c>
      <c r="S1325" s="113" t="e">
        <f t="shared" si="40"/>
        <v>#VALUE!</v>
      </c>
      <c r="T1325" s="113">
        <f t="shared" si="41"/>
        <v>0</v>
      </c>
    </row>
    <row r="1326" spans="1:20" s="109" customFormat="1" x14ac:dyDescent="0.2">
      <c r="A1326" s="116"/>
      <c r="B1326" s="111" t="s">
        <v>1037</v>
      </c>
      <c r="C1326" s="110" t="s">
        <v>5488</v>
      </c>
      <c r="D1326" s="110" t="s">
        <v>5489</v>
      </c>
      <c r="E1326" s="112" t="s">
        <v>5490</v>
      </c>
      <c r="F1326" s="111" t="s">
        <v>4518</v>
      </c>
      <c r="G1326" s="133">
        <v>17</v>
      </c>
      <c r="H1326" s="124"/>
      <c r="I1326" s="133" t="str">
        <f>IF(H1326&gt;0,(#REF!*H1326),"-")</f>
        <v>-</v>
      </c>
      <c r="J1326" s="113">
        <v>277</v>
      </c>
      <c r="K1326" s="110" t="s">
        <v>129</v>
      </c>
      <c r="L1326" s="110" t="s">
        <v>5297</v>
      </c>
      <c r="M1326" s="110" t="s">
        <v>129</v>
      </c>
      <c r="N1326" s="110" t="s">
        <v>944</v>
      </c>
      <c r="O1326" s="110" t="s">
        <v>5491</v>
      </c>
      <c r="P1326" s="110" t="s">
        <v>4520</v>
      </c>
      <c r="Q1326" s="110" t="s">
        <v>96</v>
      </c>
      <c r="R1326" s="121">
        <v>0.16059999999999999</v>
      </c>
      <c r="S1326" s="113" t="e">
        <f t="shared" si="40"/>
        <v>#VALUE!</v>
      </c>
      <c r="T1326" s="113">
        <f t="shared" si="41"/>
        <v>0</v>
      </c>
    </row>
    <row r="1327" spans="1:20" s="109" customFormat="1" x14ac:dyDescent="0.2">
      <c r="A1327" s="116"/>
      <c r="B1327" s="111" t="s">
        <v>1037</v>
      </c>
      <c r="C1327" s="110" t="s">
        <v>5492</v>
      </c>
      <c r="D1327" s="110" t="s">
        <v>5493</v>
      </c>
      <c r="E1327" s="112" t="s">
        <v>5494</v>
      </c>
      <c r="F1327" s="111" t="s">
        <v>4518</v>
      </c>
      <c r="G1327" s="133">
        <v>17</v>
      </c>
      <c r="H1327" s="124"/>
      <c r="I1327" s="133" t="str">
        <f>IF(H1327&gt;0,(#REF!*H1327),"-")</f>
        <v>-</v>
      </c>
      <c r="J1327" s="113">
        <v>284</v>
      </c>
      <c r="K1327" s="110" t="s">
        <v>129</v>
      </c>
      <c r="L1327" s="110" t="s">
        <v>5297</v>
      </c>
      <c r="M1327" s="110" t="s">
        <v>129</v>
      </c>
      <c r="N1327" s="110" t="s">
        <v>944</v>
      </c>
      <c r="O1327" s="110" t="s">
        <v>5495</v>
      </c>
      <c r="P1327" s="110" t="s">
        <v>4520</v>
      </c>
      <c r="Q1327" s="110" t="s">
        <v>96</v>
      </c>
      <c r="R1327" s="121">
        <v>0.15</v>
      </c>
      <c r="S1327" s="113" t="e">
        <f t="shared" si="40"/>
        <v>#VALUE!</v>
      </c>
      <c r="T1327" s="113">
        <f t="shared" si="41"/>
        <v>0</v>
      </c>
    </row>
    <row r="1328" spans="1:20" s="109" customFormat="1" x14ac:dyDescent="0.2">
      <c r="A1328" s="116"/>
      <c r="B1328" s="111" t="s">
        <v>289</v>
      </c>
      <c r="C1328" s="110" t="s">
        <v>5496</v>
      </c>
      <c r="D1328" s="110" t="s">
        <v>5497</v>
      </c>
      <c r="E1328" s="112" t="s">
        <v>5498</v>
      </c>
      <c r="F1328" s="111" t="s">
        <v>944</v>
      </c>
      <c r="G1328" s="133">
        <v>17</v>
      </c>
      <c r="H1328" s="124"/>
      <c r="I1328" s="133" t="str">
        <f>IF(H1328&gt;0,(#REF!*H1328),"-")</f>
        <v>-</v>
      </c>
      <c r="J1328" s="113">
        <v>284</v>
      </c>
      <c r="K1328" s="110" t="s">
        <v>129</v>
      </c>
      <c r="L1328" s="110" t="s">
        <v>5297</v>
      </c>
      <c r="M1328" s="110" t="s">
        <v>129</v>
      </c>
      <c r="N1328" s="110" t="s">
        <v>944</v>
      </c>
      <c r="O1328" s="110" t="s">
        <v>5499</v>
      </c>
      <c r="P1328" s="110" t="s">
        <v>4520</v>
      </c>
      <c r="Q1328" s="110" t="s">
        <v>96</v>
      </c>
      <c r="R1328" s="121">
        <v>0.17100000000000001</v>
      </c>
      <c r="S1328" s="113" t="e">
        <f t="shared" si="40"/>
        <v>#VALUE!</v>
      </c>
      <c r="T1328" s="113">
        <f t="shared" si="41"/>
        <v>0</v>
      </c>
    </row>
    <row r="1329" spans="1:20" s="109" customFormat="1" x14ac:dyDescent="0.2">
      <c r="A1329" s="116"/>
      <c r="B1329" s="111" t="s">
        <v>289</v>
      </c>
      <c r="C1329" s="110" t="s">
        <v>5500</v>
      </c>
      <c r="D1329" s="110" t="s">
        <v>5501</v>
      </c>
      <c r="E1329" s="112" t="s">
        <v>5502</v>
      </c>
      <c r="F1329" s="111" t="s">
        <v>4518</v>
      </c>
      <c r="G1329" s="133">
        <v>17</v>
      </c>
      <c r="H1329" s="124"/>
      <c r="I1329" s="133" t="str">
        <f>IF(H1329&gt;0,(#REF!*H1329),"-")</f>
        <v>-</v>
      </c>
      <c r="J1329" s="113">
        <v>284</v>
      </c>
      <c r="K1329" s="110" t="s">
        <v>129</v>
      </c>
      <c r="L1329" s="110" t="s">
        <v>5297</v>
      </c>
      <c r="M1329" s="110" t="s">
        <v>129</v>
      </c>
      <c r="N1329" s="110" t="s">
        <v>944</v>
      </c>
      <c r="O1329" s="110" t="s">
        <v>5503</v>
      </c>
      <c r="P1329" s="110" t="s">
        <v>4520</v>
      </c>
      <c r="Q1329" s="110" t="s">
        <v>96</v>
      </c>
      <c r="R1329" s="121">
        <v>0.15479999999999999</v>
      </c>
      <c r="S1329" s="113" t="e">
        <f t="shared" si="40"/>
        <v>#VALUE!</v>
      </c>
      <c r="T1329" s="113">
        <f t="shared" si="41"/>
        <v>0</v>
      </c>
    </row>
    <row r="1330" spans="1:20" s="109" customFormat="1" x14ac:dyDescent="0.2">
      <c r="A1330" s="116"/>
      <c r="B1330" s="111" t="s">
        <v>5299</v>
      </c>
      <c r="C1330" s="110" t="s">
        <v>5504</v>
      </c>
      <c r="D1330" s="110" t="s">
        <v>5505</v>
      </c>
      <c r="E1330" s="112" t="s">
        <v>5506</v>
      </c>
      <c r="F1330" s="111" t="s">
        <v>4518</v>
      </c>
      <c r="G1330" s="133">
        <v>17</v>
      </c>
      <c r="H1330" s="124"/>
      <c r="I1330" s="133" t="str">
        <f>IF(H1330&gt;0,(#REF!*H1330),"-")</f>
        <v>-</v>
      </c>
      <c r="J1330" s="113">
        <v>277</v>
      </c>
      <c r="K1330" s="110" t="s">
        <v>129</v>
      </c>
      <c r="L1330" s="110" t="s">
        <v>5297</v>
      </c>
      <c r="M1330" s="110" t="s">
        <v>129</v>
      </c>
      <c r="N1330" s="110" t="s">
        <v>944</v>
      </c>
      <c r="O1330" s="110" t="s">
        <v>5507</v>
      </c>
      <c r="P1330" s="110" t="s">
        <v>4520</v>
      </c>
      <c r="Q1330" s="110" t="s">
        <v>96</v>
      </c>
      <c r="R1330" s="121">
        <v>0.17100000000000001</v>
      </c>
      <c r="S1330" s="113" t="e">
        <f t="shared" si="40"/>
        <v>#VALUE!</v>
      </c>
      <c r="T1330" s="113">
        <f t="shared" si="41"/>
        <v>0</v>
      </c>
    </row>
    <row r="1331" spans="1:20" s="109" customFormat="1" x14ac:dyDescent="0.2">
      <c r="A1331" s="116"/>
      <c r="B1331" s="111"/>
      <c r="C1331" s="110" t="s">
        <v>5508</v>
      </c>
      <c r="D1331" s="110" t="s">
        <v>5509</v>
      </c>
      <c r="E1331" s="112" t="s">
        <v>5510</v>
      </c>
      <c r="F1331" s="111" t="s">
        <v>126</v>
      </c>
      <c r="G1331" s="133">
        <v>177</v>
      </c>
      <c r="H1331" s="124"/>
      <c r="I1331" s="133" t="str">
        <f>IF(H1331&gt;0,(#REF!*H1331),"-")</f>
        <v>-</v>
      </c>
      <c r="J1331" s="113">
        <v>1522</v>
      </c>
      <c r="K1331" s="110" t="s">
        <v>129</v>
      </c>
      <c r="L1331" s="110" t="s">
        <v>5297</v>
      </c>
      <c r="M1331" s="110" t="s">
        <v>129</v>
      </c>
      <c r="N1331" s="110" t="s">
        <v>130</v>
      </c>
      <c r="O1331" s="110" t="s">
        <v>5511</v>
      </c>
      <c r="P1331" s="110" t="s">
        <v>958</v>
      </c>
      <c r="Q1331" s="110" t="s">
        <v>96</v>
      </c>
      <c r="R1331" s="121">
        <v>0.35799999999999998</v>
      </c>
      <c r="S1331" s="113" t="e">
        <f t="shared" si="40"/>
        <v>#VALUE!</v>
      </c>
      <c r="T1331" s="113">
        <f t="shared" si="41"/>
        <v>0</v>
      </c>
    </row>
    <row r="1332" spans="1:20" s="109" customFormat="1" x14ac:dyDescent="0.2">
      <c r="A1332" s="116"/>
      <c r="B1332" s="111" t="s">
        <v>1037</v>
      </c>
      <c r="C1332" s="110" t="s">
        <v>5512</v>
      </c>
      <c r="D1332" s="110" t="s">
        <v>5513</v>
      </c>
      <c r="E1332" s="112" t="s">
        <v>5514</v>
      </c>
      <c r="F1332" s="111" t="s">
        <v>4518</v>
      </c>
      <c r="G1332" s="133">
        <v>17</v>
      </c>
      <c r="H1332" s="124"/>
      <c r="I1332" s="133" t="str">
        <f>IF(H1332&gt;0,(#REF!*H1332),"-")</f>
        <v>-</v>
      </c>
      <c r="J1332" s="113">
        <v>286</v>
      </c>
      <c r="K1332" s="110" t="s">
        <v>129</v>
      </c>
      <c r="L1332" s="110" t="s">
        <v>5515</v>
      </c>
      <c r="M1332" s="110" t="s">
        <v>129</v>
      </c>
      <c r="N1332" s="110" t="s">
        <v>944</v>
      </c>
      <c r="O1332" s="110" t="s">
        <v>5516</v>
      </c>
      <c r="P1332" s="110" t="s">
        <v>4520</v>
      </c>
      <c r="Q1332" s="110" t="s">
        <v>96</v>
      </c>
      <c r="R1332" s="121">
        <v>0.1628</v>
      </c>
      <c r="S1332" s="113" t="e">
        <f t="shared" si="40"/>
        <v>#VALUE!</v>
      </c>
      <c r="T1332" s="113">
        <f t="shared" si="41"/>
        <v>0</v>
      </c>
    </row>
    <row r="1333" spans="1:20" s="109" customFormat="1" x14ac:dyDescent="0.2">
      <c r="A1333" s="116"/>
      <c r="B1333" s="111" t="s">
        <v>1037</v>
      </c>
      <c r="C1333" s="110" t="s">
        <v>5517</v>
      </c>
      <c r="D1333" s="110" t="s">
        <v>5518</v>
      </c>
      <c r="E1333" s="112" t="s">
        <v>5519</v>
      </c>
      <c r="F1333" s="111" t="s">
        <v>4518</v>
      </c>
      <c r="G1333" s="133">
        <v>17</v>
      </c>
      <c r="H1333" s="124"/>
      <c r="I1333" s="133" t="str">
        <f>IF(H1333&gt;0,(#REF!*H1333),"-")</f>
        <v>-</v>
      </c>
      <c r="J1333" s="113">
        <v>286</v>
      </c>
      <c r="K1333" s="110" t="s">
        <v>129</v>
      </c>
      <c r="L1333" s="110" t="s">
        <v>5515</v>
      </c>
      <c r="M1333" s="110" t="s">
        <v>129</v>
      </c>
      <c r="N1333" s="110" t="s">
        <v>944</v>
      </c>
      <c r="O1333" s="110" t="s">
        <v>5520</v>
      </c>
      <c r="P1333" s="110" t="s">
        <v>4520</v>
      </c>
      <c r="Q1333" s="110" t="s">
        <v>96</v>
      </c>
      <c r="R1333" s="121">
        <v>0.1628</v>
      </c>
      <c r="S1333" s="113" t="e">
        <f t="shared" si="40"/>
        <v>#VALUE!</v>
      </c>
      <c r="T1333" s="113">
        <f t="shared" si="41"/>
        <v>0</v>
      </c>
    </row>
    <row r="1334" spans="1:20" s="109" customFormat="1" x14ac:dyDescent="0.2">
      <c r="A1334" s="116"/>
      <c r="B1334" s="111" t="s">
        <v>5299</v>
      </c>
      <c r="C1334" s="110" t="s">
        <v>5521</v>
      </c>
      <c r="D1334" s="110" t="s">
        <v>5522</v>
      </c>
      <c r="E1334" s="112" t="s">
        <v>5523</v>
      </c>
      <c r="F1334" s="111" t="s">
        <v>4518</v>
      </c>
      <c r="G1334" s="133">
        <v>17</v>
      </c>
      <c r="H1334" s="124"/>
      <c r="I1334" s="133" t="str">
        <f>IF(H1334&gt;0,(#REF!*H1334),"-")</f>
        <v>-</v>
      </c>
      <c r="J1334" s="113">
        <v>286</v>
      </c>
      <c r="K1334" s="110" t="s">
        <v>129</v>
      </c>
      <c r="L1334" s="110" t="s">
        <v>5515</v>
      </c>
      <c r="M1334" s="110" t="s">
        <v>129</v>
      </c>
      <c r="N1334" s="110" t="s">
        <v>944</v>
      </c>
      <c r="O1334" s="110" t="s">
        <v>5524</v>
      </c>
      <c r="P1334" s="110" t="s">
        <v>4520</v>
      </c>
      <c r="Q1334" s="110" t="s">
        <v>96</v>
      </c>
      <c r="R1334" s="121">
        <v>0.1628</v>
      </c>
      <c r="S1334" s="113" t="e">
        <f t="shared" si="40"/>
        <v>#VALUE!</v>
      </c>
      <c r="T1334" s="113">
        <f t="shared" si="41"/>
        <v>0</v>
      </c>
    </row>
    <row r="1335" spans="1:20" s="109" customFormat="1" x14ac:dyDescent="0.2">
      <c r="A1335" s="116"/>
      <c r="B1335" s="111" t="s">
        <v>5299</v>
      </c>
      <c r="C1335" s="110" t="s">
        <v>5525</v>
      </c>
      <c r="D1335" s="110" t="s">
        <v>5526</v>
      </c>
      <c r="E1335" s="112" t="s">
        <v>5527</v>
      </c>
      <c r="F1335" s="111" t="s">
        <v>4518</v>
      </c>
      <c r="G1335" s="133">
        <v>17</v>
      </c>
      <c r="H1335" s="124"/>
      <c r="I1335" s="133" t="str">
        <f>IF(H1335&gt;0,(#REF!*H1335),"-")</f>
        <v>-</v>
      </c>
      <c r="J1335" s="113">
        <v>286</v>
      </c>
      <c r="K1335" s="110" t="s">
        <v>129</v>
      </c>
      <c r="L1335" s="110" t="s">
        <v>5515</v>
      </c>
      <c r="M1335" s="110" t="s">
        <v>129</v>
      </c>
      <c r="N1335" s="110" t="s">
        <v>944</v>
      </c>
      <c r="O1335" s="110" t="s">
        <v>5528</v>
      </c>
      <c r="P1335" s="110" t="s">
        <v>4520</v>
      </c>
      <c r="Q1335" s="110" t="s">
        <v>96</v>
      </c>
      <c r="R1335" s="121">
        <v>0.1628</v>
      </c>
      <c r="S1335" s="113" t="e">
        <f t="shared" si="40"/>
        <v>#VALUE!</v>
      </c>
      <c r="T1335" s="113">
        <f t="shared" si="41"/>
        <v>0</v>
      </c>
    </row>
    <row r="1336" spans="1:20" s="109" customFormat="1" x14ac:dyDescent="0.2">
      <c r="A1336" s="116"/>
      <c r="B1336" s="111" t="s">
        <v>1037</v>
      </c>
      <c r="C1336" s="110" t="s">
        <v>5529</v>
      </c>
      <c r="D1336" s="110" t="s">
        <v>5530</v>
      </c>
      <c r="E1336" s="112" t="s">
        <v>5531</v>
      </c>
      <c r="F1336" s="111" t="s">
        <v>944</v>
      </c>
      <c r="G1336" s="133">
        <v>17</v>
      </c>
      <c r="H1336" s="124"/>
      <c r="I1336" s="133" t="str">
        <f>IF(H1336&gt;0,(#REF!*H1336),"-")</f>
        <v>-</v>
      </c>
      <c r="J1336" s="113">
        <v>286</v>
      </c>
      <c r="K1336" s="110" t="s">
        <v>129</v>
      </c>
      <c r="L1336" s="110" t="s">
        <v>5515</v>
      </c>
      <c r="M1336" s="110" t="s">
        <v>129</v>
      </c>
      <c r="N1336" s="110" t="s">
        <v>944</v>
      </c>
      <c r="O1336" s="110" t="s">
        <v>5532</v>
      </c>
      <c r="P1336" s="110" t="s">
        <v>4520</v>
      </c>
      <c r="Q1336" s="110" t="s">
        <v>96</v>
      </c>
      <c r="R1336" s="121">
        <v>0.1628</v>
      </c>
      <c r="S1336" s="113" t="e">
        <f t="shared" si="40"/>
        <v>#VALUE!</v>
      </c>
      <c r="T1336" s="113">
        <f t="shared" si="41"/>
        <v>0</v>
      </c>
    </row>
    <row r="1337" spans="1:20" s="109" customFormat="1" x14ac:dyDescent="0.2">
      <c r="A1337" s="116"/>
      <c r="B1337" s="111" t="s">
        <v>1037</v>
      </c>
      <c r="C1337" s="110" t="s">
        <v>5533</v>
      </c>
      <c r="D1337" s="110" t="s">
        <v>5534</v>
      </c>
      <c r="E1337" s="112" t="s">
        <v>5535</v>
      </c>
      <c r="F1337" s="111" t="s">
        <v>4518</v>
      </c>
      <c r="G1337" s="133">
        <v>17</v>
      </c>
      <c r="H1337" s="124"/>
      <c r="I1337" s="133" t="str">
        <f>IF(H1337&gt;0,(#REF!*H1337),"-")</f>
        <v>-</v>
      </c>
      <c r="J1337" s="113">
        <v>286</v>
      </c>
      <c r="K1337" s="110" t="s">
        <v>129</v>
      </c>
      <c r="L1337" s="110" t="s">
        <v>5515</v>
      </c>
      <c r="M1337" s="110" t="s">
        <v>129</v>
      </c>
      <c r="N1337" s="110" t="s">
        <v>944</v>
      </c>
      <c r="O1337" s="110" t="s">
        <v>5536</v>
      </c>
      <c r="P1337" s="110" t="s">
        <v>4520</v>
      </c>
      <c r="Q1337" s="110" t="s">
        <v>96</v>
      </c>
      <c r="R1337" s="121">
        <v>0.1628</v>
      </c>
      <c r="S1337" s="113" t="e">
        <f t="shared" si="40"/>
        <v>#VALUE!</v>
      </c>
      <c r="T1337" s="113">
        <f t="shared" si="41"/>
        <v>0</v>
      </c>
    </row>
    <row r="1338" spans="1:20" s="109" customFormat="1" x14ac:dyDescent="0.2">
      <c r="A1338" s="116"/>
      <c r="B1338" s="111" t="s">
        <v>1037</v>
      </c>
      <c r="C1338" s="110" t="s">
        <v>5537</v>
      </c>
      <c r="D1338" s="110" t="s">
        <v>5538</v>
      </c>
      <c r="E1338" s="112" t="s">
        <v>5539</v>
      </c>
      <c r="F1338" s="111" t="s">
        <v>4518</v>
      </c>
      <c r="G1338" s="133">
        <v>17</v>
      </c>
      <c r="H1338" s="124"/>
      <c r="I1338" s="133" t="str">
        <f>IF(H1338&gt;0,(#REF!*H1338),"-")</f>
        <v>-</v>
      </c>
      <c r="J1338" s="113">
        <v>286</v>
      </c>
      <c r="K1338" s="110" t="s">
        <v>129</v>
      </c>
      <c r="L1338" s="110" t="s">
        <v>5515</v>
      </c>
      <c r="M1338" s="110" t="s">
        <v>129</v>
      </c>
      <c r="N1338" s="110" t="s">
        <v>944</v>
      </c>
      <c r="O1338" s="110" t="s">
        <v>5540</v>
      </c>
      <c r="P1338" s="110" t="s">
        <v>4520</v>
      </c>
      <c r="Q1338" s="110" t="s">
        <v>96</v>
      </c>
      <c r="R1338" s="121">
        <v>0.1628</v>
      </c>
      <c r="S1338" s="113" t="e">
        <f t="shared" si="40"/>
        <v>#VALUE!</v>
      </c>
      <c r="T1338" s="113">
        <f t="shared" si="41"/>
        <v>0</v>
      </c>
    </row>
    <row r="1339" spans="1:20" s="109" customFormat="1" x14ac:dyDescent="0.2">
      <c r="A1339" s="116"/>
      <c r="B1339" s="111" t="s">
        <v>959</v>
      </c>
      <c r="C1339" s="110" t="s">
        <v>5541</v>
      </c>
      <c r="D1339" s="110" t="s">
        <v>5542</v>
      </c>
      <c r="E1339" s="112" t="s">
        <v>5543</v>
      </c>
      <c r="F1339" s="111" t="s">
        <v>4518</v>
      </c>
      <c r="G1339" s="133">
        <v>17</v>
      </c>
      <c r="H1339" s="124"/>
      <c r="I1339" s="133" t="str">
        <f>IF(H1339&gt;0,(#REF!*H1339),"-")</f>
        <v>-</v>
      </c>
      <c r="J1339" s="113">
        <v>286</v>
      </c>
      <c r="K1339" s="110" t="s">
        <v>129</v>
      </c>
      <c r="L1339" s="110" t="s">
        <v>5515</v>
      </c>
      <c r="M1339" s="110" t="s">
        <v>129</v>
      </c>
      <c r="N1339" s="110" t="s">
        <v>944</v>
      </c>
      <c r="O1339" s="110" t="s">
        <v>5544</v>
      </c>
      <c r="P1339" s="110" t="s">
        <v>4520</v>
      </c>
      <c r="Q1339" s="110" t="s">
        <v>96</v>
      </c>
      <c r="R1339" s="121">
        <v>0.1628</v>
      </c>
      <c r="S1339" s="113" t="e">
        <f t="shared" si="40"/>
        <v>#VALUE!</v>
      </c>
      <c r="T1339" s="113">
        <f t="shared" si="41"/>
        <v>0</v>
      </c>
    </row>
    <row r="1340" spans="1:20" s="109" customFormat="1" x14ac:dyDescent="0.2">
      <c r="A1340" s="116"/>
      <c r="B1340" s="111" t="s">
        <v>1037</v>
      </c>
      <c r="C1340" s="110" t="s">
        <v>5545</v>
      </c>
      <c r="D1340" s="110" t="s">
        <v>5546</v>
      </c>
      <c r="E1340" s="112" t="s">
        <v>5547</v>
      </c>
      <c r="F1340" s="111" t="s">
        <v>4518</v>
      </c>
      <c r="G1340" s="133">
        <v>17</v>
      </c>
      <c r="H1340" s="124"/>
      <c r="I1340" s="133" t="str">
        <f>IF(H1340&gt;0,(#REF!*H1340),"-")</f>
        <v>-</v>
      </c>
      <c r="J1340" s="113">
        <v>286</v>
      </c>
      <c r="K1340" s="110" t="s">
        <v>129</v>
      </c>
      <c r="L1340" s="110" t="s">
        <v>5515</v>
      </c>
      <c r="M1340" s="110" t="s">
        <v>129</v>
      </c>
      <c r="N1340" s="110" t="s">
        <v>944</v>
      </c>
      <c r="O1340" s="110" t="s">
        <v>5548</v>
      </c>
      <c r="P1340" s="110" t="s">
        <v>4520</v>
      </c>
      <c r="Q1340" s="110" t="s">
        <v>96</v>
      </c>
      <c r="R1340" s="121">
        <v>0.1628</v>
      </c>
      <c r="S1340" s="113" t="e">
        <f t="shared" si="40"/>
        <v>#VALUE!</v>
      </c>
      <c r="T1340" s="113">
        <f t="shared" si="41"/>
        <v>0</v>
      </c>
    </row>
    <row r="1341" spans="1:20" s="109" customFormat="1" x14ac:dyDescent="0.2">
      <c r="A1341" s="116"/>
      <c r="B1341" s="111" t="s">
        <v>1037</v>
      </c>
      <c r="C1341" s="110" t="s">
        <v>5549</v>
      </c>
      <c r="D1341" s="110" t="s">
        <v>5550</v>
      </c>
      <c r="E1341" s="112" t="s">
        <v>5551</v>
      </c>
      <c r="F1341" s="111" t="s">
        <v>4518</v>
      </c>
      <c r="G1341" s="133">
        <v>17</v>
      </c>
      <c r="H1341" s="124"/>
      <c r="I1341" s="133" t="str">
        <f>IF(H1341&gt;0,(#REF!*H1341),"-")</f>
        <v>-</v>
      </c>
      <c r="J1341" s="113">
        <v>286</v>
      </c>
      <c r="K1341" s="110" t="s">
        <v>129</v>
      </c>
      <c r="L1341" s="110" t="s">
        <v>5515</v>
      </c>
      <c r="M1341" s="110" t="s">
        <v>129</v>
      </c>
      <c r="N1341" s="110" t="s">
        <v>944</v>
      </c>
      <c r="O1341" s="110" t="s">
        <v>5552</v>
      </c>
      <c r="P1341" s="110" t="s">
        <v>4520</v>
      </c>
      <c r="Q1341" s="110" t="s">
        <v>96</v>
      </c>
      <c r="R1341" s="121">
        <v>0.1628</v>
      </c>
      <c r="S1341" s="113" t="e">
        <f t="shared" si="40"/>
        <v>#VALUE!</v>
      </c>
      <c r="T1341" s="113">
        <f t="shared" si="41"/>
        <v>0</v>
      </c>
    </row>
    <row r="1342" spans="1:20" s="109" customFormat="1" x14ac:dyDescent="0.2">
      <c r="A1342" s="116"/>
      <c r="B1342" s="111" t="s">
        <v>959</v>
      </c>
      <c r="C1342" s="110" t="s">
        <v>5553</v>
      </c>
      <c r="D1342" s="110" t="s">
        <v>5554</v>
      </c>
      <c r="E1342" s="112" t="s">
        <v>5555</v>
      </c>
      <c r="F1342" s="111" t="s">
        <v>4518</v>
      </c>
      <c r="G1342" s="133">
        <v>17</v>
      </c>
      <c r="H1342" s="124"/>
      <c r="I1342" s="133" t="str">
        <f>IF(H1342&gt;0,(#REF!*H1342),"-")</f>
        <v>-</v>
      </c>
      <c r="J1342" s="113">
        <v>286</v>
      </c>
      <c r="K1342" s="110" t="s">
        <v>129</v>
      </c>
      <c r="L1342" s="110" t="s">
        <v>5515</v>
      </c>
      <c r="M1342" s="110" t="s">
        <v>129</v>
      </c>
      <c r="N1342" s="110" t="s">
        <v>944</v>
      </c>
      <c r="O1342" s="110" t="s">
        <v>5556</v>
      </c>
      <c r="P1342" s="110" t="s">
        <v>4520</v>
      </c>
      <c r="Q1342" s="110" t="s">
        <v>96</v>
      </c>
      <c r="R1342" s="121">
        <v>0.1628</v>
      </c>
      <c r="S1342" s="113" t="e">
        <f t="shared" si="40"/>
        <v>#VALUE!</v>
      </c>
      <c r="T1342" s="113">
        <f t="shared" si="41"/>
        <v>0</v>
      </c>
    </row>
    <row r="1343" spans="1:20" s="109" customFormat="1" x14ac:dyDescent="0.2">
      <c r="A1343" s="116"/>
      <c r="B1343" s="111" t="s">
        <v>959</v>
      </c>
      <c r="C1343" s="110" t="s">
        <v>5557</v>
      </c>
      <c r="D1343" s="110" t="s">
        <v>5558</v>
      </c>
      <c r="E1343" s="112" t="s">
        <v>5559</v>
      </c>
      <c r="F1343" s="111" t="s">
        <v>4518</v>
      </c>
      <c r="G1343" s="133">
        <v>17</v>
      </c>
      <c r="H1343" s="124"/>
      <c r="I1343" s="133" t="str">
        <f>IF(H1343&gt;0,(#REF!*H1343),"-")</f>
        <v>-</v>
      </c>
      <c r="J1343" s="113">
        <v>286</v>
      </c>
      <c r="K1343" s="110" t="s">
        <v>129</v>
      </c>
      <c r="L1343" s="110" t="s">
        <v>5515</v>
      </c>
      <c r="M1343" s="110" t="s">
        <v>129</v>
      </c>
      <c r="N1343" s="110" t="s">
        <v>944</v>
      </c>
      <c r="O1343" s="110" t="s">
        <v>5560</v>
      </c>
      <c r="P1343" s="110" t="s">
        <v>4520</v>
      </c>
      <c r="Q1343" s="110" t="s">
        <v>96</v>
      </c>
      <c r="R1343" s="121">
        <v>0.1628</v>
      </c>
      <c r="S1343" s="113" t="e">
        <f t="shared" si="40"/>
        <v>#VALUE!</v>
      </c>
      <c r="T1343" s="113">
        <f t="shared" si="41"/>
        <v>0</v>
      </c>
    </row>
    <row r="1344" spans="1:20" s="109" customFormat="1" x14ac:dyDescent="0.2">
      <c r="A1344" s="116"/>
      <c r="B1344" s="111" t="s">
        <v>1037</v>
      </c>
      <c r="C1344" s="110" t="s">
        <v>5561</v>
      </c>
      <c r="D1344" s="110" t="s">
        <v>5562</v>
      </c>
      <c r="E1344" s="112" t="s">
        <v>5563</v>
      </c>
      <c r="F1344" s="111" t="s">
        <v>4518</v>
      </c>
      <c r="G1344" s="133">
        <v>17</v>
      </c>
      <c r="H1344" s="124"/>
      <c r="I1344" s="133" t="str">
        <f>IF(H1344&gt;0,(#REF!*H1344),"-")</f>
        <v>-</v>
      </c>
      <c r="J1344" s="113">
        <v>286</v>
      </c>
      <c r="K1344" s="110" t="s">
        <v>129</v>
      </c>
      <c r="L1344" s="110" t="s">
        <v>5515</v>
      </c>
      <c r="M1344" s="110" t="s">
        <v>129</v>
      </c>
      <c r="N1344" s="110" t="s">
        <v>944</v>
      </c>
      <c r="O1344" s="110" t="s">
        <v>5564</v>
      </c>
      <c r="P1344" s="110" t="s">
        <v>4520</v>
      </c>
      <c r="Q1344" s="110" t="s">
        <v>96</v>
      </c>
      <c r="R1344" s="121">
        <v>0.1628</v>
      </c>
      <c r="S1344" s="113" t="e">
        <f t="shared" si="40"/>
        <v>#VALUE!</v>
      </c>
      <c r="T1344" s="113">
        <f t="shared" si="41"/>
        <v>0</v>
      </c>
    </row>
    <row r="1345" spans="1:20" s="109" customFormat="1" x14ac:dyDescent="0.2">
      <c r="A1345" s="116"/>
      <c r="B1345" s="111" t="s">
        <v>1037</v>
      </c>
      <c r="C1345" s="110" t="s">
        <v>5565</v>
      </c>
      <c r="D1345" s="110" t="s">
        <v>5566</v>
      </c>
      <c r="E1345" s="112" t="s">
        <v>5567</v>
      </c>
      <c r="F1345" s="111" t="s">
        <v>4518</v>
      </c>
      <c r="G1345" s="133">
        <v>17</v>
      </c>
      <c r="H1345" s="124"/>
      <c r="I1345" s="133" t="str">
        <f>IF(H1345&gt;0,(#REF!*H1345),"-")</f>
        <v>-</v>
      </c>
      <c r="J1345" s="113">
        <v>286</v>
      </c>
      <c r="K1345" s="110" t="s">
        <v>129</v>
      </c>
      <c r="L1345" s="110" t="s">
        <v>5515</v>
      </c>
      <c r="M1345" s="110" t="s">
        <v>129</v>
      </c>
      <c r="N1345" s="110" t="s">
        <v>944</v>
      </c>
      <c r="O1345" s="110" t="s">
        <v>5568</v>
      </c>
      <c r="P1345" s="110" t="s">
        <v>4520</v>
      </c>
      <c r="Q1345" s="110" t="s">
        <v>96</v>
      </c>
      <c r="R1345" s="121">
        <v>0.1628</v>
      </c>
      <c r="S1345" s="113" t="e">
        <f t="shared" si="40"/>
        <v>#VALUE!</v>
      </c>
      <c r="T1345" s="113">
        <f t="shared" si="41"/>
        <v>0</v>
      </c>
    </row>
    <row r="1346" spans="1:20" s="109" customFormat="1" x14ac:dyDescent="0.2">
      <c r="A1346" s="116"/>
      <c r="B1346" s="111" t="s">
        <v>1037</v>
      </c>
      <c r="C1346" s="110" t="s">
        <v>5569</v>
      </c>
      <c r="D1346" s="110" t="s">
        <v>5570</v>
      </c>
      <c r="E1346" s="112" t="s">
        <v>5571</v>
      </c>
      <c r="F1346" s="111" t="s">
        <v>4518</v>
      </c>
      <c r="G1346" s="133">
        <v>17</v>
      </c>
      <c r="H1346" s="124"/>
      <c r="I1346" s="133" t="str">
        <f>IF(H1346&gt;0,(#REF!*H1346),"-")</f>
        <v>-</v>
      </c>
      <c r="J1346" s="113">
        <v>286</v>
      </c>
      <c r="K1346" s="110" t="s">
        <v>129</v>
      </c>
      <c r="L1346" s="110" t="s">
        <v>5515</v>
      </c>
      <c r="M1346" s="110" t="s">
        <v>129</v>
      </c>
      <c r="N1346" s="110" t="s">
        <v>944</v>
      </c>
      <c r="O1346" s="110" t="s">
        <v>5572</v>
      </c>
      <c r="P1346" s="110" t="s">
        <v>4520</v>
      </c>
      <c r="Q1346" s="110" t="s">
        <v>96</v>
      </c>
      <c r="R1346" s="121">
        <v>0.1628</v>
      </c>
      <c r="S1346" s="113" t="e">
        <f t="shared" ref="S1346:S1409" si="42">Q1346*H1346</f>
        <v>#VALUE!</v>
      </c>
      <c r="T1346" s="113">
        <f t="shared" ref="T1346:T1409" si="43">R1346*H1346</f>
        <v>0</v>
      </c>
    </row>
    <row r="1347" spans="1:20" s="109" customFormat="1" x14ac:dyDescent="0.2">
      <c r="A1347" s="116"/>
      <c r="B1347" s="111" t="s">
        <v>1037</v>
      </c>
      <c r="C1347" s="110" t="s">
        <v>5573</v>
      </c>
      <c r="D1347" s="110" t="s">
        <v>5574</v>
      </c>
      <c r="E1347" s="112" t="s">
        <v>5575</v>
      </c>
      <c r="F1347" s="111" t="s">
        <v>4518</v>
      </c>
      <c r="G1347" s="133">
        <v>17</v>
      </c>
      <c r="H1347" s="124"/>
      <c r="I1347" s="133" t="str">
        <f>IF(H1347&gt;0,(#REF!*H1347),"-")</f>
        <v>-</v>
      </c>
      <c r="J1347" s="113">
        <v>286</v>
      </c>
      <c r="K1347" s="110" t="s">
        <v>129</v>
      </c>
      <c r="L1347" s="110" t="s">
        <v>5515</v>
      </c>
      <c r="M1347" s="110" t="s">
        <v>129</v>
      </c>
      <c r="N1347" s="110" t="s">
        <v>944</v>
      </c>
      <c r="O1347" s="110" t="s">
        <v>5576</v>
      </c>
      <c r="P1347" s="110" t="s">
        <v>4520</v>
      </c>
      <c r="Q1347" s="110" t="s">
        <v>96</v>
      </c>
      <c r="R1347" s="121">
        <v>0.1628</v>
      </c>
      <c r="S1347" s="113" t="e">
        <f t="shared" si="42"/>
        <v>#VALUE!</v>
      </c>
      <c r="T1347" s="113">
        <f t="shared" si="43"/>
        <v>0</v>
      </c>
    </row>
    <row r="1348" spans="1:20" s="109" customFormat="1" x14ac:dyDescent="0.2">
      <c r="A1348" s="116"/>
      <c r="B1348" s="111" t="s">
        <v>1037</v>
      </c>
      <c r="C1348" s="110" t="s">
        <v>5577</v>
      </c>
      <c r="D1348" s="110" t="s">
        <v>5578</v>
      </c>
      <c r="E1348" s="112" t="s">
        <v>5579</v>
      </c>
      <c r="F1348" s="111" t="s">
        <v>4518</v>
      </c>
      <c r="G1348" s="133">
        <v>17</v>
      </c>
      <c r="H1348" s="124"/>
      <c r="I1348" s="133" t="str">
        <f>IF(H1348&gt;0,(#REF!*H1348),"-")</f>
        <v>-</v>
      </c>
      <c r="J1348" s="113">
        <v>286</v>
      </c>
      <c r="K1348" s="110" t="s">
        <v>129</v>
      </c>
      <c r="L1348" s="110" t="s">
        <v>5515</v>
      </c>
      <c r="M1348" s="110" t="s">
        <v>129</v>
      </c>
      <c r="N1348" s="110" t="s">
        <v>944</v>
      </c>
      <c r="O1348" s="110" t="s">
        <v>5580</v>
      </c>
      <c r="P1348" s="110" t="s">
        <v>4520</v>
      </c>
      <c r="Q1348" s="110" t="s">
        <v>96</v>
      </c>
      <c r="R1348" s="121">
        <v>0.1628</v>
      </c>
      <c r="S1348" s="113" t="e">
        <f t="shared" si="42"/>
        <v>#VALUE!</v>
      </c>
      <c r="T1348" s="113">
        <f t="shared" si="43"/>
        <v>0</v>
      </c>
    </row>
    <row r="1349" spans="1:20" s="109" customFormat="1" x14ac:dyDescent="0.2">
      <c r="A1349" s="116"/>
      <c r="B1349" s="111" t="s">
        <v>1037</v>
      </c>
      <c r="C1349" s="110" t="s">
        <v>5581</v>
      </c>
      <c r="D1349" s="110" t="s">
        <v>5582</v>
      </c>
      <c r="E1349" s="112" t="s">
        <v>5583</v>
      </c>
      <c r="F1349" s="111" t="s">
        <v>4518</v>
      </c>
      <c r="G1349" s="133">
        <v>17</v>
      </c>
      <c r="H1349" s="124"/>
      <c r="I1349" s="133" t="str">
        <f>IF(H1349&gt;0,(#REF!*H1349),"-")</f>
        <v>-</v>
      </c>
      <c r="J1349" s="113">
        <v>286</v>
      </c>
      <c r="K1349" s="110" t="s">
        <v>129</v>
      </c>
      <c r="L1349" s="110" t="s">
        <v>5515</v>
      </c>
      <c r="M1349" s="110" t="s">
        <v>129</v>
      </c>
      <c r="N1349" s="110" t="s">
        <v>944</v>
      </c>
      <c r="O1349" s="110" t="s">
        <v>5584</v>
      </c>
      <c r="P1349" s="110" t="s">
        <v>4520</v>
      </c>
      <c r="Q1349" s="110" t="s">
        <v>96</v>
      </c>
      <c r="R1349" s="121">
        <v>0.1628</v>
      </c>
      <c r="S1349" s="113" t="e">
        <f t="shared" si="42"/>
        <v>#VALUE!</v>
      </c>
      <c r="T1349" s="113">
        <f t="shared" si="43"/>
        <v>0</v>
      </c>
    </row>
    <row r="1350" spans="1:20" s="109" customFormat="1" x14ac:dyDescent="0.2">
      <c r="A1350" s="116"/>
      <c r="B1350" s="111" t="s">
        <v>1037</v>
      </c>
      <c r="C1350" s="110" t="s">
        <v>5585</v>
      </c>
      <c r="D1350" s="110" t="s">
        <v>5586</v>
      </c>
      <c r="E1350" s="112" t="s">
        <v>5587</v>
      </c>
      <c r="F1350" s="111" t="s">
        <v>4518</v>
      </c>
      <c r="G1350" s="133">
        <v>17</v>
      </c>
      <c r="H1350" s="124"/>
      <c r="I1350" s="133" t="str">
        <f>IF(H1350&gt;0,(#REF!*H1350),"-")</f>
        <v>-</v>
      </c>
      <c r="J1350" s="113">
        <v>286</v>
      </c>
      <c r="K1350" s="110" t="s">
        <v>129</v>
      </c>
      <c r="L1350" s="110" t="s">
        <v>5515</v>
      </c>
      <c r="M1350" s="110" t="s">
        <v>129</v>
      </c>
      <c r="N1350" s="110" t="s">
        <v>944</v>
      </c>
      <c r="O1350" s="110" t="s">
        <v>5588</v>
      </c>
      <c r="P1350" s="110" t="s">
        <v>4520</v>
      </c>
      <c r="Q1350" s="110" t="s">
        <v>96</v>
      </c>
      <c r="R1350" s="121">
        <v>0.1628</v>
      </c>
      <c r="S1350" s="113" t="e">
        <f t="shared" si="42"/>
        <v>#VALUE!</v>
      </c>
      <c r="T1350" s="113">
        <f t="shared" si="43"/>
        <v>0</v>
      </c>
    </row>
    <row r="1351" spans="1:20" s="109" customFormat="1" x14ac:dyDescent="0.2">
      <c r="A1351" s="116"/>
      <c r="B1351" s="111" t="s">
        <v>1037</v>
      </c>
      <c r="C1351" s="110" t="s">
        <v>5589</v>
      </c>
      <c r="D1351" s="110" t="s">
        <v>5590</v>
      </c>
      <c r="E1351" s="112" t="s">
        <v>5591</v>
      </c>
      <c r="F1351" s="111" t="s">
        <v>4518</v>
      </c>
      <c r="G1351" s="133">
        <v>17</v>
      </c>
      <c r="H1351" s="124"/>
      <c r="I1351" s="133" t="str">
        <f>IF(H1351&gt;0,(#REF!*H1351),"-")</f>
        <v>-</v>
      </c>
      <c r="J1351" s="113">
        <v>286</v>
      </c>
      <c r="K1351" s="110" t="s">
        <v>129</v>
      </c>
      <c r="L1351" s="110" t="s">
        <v>5515</v>
      </c>
      <c r="M1351" s="110" t="s">
        <v>129</v>
      </c>
      <c r="N1351" s="110" t="s">
        <v>944</v>
      </c>
      <c r="O1351" s="110" t="s">
        <v>5592</v>
      </c>
      <c r="P1351" s="110" t="s">
        <v>4520</v>
      </c>
      <c r="Q1351" s="110" t="s">
        <v>96</v>
      </c>
      <c r="R1351" s="121">
        <v>0.1628</v>
      </c>
      <c r="S1351" s="113" t="e">
        <f t="shared" si="42"/>
        <v>#VALUE!</v>
      </c>
      <c r="T1351" s="113">
        <f t="shared" si="43"/>
        <v>0</v>
      </c>
    </row>
    <row r="1352" spans="1:20" s="109" customFormat="1" x14ac:dyDescent="0.2">
      <c r="A1352" s="116"/>
      <c r="B1352" s="111" t="s">
        <v>5299</v>
      </c>
      <c r="C1352" s="110" t="s">
        <v>5593</v>
      </c>
      <c r="D1352" s="110" t="s">
        <v>5594</v>
      </c>
      <c r="E1352" s="112" t="s">
        <v>5595</v>
      </c>
      <c r="F1352" s="111" t="s">
        <v>4518</v>
      </c>
      <c r="G1352" s="133">
        <v>17</v>
      </c>
      <c r="H1352" s="124"/>
      <c r="I1352" s="133" t="str">
        <f>IF(H1352&gt;0,(#REF!*H1352),"-")</f>
        <v>-</v>
      </c>
      <c r="J1352" s="113">
        <v>286</v>
      </c>
      <c r="K1352" s="110" t="s">
        <v>129</v>
      </c>
      <c r="L1352" s="110" t="s">
        <v>5515</v>
      </c>
      <c r="M1352" s="110" t="s">
        <v>129</v>
      </c>
      <c r="N1352" s="110" t="s">
        <v>944</v>
      </c>
      <c r="O1352" s="110" t="s">
        <v>5596</v>
      </c>
      <c r="P1352" s="110" t="s">
        <v>4520</v>
      </c>
      <c r="Q1352" s="110" t="s">
        <v>96</v>
      </c>
      <c r="R1352" s="121">
        <v>0.1628</v>
      </c>
      <c r="S1352" s="113" t="e">
        <f t="shared" si="42"/>
        <v>#VALUE!</v>
      </c>
      <c r="T1352" s="113">
        <f t="shared" si="43"/>
        <v>0</v>
      </c>
    </row>
    <row r="1353" spans="1:20" s="109" customFormat="1" x14ac:dyDescent="0.2">
      <c r="A1353" s="116"/>
      <c r="B1353" s="111" t="s">
        <v>5299</v>
      </c>
      <c r="C1353" s="110" t="s">
        <v>5597</v>
      </c>
      <c r="D1353" s="110" t="s">
        <v>5598</v>
      </c>
      <c r="E1353" s="112" t="s">
        <v>5599</v>
      </c>
      <c r="F1353" s="111" t="s">
        <v>4518</v>
      </c>
      <c r="G1353" s="133">
        <v>17</v>
      </c>
      <c r="H1353" s="124"/>
      <c r="I1353" s="133" t="str">
        <f>IF(H1353&gt;0,(#REF!*H1353),"-")</f>
        <v>-</v>
      </c>
      <c r="J1353" s="113">
        <v>286</v>
      </c>
      <c r="K1353" s="110" t="s">
        <v>129</v>
      </c>
      <c r="L1353" s="110" t="s">
        <v>5515</v>
      </c>
      <c r="M1353" s="110" t="s">
        <v>129</v>
      </c>
      <c r="N1353" s="110" t="s">
        <v>944</v>
      </c>
      <c r="O1353" s="110" t="s">
        <v>5600</v>
      </c>
      <c r="P1353" s="110" t="s">
        <v>4520</v>
      </c>
      <c r="Q1353" s="110" t="s">
        <v>96</v>
      </c>
      <c r="R1353" s="121">
        <v>0.1628</v>
      </c>
      <c r="S1353" s="113" t="e">
        <f t="shared" si="42"/>
        <v>#VALUE!</v>
      </c>
      <c r="T1353" s="113">
        <f t="shared" si="43"/>
        <v>0</v>
      </c>
    </row>
    <row r="1354" spans="1:20" s="109" customFormat="1" x14ac:dyDescent="0.2">
      <c r="A1354" s="116"/>
      <c r="B1354" s="111" t="s">
        <v>1037</v>
      </c>
      <c r="C1354" s="110" t="s">
        <v>5601</v>
      </c>
      <c r="D1354" s="110" t="s">
        <v>5602</v>
      </c>
      <c r="E1354" s="112" t="s">
        <v>5603</v>
      </c>
      <c r="F1354" s="111" t="s">
        <v>4518</v>
      </c>
      <c r="G1354" s="133">
        <v>17</v>
      </c>
      <c r="H1354" s="124"/>
      <c r="I1354" s="133" t="str">
        <f>IF(H1354&gt;0,(#REF!*H1354),"-")</f>
        <v>-</v>
      </c>
      <c r="J1354" s="113">
        <v>286</v>
      </c>
      <c r="K1354" s="110" t="s">
        <v>129</v>
      </c>
      <c r="L1354" s="110" t="s">
        <v>5515</v>
      </c>
      <c r="M1354" s="110" t="s">
        <v>129</v>
      </c>
      <c r="N1354" s="110" t="s">
        <v>944</v>
      </c>
      <c r="O1354" s="110" t="s">
        <v>5604</v>
      </c>
      <c r="P1354" s="110" t="s">
        <v>4520</v>
      </c>
      <c r="Q1354" s="110" t="s">
        <v>96</v>
      </c>
      <c r="R1354" s="121">
        <v>0.1628</v>
      </c>
      <c r="S1354" s="113" t="e">
        <f t="shared" si="42"/>
        <v>#VALUE!</v>
      </c>
      <c r="T1354" s="113">
        <f t="shared" si="43"/>
        <v>0</v>
      </c>
    </row>
    <row r="1355" spans="1:20" s="109" customFormat="1" x14ac:dyDescent="0.2">
      <c r="A1355" s="116"/>
      <c r="B1355" s="111" t="s">
        <v>1037</v>
      </c>
      <c r="C1355" s="110" t="s">
        <v>5605</v>
      </c>
      <c r="D1355" s="110" t="s">
        <v>5606</v>
      </c>
      <c r="E1355" s="112" t="s">
        <v>5607</v>
      </c>
      <c r="F1355" s="111" t="s">
        <v>944</v>
      </c>
      <c r="G1355" s="133">
        <v>17</v>
      </c>
      <c r="H1355" s="124"/>
      <c r="I1355" s="133" t="str">
        <f>IF(H1355&gt;0,(#REF!*H1355),"-")</f>
        <v>-</v>
      </c>
      <c r="J1355" s="113">
        <v>286</v>
      </c>
      <c r="K1355" s="110" t="s">
        <v>129</v>
      </c>
      <c r="L1355" s="110" t="s">
        <v>5515</v>
      </c>
      <c r="M1355" s="110" t="s">
        <v>129</v>
      </c>
      <c r="N1355" s="110" t="s">
        <v>944</v>
      </c>
      <c r="O1355" s="110" t="s">
        <v>5608</v>
      </c>
      <c r="P1355" s="110" t="s">
        <v>4520</v>
      </c>
      <c r="Q1355" s="110" t="s">
        <v>96</v>
      </c>
      <c r="R1355" s="121">
        <v>0.1628</v>
      </c>
      <c r="S1355" s="113" t="e">
        <f t="shared" si="42"/>
        <v>#VALUE!</v>
      </c>
      <c r="T1355" s="113">
        <f t="shared" si="43"/>
        <v>0</v>
      </c>
    </row>
    <row r="1356" spans="1:20" s="109" customFormat="1" x14ac:dyDescent="0.2">
      <c r="A1356" s="116"/>
      <c r="B1356" s="111" t="s">
        <v>1037</v>
      </c>
      <c r="C1356" s="110" t="s">
        <v>5609</v>
      </c>
      <c r="D1356" s="110" t="s">
        <v>5610</v>
      </c>
      <c r="E1356" s="112" t="s">
        <v>5611</v>
      </c>
      <c r="F1356" s="111" t="s">
        <v>4518</v>
      </c>
      <c r="G1356" s="133">
        <v>17</v>
      </c>
      <c r="H1356" s="124"/>
      <c r="I1356" s="133" t="str">
        <f>IF(H1356&gt;0,(#REF!*H1356),"-")</f>
        <v>-</v>
      </c>
      <c r="J1356" s="113">
        <v>286</v>
      </c>
      <c r="K1356" s="110" t="s">
        <v>129</v>
      </c>
      <c r="L1356" s="110" t="s">
        <v>5515</v>
      </c>
      <c r="M1356" s="110" t="s">
        <v>129</v>
      </c>
      <c r="N1356" s="110" t="s">
        <v>944</v>
      </c>
      <c r="O1356" s="110" t="s">
        <v>5612</v>
      </c>
      <c r="P1356" s="110" t="s">
        <v>4520</v>
      </c>
      <c r="Q1356" s="110" t="s">
        <v>96</v>
      </c>
      <c r="R1356" s="121">
        <v>0.1628</v>
      </c>
      <c r="S1356" s="113" t="e">
        <f t="shared" si="42"/>
        <v>#VALUE!</v>
      </c>
      <c r="T1356" s="113">
        <f t="shared" si="43"/>
        <v>0</v>
      </c>
    </row>
    <row r="1357" spans="1:20" s="109" customFormat="1" x14ac:dyDescent="0.2">
      <c r="A1357" s="116"/>
      <c r="B1357" s="111" t="s">
        <v>1037</v>
      </c>
      <c r="C1357" s="110" t="s">
        <v>5613</v>
      </c>
      <c r="D1357" s="110" t="s">
        <v>5614</v>
      </c>
      <c r="E1357" s="112" t="s">
        <v>5615</v>
      </c>
      <c r="F1357" s="111" t="s">
        <v>4518</v>
      </c>
      <c r="G1357" s="133">
        <v>17</v>
      </c>
      <c r="H1357" s="124"/>
      <c r="I1357" s="133" t="str">
        <f>IF(H1357&gt;0,(#REF!*H1357),"-")</f>
        <v>-</v>
      </c>
      <c r="J1357" s="113">
        <v>286</v>
      </c>
      <c r="K1357" s="110" t="s">
        <v>129</v>
      </c>
      <c r="L1357" s="110" t="s">
        <v>5515</v>
      </c>
      <c r="M1357" s="110" t="s">
        <v>129</v>
      </c>
      <c r="N1357" s="110" t="s">
        <v>944</v>
      </c>
      <c r="O1357" s="110" t="s">
        <v>5616</v>
      </c>
      <c r="P1357" s="110" t="s">
        <v>4520</v>
      </c>
      <c r="Q1357" s="110" t="s">
        <v>96</v>
      </c>
      <c r="R1357" s="121">
        <v>0.1628</v>
      </c>
      <c r="S1357" s="113" t="e">
        <f t="shared" si="42"/>
        <v>#VALUE!</v>
      </c>
      <c r="T1357" s="113">
        <f t="shared" si="43"/>
        <v>0</v>
      </c>
    </row>
    <row r="1358" spans="1:20" s="109" customFormat="1" x14ac:dyDescent="0.2">
      <c r="A1358" s="116"/>
      <c r="B1358" s="111" t="s">
        <v>5299</v>
      </c>
      <c r="C1358" s="110" t="s">
        <v>5617</v>
      </c>
      <c r="D1358" s="110" t="s">
        <v>5618</v>
      </c>
      <c r="E1358" s="112" t="s">
        <v>5619</v>
      </c>
      <c r="F1358" s="111" t="s">
        <v>4518</v>
      </c>
      <c r="G1358" s="133">
        <v>17</v>
      </c>
      <c r="H1358" s="124"/>
      <c r="I1358" s="133" t="str">
        <f>IF(H1358&gt;0,(#REF!*H1358),"-")</f>
        <v>-</v>
      </c>
      <c r="J1358" s="113">
        <v>286</v>
      </c>
      <c r="K1358" s="110" t="s">
        <v>129</v>
      </c>
      <c r="L1358" s="110" t="s">
        <v>5515</v>
      </c>
      <c r="M1358" s="110" t="s">
        <v>129</v>
      </c>
      <c r="N1358" s="110" t="s">
        <v>944</v>
      </c>
      <c r="O1358" s="110" t="s">
        <v>5620</v>
      </c>
      <c r="P1358" s="110" t="s">
        <v>4520</v>
      </c>
      <c r="Q1358" s="110" t="s">
        <v>96</v>
      </c>
      <c r="R1358" s="121">
        <v>0.1628</v>
      </c>
      <c r="S1358" s="113" t="e">
        <f t="shared" si="42"/>
        <v>#VALUE!</v>
      </c>
      <c r="T1358" s="113">
        <f t="shared" si="43"/>
        <v>0</v>
      </c>
    </row>
    <row r="1359" spans="1:20" s="109" customFormat="1" x14ac:dyDescent="0.2">
      <c r="A1359" s="116"/>
      <c r="B1359" s="111" t="s">
        <v>5299</v>
      </c>
      <c r="C1359" s="110" t="s">
        <v>5621</v>
      </c>
      <c r="D1359" s="110" t="s">
        <v>5622</v>
      </c>
      <c r="E1359" s="112" t="s">
        <v>5623</v>
      </c>
      <c r="F1359" s="111" t="s">
        <v>4518</v>
      </c>
      <c r="G1359" s="133">
        <v>17</v>
      </c>
      <c r="H1359" s="124"/>
      <c r="I1359" s="133" t="str">
        <f>IF(H1359&gt;0,(#REF!*H1359),"-")</f>
        <v>-</v>
      </c>
      <c r="J1359" s="113">
        <v>286</v>
      </c>
      <c r="K1359" s="110" t="s">
        <v>129</v>
      </c>
      <c r="L1359" s="110" t="s">
        <v>5515</v>
      </c>
      <c r="M1359" s="110" t="s">
        <v>129</v>
      </c>
      <c r="N1359" s="110" t="s">
        <v>944</v>
      </c>
      <c r="O1359" s="110" t="s">
        <v>5624</v>
      </c>
      <c r="P1359" s="110" t="s">
        <v>4520</v>
      </c>
      <c r="Q1359" s="110" t="s">
        <v>96</v>
      </c>
      <c r="R1359" s="121">
        <v>0.1628</v>
      </c>
      <c r="S1359" s="113" t="e">
        <f t="shared" si="42"/>
        <v>#VALUE!</v>
      </c>
      <c r="T1359" s="113">
        <f t="shared" si="43"/>
        <v>0</v>
      </c>
    </row>
    <row r="1360" spans="1:20" s="109" customFormat="1" x14ac:dyDescent="0.2">
      <c r="A1360" s="116"/>
      <c r="B1360" s="111" t="s">
        <v>1037</v>
      </c>
      <c r="C1360" s="110" t="s">
        <v>5625</v>
      </c>
      <c r="D1360" s="110" t="s">
        <v>5626</v>
      </c>
      <c r="E1360" s="112" t="s">
        <v>5627</v>
      </c>
      <c r="F1360" s="111" t="s">
        <v>4518</v>
      </c>
      <c r="G1360" s="133">
        <v>17</v>
      </c>
      <c r="H1360" s="124"/>
      <c r="I1360" s="133" t="str">
        <f>IF(H1360&gt;0,(#REF!*H1360),"-")</f>
        <v>-</v>
      </c>
      <c r="J1360" s="113">
        <v>286</v>
      </c>
      <c r="K1360" s="110" t="s">
        <v>129</v>
      </c>
      <c r="L1360" s="110" t="s">
        <v>5515</v>
      </c>
      <c r="M1360" s="110" t="s">
        <v>129</v>
      </c>
      <c r="N1360" s="110" t="s">
        <v>944</v>
      </c>
      <c r="O1360" s="110" t="s">
        <v>5628</v>
      </c>
      <c r="P1360" s="110" t="s">
        <v>4520</v>
      </c>
      <c r="Q1360" s="110" t="s">
        <v>96</v>
      </c>
      <c r="R1360" s="121">
        <v>0.1628</v>
      </c>
      <c r="S1360" s="113" t="e">
        <f t="shared" si="42"/>
        <v>#VALUE!</v>
      </c>
      <c r="T1360" s="113">
        <f t="shared" si="43"/>
        <v>0</v>
      </c>
    </row>
    <row r="1361" spans="1:20" s="109" customFormat="1" x14ac:dyDescent="0.2">
      <c r="A1361" s="116"/>
      <c r="B1361" s="111" t="s">
        <v>1037</v>
      </c>
      <c r="C1361" s="110" t="s">
        <v>5629</v>
      </c>
      <c r="D1361" s="110" t="s">
        <v>5630</v>
      </c>
      <c r="E1361" s="112" t="s">
        <v>5631</v>
      </c>
      <c r="F1361" s="111" t="s">
        <v>4518</v>
      </c>
      <c r="G1361" s="133">
        <v>17</v>
      </c>
      <c r="H1361" s="124"/>
      <c r="I1361" s="133" t="str">
        <f>IF(H1361&gt;0,(#REF!*H1361),"-")</f>
        <v>-</v>
      </c>
      <c r="J1361" s="113">
        <v>286</v>
      </c>
      <c r="K1361" s="110" t="s">
        <v>129</v>
      </c>
      <c r="L1361" s="110" t="s">
        <v>5515</v>
      </c>
      <c r="M1361" s="110" t="s">
        <v>129</v>
      </c>
      <c r="N1361" s="110" t="s">
        <v>944</v>
      </c>
      <c r="O1361" s="110" t="s">
        <v>5632</v>
      </c>
      <c r="P1361" s="110" t="s">
        <v>4520</v>
      </c>
      <c r="Q1361" s="110" t="s">
        <v>96</v>
      </c>
      <c r="R1361" s="121">
        <v>0.1628</v>
      </c>
      <c r="S1361" s="113" t="e">
        <f t="shared" si="42"/>
        <v>#VALUE!</v>
      </c>
      <c r="T1361" s="113">
        <f t="shared" si="43"/>
        <v>0</v>
      </c>
    </row>
    <row r="1362" spans="1:20" s="109" customFormat="1" x14ac:dyDescent="0.2">
      <c r="A1362" s="116"/>
      <c r="B1362" s="111" t="s">
        <v>1037</v>
      </c>
      <c r="C1362" s="110" t="s">
        <v>5633</v>
      </c>
      <c r="D1362" s="110" t="s">
        <v>5634</v>
      </c>
      <c r="E1362" s="112" t="s">
        <v>5635</v>
      </c>
      <c r="F1362" s="111" t="s">
        <v>4518</v>
      </c>
      <c r="G1362" s="133">
        <v>17</v>
      </c>
      <c r="H1362" s="124"/>
      <c r="I1362" s="133" t="str">
        <f>IF(H1362&gt;0,(#REF!*H1362),"-")</f>
        <v>-</v>
      </c>
      <c r="J1362" s="113">
        <v>286</v>
      </c>
      <c r="K1362" s="110" t="s">
        <v>129</v>
      </c>
      <c r="L1362" s="110" t="s">
        <v>5515</v>
      </c>
      <c r="M1362" s="110" t="s">
        <v>129</v>
      </c>
      <c r="N1362" s="110" t="s">
        <v>944</v>
      </c>
      <c r="O1362" s="110" t="s">
        <v>5636</v>
      </c>
      <c r="P1362" s="110" t="s">
        <v>4520</v>
      </c>
      <c r="Q1362" s="110" t="s">
        <v>96</v>
      </c>
      <c r="R1362" s="121">
        <v>0.1628</v>
      </c>
      <c r="S1362" s="113" t="e">
        <f t="shared" si="42"/>
        <v>#VALUE!</v>
      </c>
      <c r="T1362" s="113">
        <f t="shared" si="43"/>
        <v>0</v>
      </c>
    </row>
    <row r="1363" spans="1:20" s="109" customFormat="1" x14ac:dyDescent="0.2">
      <c r="A1363" s="116"/>
      <c r="B1363" s="111" t="s">
        <v>1037</v>
      </c>
      <c r="C1363" s="110" t="s">
        <v>5637</v>
      </c>
      <c r="D1363" s="110" t="s">
        <v>5638</v>
      </c>
      <c r="E1363" s="112" t="s">
        <v>5639</v>
      </c>
      <c r="F1363" s="111" t="s">
        <v>944</v>
      </c>
      <c r="G1363" s="133">
        <v>17</v>
      </c>
      <c r="H1363" s="124"/>
      <c r="I1363" s="133" t="str">
        <f>IF(H1363&gt;0,(#REF!*H1363),"-")</f>
        <v>-</v>
      </c>
      <c r="J1363" s="113">
        <v>286</v>
      </c>
      <c r="K1363" s="110" t="s">
        <v>129</v>
      </c>
      <c r="L1363" s="110" t="s">
        <v>5515</v>
      </c>
      <c r="M1363" s="110" t="s">
        <v>129</v>
      </c>
      <c r="N1363" s="110" t="s">
        <v>944</v>
      </c>
      <c r="O1363" s="110" t="s">
        <v>5640</v>
      </c>
      <c r="P1363" s="110" t="s">
        <v>4520</v>
      </c>
      <c r="Q1363" s="110" t="s">
        <v>96</v>
      </c>
      <c r="R1363" s="121">
        <v>0.1628</v>
      </c>
      <c r="S1363" s="113" t="e">
        <f t="shared" si="42"/>
        <v>#VALUE!</v>
      </c>
      <c r="T1363" s="113">
        <f t="shared" si="43"/>
        <v>0</v>
      </c>
    </row>
    <row r="1364" spans="1:20" s="109" customFormat="1" x14ac:dyDescent="0.2">
      <c r="A1364" s="116"/>
      <c r="B1364" s="111" t="s">
        <v>1037</v>
      </c>
      <c r="C1364" s="110" t="s">
        <v>5641</v>
      </c>
      <c r="D1364" s="110" t="s">
        <v>5642</v>
      </c>
      <c r="E1364" s="112" t="s">
        <v>5643</v>
      </c>
      <c r="F1364" s="111" t="s">
        <v>944</v>
      </c>
      <c r="G1364" s="133">
        <v>17</v>
      </c>
      <c r="H1364" s="124"/>
      <c r="I1364" s="133" t="str">
        <f>IF(H1364&gt;0,(#REF!*H1364),"-")</f>
        <v>-</v>
      </c>
      <c r="J1364" s="113">
        <v>286</v>
      </c>
      <c r="K1364" s="110" t="s">
        <v>129</v>
      </c>
      <c r="L1364" s="110" t="s">
        <v>5515</v>
      </c>
      <c r="M1364" s="110" t="s">
        <v>129</v>
      </c>
      <c r="N1364" s="110" t="s">
        <v>944</v>
      </c>
      <c r="O1364" s="110" t="s">
        <v>5644</v>
      </c>
      <c r="P1364" s="110" t="s">
        <v>4520</v>
      </c>
      <c r="Q1364" s="110" t="s">
        <v>96</v>
      </c>
      <c r="R1364" s="121">
        <v>0.1628</v>
      </c>
      <c r="S1364" s="113" t="e">
        <f t="shared" si="42"/>
        <v>#VALUE!</v>
      </c>
      <c r="T1364" s="113">
        <f t="shared" si="43"/>
        <v>0</v>
      </c>
    </row>
    <row r="1365" spans="1:20" s="109" customFormat="1" x14ac:dyDescent="0.2">
      <c r="A1365" s="116"/>
      <c r="B1365" s="111" t="s">
        <v>1037</v>
      </c>
      <c r="C1365" s="110" t="s">
        <v>5645</v>
      </c>
      <c r="D1365" s="110" t="s">
        <v>5646</v>
      </c>
      <c r="E1365" s="112" t="s">
        <v>5647</v>
      </c>
      <c r="F1365" s="111" t="s">
        <v>4518</v>
      </c>
      <c r="G1365" s="133">
        <v>17</v>
      </c>
      <c r="H1365" s="124"/>
      <c r="I1365" s="133" t="str">
        <f>IF(H1365&gt;0,(#REF!*H1365),"-")</f>
        <v>-</v>
      </c>
      <c r="J1365" s="113">
        <v>286</v>
      </c>
      <c r="K1365" s="110" t="s">
        <v>129</v>
      </c>
      <c r="L1365" s="110" t="s">
        <v>5515</v>
      </c>
      <c r="M1365" s="110" t="s">
        <v>129</v>
      </c>
      <c r="N1365" s="110" t="s">
        <v>944</v>
      </c>
      <c r="O1365" s="110" t="s">
        <v>5648</v>
      </c>
      <c r="P1365" s="110" t="s">
        <v>4520</v>
      </c>
      <c r="Q1365" s="110" t="s">
        <v>96</v>
      </c>
      <c r="R1365" s="121">
        <v>0.1628</v>
      </c>
      <c r="S1365" s="113" t="e">
        <f t="shared" si="42"/>
        <v>#VALUE!</v>
      </c>
      <c r="T1365" s="113">
        <f t="shared" si="43"/>
        <v>0</v>
      </c>
    </row>
    <row r="1366" spans="1:20" s="109" customFormat="1" x14ac:dyDescent="0.2">
      <c r="A1366" s="116"/>
      <c r="B1366" s="111" t="s">
        <v>1037</v>
      </c>
      <c r="C1366" s="110" t="s">
        <v>5649</v>
      </c>
      <c r="D1366" s="110" t="s">
        <v>5650</v>
      </c>
      <c r="E1366" s="112" t="s">
        <v>5651</v>
      </c>
      <c r="F1366" s="111" t="s">
        <v>4518</v>
      </c>
      <c r="G1366" s="133">
        <v>17</v>
      </c>
      <c r="H1366" s="124"/>
      <c r="I1366" s="133" t="str">
        <f>IF(H1366&gt;0,(#REF!*H1366),"-")</f>
        <v>-</v>
      </c>
      <c r="J1366" s="113">
        <v>286</v>
      </c>
      <c r="K1366" s="110" t="s">
        <v>129</v>
      </c>
      <c r="L1366" s="110" t="s">
        <v>5515</v>
      </c>
      <c r="M1366" s="110" t="s">
        <v>129</v>
      </c>
      <c r="N1366" s="110" t="s">
        <v>944</v>
      </c>
      <c r="O1366" s="110" t="s">
        <v>5652</v>
      </c>
      <c r="P1366" s="110" t="s">
        <v>4520</v>
      </c>
      <c r="Q1366" s="110" t="s">
        <v>96</v>
      </c>
      <c r="R1366" s="121">
        <v>0.1628</v>
      </c>
      <c r="S1366" s="113" t="e">
        <f t="shared" si="42"/>
        <v>#VALUE!</v>
      </c>
      <c r="T1366" s="113">
        <f t="shared" si="43"/>
        <v>0</v>
      </c>
    </row>
    <row r="1367" spans="1:20" s="109" customFormat="1" x14ac:dyDescent="0.2">
      <c r="A1367" s="116"/>
      <c r="B1367" s="111" t="s">
        <v>1037</v>
      </c>
      <c r="C1367" s="110" t="s">
        <v>5653</v>
      </c>
      <c r="D1367" s="110" t="s">
        <v>5654</v>
      </c>
      <c r="E1367" s="112" t="s">
        <v>5655</v>
      </c>
      <c r="F1367" s="111" t="s">
        <v>944</v>
      </c>
      <c r="G1367" s="133">
        <v>17</v>
      </c>
      <c r="H1367" s="124"/>
      <c r="I1367" s="133" t="str">
        <f>IF(H1367&gt;0,(#REF!*H1367),"-")</f>
        <v>-</v>
      </c>
      <c r="J1367" s="113">
        <v>286</v>
      </c>
      <c r="K1367" s="110" t="s">
        <v>129</v>
      </c>
      <c r="L1367" s="110" t="s">
        <v>5515</v>
      </c>
      <c r="M1367" s="110" t="s">
        <v>129</v>
      </c>
      <c r="N1367" s="110" t="s">
        <v>944</v>
      </c>
      <c r="O1367" s="110" t="s">
        <v>5656</v>
      </c>
      <c r="P1367" s="110" t="s">
        <v>4520</v>
      </c>
      <c r="Q1367" s="110" t="s">
        <v>96</v>
      </c>
      <c r="R1367" s="121">
        <v>0.1628</v>
      </c>
      <c r="S1367" s="113" t="e">
        <f t="shared" si="42"/>
        <v>#VALUE!</v>
      </c>
      <c r="T1367" s="113">
        <f t="shared" si="43"/>
        <v>0</v>
      </c>
    </row>
    <row r="1368" spans="1:20" s="109" customFormat="1" x14ac:dyDescent="0.2">
      <c r="A1368" s="116"/>
      <c r="B1368" s="111" t="s">
        <v>289</v>
      </c>
      <c r="C1368" s="110" t="s">
        <v>5657</v>
      </c>
      <c r="D1368" s="110" t="s">
        <v>5658</v>
      </c>
      <c r="E1368" s="112" t="s">
        <v>5659</v>
      </c>
      <c r="F1368" s="111" t="s">
        <v>944</v>
      </c>
      <c r="G1368" s="133">
        <v>17</v>
      </c>
      <c r="H1368" s="124"/>
      <c r="I1368" s="133" t="str">
        <f>IF(H1368&gt;0,(#REF!*H1368),"-")</f>
        <v>-</v>
      </c>
      <c r="J1368" s="113">
        <v>286</v>
      </c>
      <c r="K1368" s="110" t="s">
        <v>129</v>
      </c>
      <c r="L1368" s="110" t="s">
        <v>5515</v>
      </c>
      <c r="M1368" s="110" t="s">
        <v>129</v>
      </c>
      <c r="N1368" s="110" t="s">
        <v>944</v>
      </c>
      <c r="O1368" s="110" t="s">
        <v>5660</v>
      </c>
      <c r="P1368" s="110" t="s">
        <v>4520</v>
      </c>
      <c r="Q1368" s="110" t="s">
        <v>96</v>
      </c>
      <c r="R1368" s="121">
        <v>0.1628</v>
      </c>
      <c r="S1368" s="113" t="e">
        <f t="shared" si="42"/>
        <v>#VALUE!</v>
      </c>
      <c r="T1368" s="113">
        <f t="shared" si="43"/>
        <v>0</v>
      </c>
    </row>
    <row r="1369" spans="1:20" s="109" customFormat="1" x14ac:dyDescent="0.2">
      <c r="A1369" s="116"/>
      <c r="B1369" s="111" t="s">
        <v>5299</v>
      </c>
      <c r="C1369" s="110" t="s">
        <v>5661</v>
      </c>
      <c r="D1369" s="110" t="s">
        <v>5662</v>
      </c>
      <c r="E1369" s="112" t="s">
        <v>5663</v>
      </c>
      <c r="F1369" s="111" t="s">
        <v>4518</v>
      </c>
      <c r="G1369" s="133">
        <v>17</v>
      </c>
      <c r="H1369" s="124"/>
      <c r="I1369" s="133" t="str">
        <f>IF(H1369&gt;0,(#REF!*H1369),"-")</f>
        <v>-</v>
      </c>
      <c r="J1369" s="113">
        <v>286</v>
      </c>
      <c r="K1369" s="110" t="s">
        <v>129</v>
      </c>
      <c r="L1369" s="110" t="s">
        <v>5515</v>
      </c>
      <c r="M1369" s="110" t="s">
        <v>129</v>
      </c>
      <c r="N1369" s="110" t="s">
        <v>944</v>
      </c>
      <c r="O1369" s="110" t="s">
        <v>5664</v>
      </c>
      <c r="P1369" s="110" t="s">
        <v>4520</v>
      </c>
      <c r="Q1369" s="110" t="s">
        <v>96</v>
      </c>
      <c r="R1369" s="121">
        <v>0.1628</v>
      </c>
      <c r="S1369" s="113" t="e">
        <f t="shared" si="42"/>
        <v>#VALUE!</v>
      </c>
      <c r="T1369" s="113">
        <f t="shared" si="43"/>
        <v>0</v>
      </c>
    </row>
    <row r="1370" spans="1:20" s="109" customFormat="1" x14ac:dyDescent="0.2">
      <c r="A1370" s="116"/>
      <c r="B1370" s="111" t="s">
        <v>5299</v>
      </c>
      <c r="C1370" s="110" t="s">
        <v>5665</v>
      </c>
      <c r="D1370" s="110" t="s">
        <v>5666</v>
      </c>
      <c r="E1370" s="112" t="s">
        <v>5667</v>
      </c>
      <c r="F1370" s="111" t="s">
        <v>4518</v>
      </c>
      <c r="G1370" s="133">
        <v>17</v>
      </c>
      <c r="H1370" s="124"/>
      <c r="I1370" s="133" t="str">
        <f>IF(H1370&gt;0,(#REF!*H1370),"-")</f>
        <v>-</v>
      </c>
      <c r="J1370" s="113">
        <v>286</v>
      </c>
      <c r="K1370" s="110" t="s">
        <v>129</v>
      </c>
      <c r="L1370" s="110" t="s">
        <v>5515</v>
      </c>
      <c r="M1370" s="110" t="s">
        <v>129</v>
      </c>
      <c r="N1370" s="110" t="s">
        <v>944</v>
      </c>
      <c r="O1370" s="110" t="s">
        <v>5668</v>
      </c>
      <c r="P1370" s="110" t="s">
        <v>4520</v>
      </c>
      <c r="Q1370" s="110" t="s">
        <v>96</v>
      </c>
      <c r="R1370" s="121">
        <v>0.1628</v>
      </c>
      <c r="S1370" s="113" t="e">
        <f t="shared" si="42"/>
        <v>#VALUE!</v>
      </c>
      <c r="T1370" s="113">
        <f t="shared" si="43"/>
        <v>0</v>
      </c>
    </row>
    <row r="1371" spans="1:20" s="109" customFormat="1" x14ac:dyDescent="0.2">
      <c r="A1371" s="116"/>
      <c r="B1371" s="111" t="s">
        <v>1037</v>
      </c>
      <c r="C1371" s="110" t="s">
        <v>5669</v>
      </c>
      <c r="D1371" s="110" t="s">
        <v>5670</v>
      </c>
      <c r="E1371" s="112" t="s">
        <v>5671</v>
      </c>
      <c r="F1371" s="111" t="s">
        <v>4518</v>
      </c>
      <c r="G1371" s="133">
        <v>17</v>
      </c>
      <c r="H1371" s="124"/>
      <c r="I1371" s="133" t="str">
        <f>IF(H1371&gt;0,(#REF!*H1371),"-")</f>
        <v>-</v>
      </c>
      <c r="J1371" s="113">
        <v>286</v>
      </c>
      <c r="K1371" s="110" t="s">
        <v>129</v>
      </c>
      <c r="L1371" s="110" t="s">
        <v>5515</v>
      </c>
      <c r="M1371" s="110" t="s">
        <v>129</v>
      </c>
      <c r="N1371" s="110" t="s">
        <v>944</v>
      </c>
      <c r="O1371" s="110" t="s">
        <v>5672</v>
      </c>
      <c r="P1371" s="110" t="s">
        <v>4520</v>
      </c>
      <c r="Q1371" s="110" t="s">
        <v>96</v>
      </c>
      <c r="R1371" s="121">
        <v>0.1628</v>
      </c>
      <c r="S1371" s="113" t="e">
        <f t="shared" si="42"/>
        <v>#VALUE!</v>
      </c>
      <c r="T1371" s="113">
        <f t="shared" si="43"/>
        <v>0</v>
      </c>
    </row>
    <row r="1372" spans="1:20" s="109" customFormat="1" x14ac:dyDescent="0.2">
      <c r="A1372" s="116"/>
      <c r="B1372" s="111" t="s">
        <v>1037</v>
      </c>
      <c r="C1372" s="110" t="s">
        <v>5673</v>
      </c>
      <c r="D1372" s="110" t="s">
        <v>5674</v>
      </c>
      <c r="E1372" s="112" t="s">
        <v>5675</v>
      </c>
      <c r="F1372" s="111" t="s">
        <v>4518</v>
      </c>
      <c r="G1372" s="133">
        <v>17</v>
      </c>
      <c r="H1372" s="124"/>
      <c r="I1372" s="133" t="str">
        <f>IF(H1372&gt;0,(#REF!*H1372),"-")</f>
        <v>-</v>
      </c>
      <c r="J1372" s="113">
        <v>286</v>
      </c>
      <c r="K1372" s="110" t="s">
        <v>129</v>
      </c>
      <c r="L1372" s="110" t="s">
        <v>5515</v>
      </c>
      <c r="M1372" s="110" t="s">
        <v>129</v>
      </c>
      <c r="N1372" s="110" t="s">
        <v>944</v>
      </c>
      <c r="O1372" s="110" t="s">
        <v>5676</v>
      </c>
      <c r="P1372" s="110" t="s">
        <v>4520</v>
      </c>
      <c r="Q1372" s="110" t="s">
        <v>96</v>
      </c>
      <c r="R1372" s="121">
        <v>0.1628</v>
      </c>
      <c r="S1372" s="113" t="e">
        <f t="shared" si="42"/>
        <v>#VALUE!</v>
      </c>
      <c r="T1372" s="113">
        <f t="shared" si="43"/>
        <v>0</v>
      </c>
    </row>
    <row r="1373" spans="1:20" s="109" customFormat="1" x14ac:dyDescent="0.2">
      <c r="A1373" s="116"/>
      <c r="B1373" s="111" t="s">
        <v>1037</v>
      </c>
      <c r="C1373" s="110" t="s">
        <v>5677</v>
      </c>
      <c r="D1373" s="110" t="s">
        <v>5678</v>
      </c>
      <c r="E1373" s="112" t="s">
        <v>5679</v>
      </c>
      <c r="F1373" s="111" t="s">
        <v>4518</v>
      </c>
      <c r="G1373" s="133">
        <v>17</v>
      </c>
      <c r="H1373" s="124"/>
      <c r="I1373" s="133" t="str">
        <f>IF(H1373&gt;0,(#REF!*H1373),"-")</f>
        <v>-</v>
      </c>
      <c r="J1373" s="113">
        <v>286</v>
      </c>
      <c r="K1373" s="110" t="s">
        <v>129</v>
      </c>
      <c r="L1373" s="110" t="s">
        <v>5515</v>
      </c>
      <c r="M1373" s="110" t="s">
        <v>129</v>
      </c>
      <c r="N1373" s="110" t="s">
        <v>944</v>
      </c>
      <c r="O1373" s="110" t="s">
        <v>5680</v>
      </c>
      <c r="P1373" s="110" t="s">
        <v>4520</v>
      </c>
      <c r="Q1373" s="110" t="s">
        <v>96</v>
      </c>
      <c r="R1373" s="121">
        <v>0.1628</v>
      </c>
      <c r="S1373" s="113" t="e">
        <f t="shared" si="42"/>
        <v>#VALUE!</v>
      </c>
      <c r="T1373" s="113">
        <f t="shared" si="43"/>
        <v>0</v>
      </c>
    </row>
    <row r="1374" spans="1:20" s="109" customFormat="1" x14ac:dyDescent="0.2">
      <c r="A1374" s="116"/>
      <c r="B1374" s="111" t="s">
        <v>1037</v>
      </c>
      <c r="C1374" s="110" t="s">
        <v>5681</v>
      </c>
      <c r="D1374" s="110" t="s">
        <v>5682</v>
      </c>
      <c r="E1374" s="112" t="s">
        <v>5683</v>
      </c>
      <c r="F1374" s="111" t="s">
        <v>4518</v>
      </c>
      <c r="G1374" s="133">
        <v>17</v>
      </c>
      <c r="H1374" s="124"/>
      <c r="I1374" s="133" t="str">
        <f>IF(H1374&gt;0,(#REF!*H1374),"-")</f>
        <v>-</v>
      </c>
      <c r="J1374" s="113">
        <v>286</v>
      </c>
      <c r="K1374" s="110" t="s">
        <v>129</v>
      </c>
      <c r="L1374" s="110" t="s">
        <v>5515</v>
      </c>
      <c r="M1374" s="110" t="s">
        <v>129</v>
      </c>
      <c r="N1374" s="110" t="s">
        <v>944</v>
      </c>
      <c r="O1374" s="110" t="s">
        <v>5684</v>
      </c>
      <c r="P1374" s="110" t="s">
        <v>4520</v>
      </c>
      <c r="Q1374" s="110" t="s">
        <v>96</v>
      </c>
      <c r="R1374" s="121">
        <v>0.1628</v>
      </c>
      <c r="S1374" s="113" t="e">
        <f t="shared" si="42"/>
        <v>#VALUE!</v>
      </c>
      <c r="T1374" s="113">
        <f t="shared" si="43"/>
        <v>0</v>
      </c>
    </row>
    <row r="1375" spans="1:20" s="109" customFormat="1" x14ac:dyDescent="0.2">
      <c r="A1375" s="116"/>
      <c r="B1375" s="111" t="s">
        <v>1037</v>
      </c>
      <c r="C1375" s="110" t="s">
        <v>5685</v>
      </c>
      <c r="D1375" s="110" t="s">
        <v>5686</v>
      </c>
      <c r="E1375" s="112" t="s">
        <v>5687</v>
      </c>
      <c r="F1375" s="111" t="s">
        <v>4518</v>
      </c>
      <c r="G1375" s="133">
        <v>17</v>
      </c>
      <c r="H1375" s="124"/>
      <c r="I1375" s="133" t="str">
        <f>IF(H1375&gt;0,(#REF!*H1375),"-")</f>
        <v>-</v>
      </c>
      <c r="J1375" s="113">
        <v>286</v>
      </c>
      <c r="K1375" s="110" t="s">
        <v>129</v>
      </c>
      <c r="L1375" s="110" t="s">
        <v>5515</v>
      </c>
      <c r="M1375" s="110" t="s">
        <v>129</v>
      </c>
      <c r="N1375" s="110" t="s">
        <v>944</v>
      </c>
      <c r="O1375" s="110" t="s">
        <v>5688</v>
      </c>
      <c r="P1375" s="110" t="s">
        <v>4520</v>
      </c>
      <c r="Q1375" s="110" t="s">
        <v>96</v>
      </c>
      <c r="R1375" s="121">
        <v>0.1628</v>
      </c>
      <c r="S1375" s="113" t="e">
        <f t="shared" si="42"/>
        <v>#VALUE!</v>
      </c>
      <c r="T1375" s="113">
        <f t="shared" si="43"/>
        <v>0</v>
      </c>
    </row>
    <row r="1376" spans="1:20" s="109" customFormat="1" x14ac:dyDescent="0.2">
      <c r="A1376" s="116"/>
      <c r="B1376" s="111" t="s">
        <v>1037</v>
      </c>
      <c r="C1376" s="110" t="s">
        <v>5689</v>
      </c>
      <c r="D1376" s="110" t="s">
        <v>5690</v>
      </c>
      <c r="E1376" s="112" t="s">
        <v>5691</v>
      </c>
      <c r="F1376" s="111" t="s">
        <v>4518</v>
      </c>
      <c r="G1376" s="133">
        <v>17</v>
      </c>
      <c r="H1376" s="124"/>
      <c r="I1376" s="133" t="str">
        <f>IF(H1376&gt;0,(#REF!*H1376),"-")</f>
        <v>-</v>
      </c>
      <c r="J1376" s="113">
        <v>286</v>
      </c>
      <c r="K1376" s="110" t="s">
        <v>129</v>
      </c>
      <c r="L1376" s="110" t="s">
        <v>5515</v>
      </c>
      <c r="M1376" s="110" t="s">
        <v>129</v>
      </c>
      <c r="N1376" s="110" t="s">
        <v>944</v>
      </c>
      <c r="O1376" s="110" t="s">
        <v>5692</v>
      </c>
      <c r="P1376" s="110" t="s">
        <v>4520</v>
      </c>
      <c r="Q1376" s="110" t="s">
        <v>96</v>
      </c>
      <c r="R1376" s="121">
        <v>0.1628</v>
      </c>
      <c r="S1376" s="113" t="e">
        <f t="shared" si="42"/>
        <v>#VALUE!</v>
      </c>
      <c r="T1376" s="113">
        <f t="shared" si="43"/>
        <v>0</v>
      </c>
    </row>
    <row r="1377" spans="1:20" s="109" customFormat="1" x14ac:dyDescent="0.2">
      <c r="A1377" s="116"/>
      <c r="B1377" s="111" t="s">
        <v>1037</v>
      </c>
      <c r="C1377" s="110" t="s">
        <v>5693</v>
      </c>
      <c r="D1377" s="110" t="s">
        <v>5694</v>
      </c>
      <c r="E1377" s="112" t="s">
        <v>5695</v>
      </c>
      <c r="F1377" s="111" t="s">
        <v>4518</v>
      </c>
      <c r="G1377" s="133">
        <v>17</v>
      </c>
      <c r="H1377" s="124"/>
      <c r="I1377" s="133" t="str">
        <f>IF(H1377&gt;0,(#REF!*H1377),"-")</f>
        <v>-</v>
      </c>
      <c r="J1377" s="113">
        <v>286</v>
      </c>
      <c r="K1377" s="110" t="s">
        <v>129</v>
      </c>
      <c r="L1377" s="110" t="s">
        <v>5515</v>
      </c>
      <c r="M1377" s="110" t="s">
        <v>129</v>
      </c>
      <c r="N1377" s="110" t="s">
        <v>944</v>
      </c>
      <c r="O1377" s="110" t="s">
        <v>5696</v>
      </c>
      <c r="P1377" s="110" t="s">
        <v>4520</v>
      </c>
      <c r="Q1377" s="110" t="s">
        <v>96</v>
      </c>
      <c r="R1377" s="121">
        <v>0.1628</v>
      </c>
      <c r="S1377" s="113" t="e">
        <f t="shared" si="42"/>
        <v>#VALUE!</v>
      </c>
      <c r="T1377" s="113">
        <f t="shared" si="43"/>
        <v>0</v>
      </c>
    </row>
    <row r="1378" spans="1:20" s="109" customFormat="1" x14ac:dyDescent="0.2">
      <c r="A1378" s="116"/>
      <c r="B1378" s="111" t="s">
        <v>5299</v>
      </c>
      <c r="C1378" s="110" t="s">
        <v>5697</v>
      </c>
      <c r="D1378" s="110" t="s">
        <v>5698</v>
      </c>
      <c r="E1378" s="112" t="s">
        <v>5699</v>
      </c>
      <c r="F1378" s="111" t="s">
        <v>4518</v>
      </c>
      <c r="G1378" s="133">
        <v>17</v>
      </c>
      <c r="H1378" s="124"/>
      <c r="I1378" s="133" t="str">
        <f>IF(H1378&gt;0,(#REF!*H1378),"-")</f>
        <v>-</v>
      </c>
      <c r="J1378" s="113">
        <v>286</v>
      </c>
      <c r="K1378" s="110" t="s">
        <v>129</v>
      </c>
      <c r="L1378" s="110" t="s">
        <v>5515</v>
      </c>
      <c r="M1378" s="110" t="s">
        <v>129</v>
      </c>
      <c r="N1378" s="110" t="s">
        <v>944</v>
      </c>
      <c r="O1378" s="110" t="s">
        <v>5700</v>
      </c>
      <c r="P1378" s="110" t="s">
        <v>4520</v>
      </c>
      <c r="Q1378" s="110" t="s">
        <v>96</v>
      </c>
      <c r="R1378" s="121">
        <v>0.1628</v>
      </c>
      <c r="S1378" s="113" t="e">
        <f t="shared" si="42"/>
        <v>#VALUE!</v>
      </c>
      <c r="T1378" s="113">
        <f t="shared" si="43"/>
        <v>0</v>
      </c>
    </row>
    <row r="1379" spans="1:20" s="109" customFormat="1" x14ac:dyDescent="0.2">
      <c r="A1379" s="116"/>
      <c r="B1379" s="111" t="s">
        <v>5299</v>
      </c>
      <c r="C1379" s="110" t="s">
        <v>5701</v>
      </c>
      <c r="D1379" s="110" t="s">
        <v>5702</v>
      </c>
      <c r="E1379" s="112" t="s">
        <v>5703</v>
      </c>
      <c r="F1379" s="111" t="s">
        <v>4518</v>
      </c>
      <c r="G1379" s="133">
        <v>17</v>
      </c>
      <c r="H1379" s="124"/>
      <c r="I1379" s="133" t="str">
        <f>IF(H1379&gt;0,(#REF!*H1379),"-")</f>
        <v>-</v>
      </c>
      <c r="J1379" s="113">
        <v>286</v>
      </c>
      <c r="K1379" s="110" t="s">
        <v>129</v>
      </c>
      <c r="L1379" s="110" t="s">
        <v>5515</v>
      </c>
      <c r="M1379" s="110" t="s">
        <v>129</v>
      </c>
      <c r="N1379" s="110" t="s">
        <v>944</v>
      </c>
      <c r="O1379" s="110" t="s">
        <v>5704</v>
      </c>
      <c r="P1379" s="110" t="s">
        <v>4520</v>
      </c>
      <c r="Q1379" s="110" t="s">
        <v>96</v>
      </c>
      <c r="R1379" s="121">
        <v>0.1628</v>
      </c>
      <c r="S1379" s="113" t="e">
        <f t="shared" si="42"/>
        <v>#VALUE!</v>
      </c>
      <c r="T1379" s="113">
        <f t="shared" si="43"/>
        <v>0</v>
      </c>
    </row>
    <row r="1380" spans="1:20" s="109" customFormat="1" x14ac:dyDescent="0.2">
      <c r="A1380" s="116"/>
      <c r="B1380" s="111" t="s">
        <v>1037</v>
      </c>
      <c r="C1380" s="110" t="s">
        <v>5705</v>
      </c>
      <c r="D1380" s="110" t="s">
        <v>5706</v>
      </c>
      <c r="E1380" s="112" t="s">
        <v>5707</v>
      </c>
      <c r="F1380" s="111" t="s">
        <v>4518</v>
      </c>
      <c r="G1380" s="133">
        <v>17</v>
      </c>
      <c r="H1380" s="124"/>
      <c r="I1380" s="133" t="str">
        <f>IF(H1380&gt;0,(#REF!*H1380),"-")</f>
        <v>-</v>
      </c>
      <c r="J1380" s="113">
        <v>286</v>
      </c>
      <c r="K1380" s="110" t="s">
        <v>129</v>
      </c>
      <c r="L1380" s="110" t="s">
        <v>5515</v>
      </c>
      <c r="M1380" s="110" t="s">
        <v>129</v>
      </c>
      <c r="N1380" s="110" t="s">
        <v>944</v>
      </c>
      <c r="O1380" s="110" t="s">
        <v>5708</v>
      </c>
      <c r="P1380" s="110" t="s">
        <v>4520</v>
      </c>
      <c r="Q1380" s="110" t="s">
        <v>96</v>
      </c>
      <c r="R1380" s="121">
        <v>0.1628</v>
      </c>
      <c r="S1380" s="113" t="e">
        <f t="shared" si="42"/>
        <v>#VALUE!</v>
      </c>
      <c r="T1380" s="113">
        <f t="shared" si="43"/>
        <v>0</v>
      </c>
    </row>
    <row r="1381" spans="1:20" s="109" customFormat="1" x14ac:dyDescent="0.2">
      <c r="A1381" s="116"/>
      <c r="B1381" s="111" t="s">
        <v>1037</v>
      </c>
      <c r="C1381" s="110" t="s">
        <v>5709</v>
      </c>
      <c r="D1381" s="110" t="s">
        <v>5710</v>
      </c>
      <c r="E1381" s="112" t="s">
        <v>5711</v>
      </c>
      <c r="F1381" s="111" t="s">
        <v>4518</v>
      </c>
      <c r="G1381" s="133">
        <v>17</v>
      </c>
      <c r="H1381" s="124"/>
      <c r="I1381" s="133" t="str">
        <f>IF(H1381&gt;0,(#REF!*H1381),"-")</f>
        <v>-</v>
      </c>
      <c r="J1381" s="113">
        <v>286</v>
      </c>
      <c r="K1381" s="110" t="s">
        <v>129</v>
      </c>
      <c r="L1381" s="110" t="s">
        <v>5515</v>
      </c>
      <c r="M1381" s="110" t="s">
        <v>129</v>
      </c>
      <c r="N1381" s="110" t="s">
        <v>944</v>
      </c>
      <c r="O1381" s="110" t="s">
        <v>5712</v>
      </c>
      <c r="P1381" s="110" t="s">
        <v>4520</v>
      </c>
      <c r="Q1381" s="110" t="s">
        <v>96</v>
      </c>
      <c r="R1381" s="121">
        <v>0.1628</v>
      </c>
      <c r="S1381" s="113" t="e">
        <f t="shared" si="42"/>
        <v>#VALUE!</v>
      </c>
      <c r="T1381" s="113">
        <f t="shared" si="43"/>
        <v>0</v>
      </c>
    </row>
    <row r="1382" spans="1:20" s="109" customFormat="1" x14ac:dyDescent="0.2">
      <c r="A1382" s="116"/>
      <c r="B1382" s="111" t="s">
        <v>1037</v>
      </c>
      <c r="C1382" s="110" t="s">
        <v>5713</v>
      </c>
      <c r="D1382" s="110" t="s">
        <v>5714</v>
      </c>
      <c r="E1382" s="112" t="s">
        <v>5715</v>
      </c>
      <c r="F1382" s="111" t="s">
        <v>944</v>
      </c>
      <c r="G1382" s="133">
        <v>17</v>
      </c>
      <c r="H1382" s="124"/>
      <c r="I1382" s="133" t="str">
        <f>IF(H1382&gt;0,(#REF!*H1382),"-")</f>
        <v>-</v>
      </c>
      <c r="J1382" s="113">
        <v>286</v>
      </c>
      <c r="K1382" s="110" t="s">
        <v>129</v>
      </c>
      <c r="L1382" s="110" t="s">
        <v>5515</v>
      </c>
      <c r="M1382" s="110" t="s">
        <v>129</v>
      </c>
      <c r="N1382" s="110" t="s">
        <v>944</v>
      </c>
      <c r="O1382" s="110" t="s">
        <v>5716</v>
      </c>
      <c r="P1382" s="110" t="s">
        <v>4520</v>
      </c>
      <c r="Q1382" s="110" t="s">
        <v>96</v>
      </c>
      <c r="R1382" s="121">
        <v>0.1628</v>
      </c>
      <c r="S1382" s="113" t="e">
        <f t="shared" si="42"/>
        <v>#VALUE!</v>
      </c>
      <c r="T1382" s="113">
        <f t="shared" si="43"/>
        <v>0</v>
      </c>
    </row>
    <row r="1383" spans="1:20" s="109" customFormat="1" x14ac:dyDescent="0.2">
      <c r="A1383" s="116"/>
      <c r="B1383" s="111" t="s">
        <v>959</v>
      </c>
      <c r="C1383" s="110" t="s">
        <v>5717</v>
      </c>
      <c r="D1383" s="110" t="s">
        <v>5718</v>
      </c>
      <c r="E1383" s="112" t="s">
        <v>5719</v>
      </c>
      <c r="F1383" s="111" t="s">
        <v>4518</v>
      </c>
      <c r="G1383" s="133">
        <v>17</v>
      </c>
      <c r="H1383" s="124"/>
      <c r="I1383" s="133" t="str">
        <f>IF(H1383&gt;0,(#REF!*H1383),"-")</f>
        <v>-</v>
      </c>
      <c r="J1383" s="113">
        <v>286</v>
      </c>
      <c r="K1383" s="110" t="s">
        <v>129</v>
      </c>
      <c r="L1383" s="110" t="s">
        <v>5515</v>
      </c>
      <c r="M1383" s="110" t="s">
        <v>129</v>
      </c>
      <c r="N1383" s="110" t="s">
        <v>944</v>
      </c>
      <c r="O1383" s="110" t="s">
        <v>5720</v>
      </c>
      <c r="P1383" s="110" t="s">
        <v>4520</v>
      </c>
      <c r="Q1383" s="110" t="s">
        <v>96</v>
      </c>
      <c r="R1383" s="121">
        <v>0.1628</v>
      </c>
      <c r="S1383" s="113" t="e">
        <f t="shared" si="42"/>
        <v>#VALUE!</v>
      </c>
      <c r="T1383" s="113">
        <f t="shared" si="43"/>
        <v>0</v>
      </c>
    </row>
    <row r="1384" spans="1:20" s="109" customFormat="1" x14ac:dyDescent="0.2">
      <c r="A1384" s="116"/>
      <c r="B1384" s="111" t="s">
        <v>959</v>
      </c>
      <c r="C1384" s="110" t="s">
        <v>5721</v>
      </c>
      <c r="D1384" s="110" t="s">
        <v>5722</v>
      </c>
      <c r="E1384" s="112" t="s">
        <v>5723</v>
      </c>
      <c r="F1384" s="111" t="s">
        <v>4518</v>
      </c>
      <c r="G1384" s="133">
        <v>17</v>
      </c>
      <c r="H1384" s="124"/>
      <c r="I1384" s="133" t="str">
        <f>IF(H1384&gt;0,(#REF!*H1384),"-")</f>
        <v>-</v>
      </c>
      <c r="J1384" s="113">
        <v>286</v>
      </c>
      <c r="K1384" s="110" t="s">
        <v>129</v>
      </c>
      <c r="L1384" s="110" t="s">
        <v>5515</v>
      </c>
      <c r="M1384" s="110" t="s">
        <v>129</v>
      </c>
      <c r="N1384" s="110" t="s">
        <v>944</v>
      </c>
      <c r="O1384" s="110" t="s">
        <v>5724</v>
      </c>
      <c r="P1384" s="110" t="s">
        <v>4520</v>
      </c>
      <c r="Q1384" s="110" t="s">
        <v>96</v>
      </c>
      <c r="R1384" s="121">
        <v>0.1628</v>
      </c>
      <c r="S1384" s="113" t="e">
        <f t="shared" si="42"/>
        <v>#VALUE!</v>
      </c>
      <c r="T1384" s="113">
        <f t="shared" si="43"/>
        <v>0</v>
      </c>
    </row>
    <row r="1385" spans="1:20" s="109" customFormat="1" x14ac:dyDescent="0.2">
      <c r="A1385" s="116"/>
      <c r="B1385" s="111" t="s">
        <v>1037</v>
      </c>
      <c r="C1385" s="110" t="s">
        <v>5725</v>
      </c>
      <c r="D1385" s="110" t="s">
        <v>5726</v>
      </c>
      <c r="E1385" s="112" t="s">
        <v>5727</v>
      </c>
      <c r="F1385" s="111" t="s">
        <v>4518</v>
      </c>
      <c r="G1385" s="133">
        <v>17</v>
      </c>
      <c r="H1385" s="124"/>
      <c r="I1385" s="133" t="str">
        <f>IF(H1385&gt;0,(#REF!*H1385),"-")</f>
        <v>-</v>
      </c>
      <c r="J1385" s="113">
        <v>286</v>
      </c>
      <c r="K1385" s="110" t="s">
        <v>129</v>
      </c>
      <c r="L1385" s="110" t="s">
        <v>5515</v>
      </c>
      <c r="M1385" s="110" t="s">
        <v>129</v>
      </c>
      <c r="N1385" s="110" t="s">
        <v>944</v>
      </c>
      <c r="O1385" s="110" t="s">
        <v>5728</v>
      </c>
      <c r="P1385" s="110" t="s">
        <v>4520</v>
      </c>
      <c r="Q1385" s="110" t="s">
        <v>96</v>
      </c>
      <c r="R1385" s="121">
        <v>0.1628</v>
      </c>
      <c r="S1385" s="113" t="e">
        <f t="shared" si="42"/>
        <v>#VALUE!</v>
      </c>
      <c r="T1385" s="113">
        <f t="shared" si="43"/>
        <v>0</v>
      </c>
    </row>
    <row r="1386" spans="1:20" s="109" customFormat="1" x14ac:dyDescent="0.2">
      <c r="A1386" s="116"/>
      <c r="B1386" s="111" t="s">
        <v>1037</v>
      </c>
      <c r="C1386" s="110" t="s">
        <v>5729</v>
      </c>
      <c r="D1386" s="110" t="s">
        <v>5730</v>
      </c>
      <c r="E1386" s="112" t="s">
        <v>5731</v>
      </c>
      <c r="F1386" s="111" t="s">
        <v>4518</v>
      </c>
      <c r="G1386" s="133">
        <v>17</v>
      </c>
      <c r="H1386" s="124"/>
      <c r="I1386" s="133" t="str">
        <f>IF(H1386&gt;0,(#REF!*H1386),"-")</f>
        <v>-</v>
      </c>
      <c r="J1386" s="113">
        <v>286</v>
      </c>
      <c r="K1386" s="110" t="s">
        <v>129</v>
      </c>
      <c r="L1386" s="110" t="s">
        <v>5515</v>
      </c>
      <c r="M1386" s="110" t="s">
        <v>129</v>
      </c>
      <c r="N1386" s="110" t="s">
        <v>944</v>
      </c>
      <c r="O1386" s="110" t="s">
        <v>5732</v>
      </c>
      <c r="P1386" s="110" t="s">
        <v>4520</v>
      </c>
      <c r="Q1386" s="110" t="s">
        <v>96</v>
      </c>
      <c r="R1386" s="121">
        <v>0.1628</v>
      </c>
      <c r="S1386" s="113" t="e">
        <f t="shared" si="42"/>
        <v>#VALUE!</v>
      </c>
      <c r="T1386" s="113">
        <f t="shared" si="43"/>
        <v>0</v>
      </c>
    </row>
    <row r="1387" spans="1:20" s="109" customFormat="1" x14ac:dyDescent="0.2">
      <c r="A1387" s="116"/>
      <c r="B1387" s="111" t="s">
        <v>1037</v>
      </c>
      <c r="C1387" s="110" t="s">
        <v>5733</v>
      </c>
      <c r="D1387" s="110" t="s">
        <v>5734</v>
      </c>
      <c r="E1387" s="112" t="s">
        <v>5735</v>
      </c>
      <c r="F1387" s="111" t="s">
        <v>944</v>
      </c>
      <c r="G1387" s="133">
        <v>17</v>
      </c>
      <c r="H1387" s="124"/>
      <c r="I1387" s="133" t="str">
        <f>IF(H1387&gt;0,(#REF!*H1387),"-")</f>
        <v>-</v>
      </c>
      <c r="J1387" s="113">
        <v>286</v>
      </c>
      <c r="K1387" s="110" t="s">
        <v>129</v>
      </c>
      <c r="L1387" s="110" t="s">
        <v>5515</v>
      </c>
      <c r="M1387" s="110" t="s">
        <v>129</v>
      </c>
      <c r="N1387" s="110" t="s">
        <v>944</v>
      </c>
      <c r="O1387" s="110" t="s">
        <v>5736</v>
      </c>
      <c r="P1387" s="110" t="s">
        <v>4520</v>
      </c>
      <c r="Q1387" s="110" t="s">
        <v>96</v>
      </c>
      <c r="R1387" s="121">
        <v>0.1628</v>
      </c>
      <c r="S1387" s="113" t="e">
        <f t="shared" si="42"/>
        <v>#VALUE!</v>
      </c>
      <c r="T1387" s="113">
        <f t="shared" si="43"/>
        <v>0</v>
      </c>
    </row>
    <row r="1388" spans="1:20" s="109" customFormat="1" x14ac:dyDescent="0.2">
      <c r="A1388" s="116"/>
      <c r="B1388" s="111" t="s">
        <v>1037</v>
      </c>
      <c r="C1388" s="110" t="s">
        <v>5737</v>
      </c>
      <c r="D1388" s="110" t="s">
        <v>5738</v>
      </c>
      <c r="E1388" s="112" t="s">
        <v>5739</v>
      </c>
      <c r="F1388" s="111" t="s">
        <v>944</v>
      </c>
      <c r="G1388" s="133">
        <v>17</v>
      </c>
      <c r="H1388" s="124"/>
      <c r="I1388" s="133" t="str">
        <f>IF(H1388&gt;0,(#REF!*H1388),"-")</f>
        <v>-</v>
      </c>
      <c r="J1388" s="113">
        <v>286</v>
      </c>
      <c r="K1388" s="110" t="s">
        <v>129</v>
      </c>
      <c r="L1388" s="110" t="s">
        <v>5515</v>
      </c>
      <c r="M1388" s="110" t="s">
        <v>129</v>
      </c>
      <c r="N1388" s="110" t="s">
        <v>944</v>
      </c>
      <c r="O1388" s="110" t="s">
        <v>5740</v>
      </c>
      <c r="P1388" s="110" t="s">
        <v>4520</v>
      </c>
      <c r="Q1388" s="110" t="s">
        <v>96</v>
      </c>
      <c r="R1388" s="121">
        <v>0.1628</v>
      </c>
      <c r="S1388" s="113" t="e">
        <f t="shared" si="42"/>
        <v>#VALUE!</v>
      </c>
      <c r="T1388" s="113">
        <f t="shared" si="43"/>
        <v>0</v>
      </c>
    </row>
    <row r="1389" spans="1:20" s="109" customFormat="1" x14ac:dyDescent="0.2">
      <c r="A1389" s="116"/>
      <c r="B1389" s="111" t="s">
        <v>5299</v>
      </c>
      <c r="C1389" s="110" t="s">
        <v>5741</v>
      </c>
      <c r="D1389" s="110" t="s">
        <v>5742</v>
      </c>
      <c r="E1389" s="112" t="s">
        <v>5743</v>
      </c>
      <c r="F1389" s="111" t="s">
        <v>4518</v>
      </c>
      <c r="G1389" s="133">
        <v>17</v>
      </c>
      <c r="H1389" s="124"/>
      <c r="I1389" s="133" t="str">
        <f>IF(H1389&gt;0,(#REF!*H1389),"-")</f>
        <v>-</v>
      </c>
      <c r="J1389" s="113">
        <v>286</v>
      </c>
      <c r="K1389" s="110" t="s">
        <v>129</v>
      </c>
      <c r="L1389" s="110" t="s">
        <v>5515</v>
      </c>
      <c r="M1389" s="110" t="s">
        <v>129</v>
      </c>
      <c r="N1389" s="110" t="s">
        <v>944</v>
      </c>
      <c r="O1389" s="110" t="s">
        <v>5744</v>
      </c>
      <c r="P1389" s="110" t="s">
        <v>4520</v>
      </c>
      <c r="Q1389" s="110" t="s">
        <v>96</v>
      </c>
      <c r="R1389" s="121">
        <v>0.1628</v>
      </c>
      <c r="S1389" s="113" t="e">
        <f t="shared" si="42"/>
        <v>#VALUE!</v>
      </c>
      <c r="T1389" s="113">
        <f t="shared" si="43"/>
        <v>0</v>
      </c>
    </row>
    <row r="1390" spans="1:20" s="109" customFormat="1" x14ac:dyDescent="0.2">
      <c r="A1390" s="116"/>
      <c r="B1390" s="111" t="s">
        <v>1037</v>
      </c>
      <c r="C1390" s="110" t="s">
        <v>5745</v>
      </c>
      <c r="D1390" s="110" t="s">
        <v>5746</v>
      </c>
      <c r="E1390" s="112" t="s">
        <v>5747</v>
      </c>
      <c r="F1390" s="111" t="s">
        <v>944</v>
      </c>
      <c r="G1390" s="133">
        <v>17</v>
      </c>
      <c r="H1390" s="124"/>
      <c r="I1390" s="133" t="str">
        <f>IF(H1390&gt;0,(#REF!*H1390),"-")</f>
        <v>-</v>
      </c>
      <c r="J1390" s="113">
        <v>286</v>
      </c>
      <c r="K1390" s="110" t="s">
        <v>129</v>
      </c>
      <c r="L1390" s="110" t="s">
        <v>5515</v>
      </c>
      <c r="M1390" s="110" t="s">
        <v>129</v>
      </c>
      <c r="N1390" s="110" t="s">
        <v>944</v>
      </c>
      <c r="O1390" s="110" t="s">
        <v>5748</v>
      </c>
      <c r="P1390" s="110" t="s">
        <v>4520</v>
      </c>
      <c r="Q1390" s="110" t="s">
        <v>96</v>
      </c>
      <c r="R1390" s="121">
        <v>0.1628</v>
      </c>
      <c r="S1390" s="113" t="e">
        <f t="shared" si="42"/>
        <v>#VALUE!</v>
      </c>
      <c r="T1390" s="113">
        <f t="shared" si="43"/>
        <v>0</v>
      </c>
    </row>
    <row r="1391" spans="1:20" s="109" customFormat="1" x14ac:dyDescent="0.2">
      <c r="A1391" s="116"/>
      <c r="B1391" s="111" t="s">
        <v>1037</v>
      </c>
      <c r="C1391" s="110" t="s">
        <v>5749</v>
      </c>
      <c r="D1391" s="110" t="s">
        <v>5750</v>
      </c>
      <c r="E1391" s="112" t="s">
        <v>5751</v>
      </c>
      <c r="F1391" s="111" t="s">
        <v>944</v>
      </c>
      <c r="G1391" s="133">
        <v>17</v>
      </c>
      <c r="H1391" s="124"/>
      <c r="I1391" s="133" t="str">
        <f>IF(H1391&gt;0,(#REF!*H1391),"-")</f>
        <v>-</v>
      </c>
      <c r="J1391" s="113">
        <v>286</v>
      </c>
      <c r="K1391" s="110" t="s">
        <v>129</v>
      </c>
      <c r="L1391" s="110" t="s">
        <v>5515</v>
      </c>
      <c r="M1391" s="110" t="s">
        <v>129</v>
      </c>
      <c r="N1391" s="110" t="s">
        <v>944</v>
      </c>
      <c r="O1391" s="110" t="s">
        <v>5752</v>
      </c>
      <c r="P1391" s="110" t="s">
        <v>4520</v>
      </c>
      <c r="Q1391" s="110" t="s">
        <v>96</v>
      </c>
      <c r="R1391" s="121">
        <v>0.1628</v>
      </c>
      <c r="S1391" s="113" t="e">
        <f t="shared" si="42"/>
        <v>#VALUE!</v>
      </c>
      <c r="T1391" s="113">
        <f t="shared" si="43"/>
        <v>0</v>
      </c>
    </row>
    <row r="1392" spans="1:20" s="109" customFormat="1" x14ac:dyDescent="0.2">
      <c r="A1392" s="116"/>
      <c r="B1392" s="111" t="s">
        <v>5299</v>
      </c>
      <c r="C1392" s="110" t="s">
        <v>5753</v>
      </c>
      <c r="D1392" s="110" t="s">
        <v>5754</v>
      </c>
      <c r="E1392" s="112" t="s">
        <v>5755</v>
      </c>
      <c r="F1392" s="111" t="s">
        <v>4518</v>
      </c>
      <c r="G1392" s="133">
        <v>17</v>
      </c>
      <c r="H1392" s="124"/>
      <c r="I1392" s="133" t="str">
        <f>IF(H1392&gt;0,(#REF!*H1392),"-")</f>
        <v>-</v>
      </c>
      <c r="J1392" s="113">
        <v>286</v>
      </c>
      <c r="K1392" s="110" t="s">
        <v>129</v>
      </c>
      <c r="L1392" s="110" t="s">
        <v>5515</v>
      </c>
      <c r="M1392" s="110" t="s">
        <v>129</v>
      </c>
      <c r="N1392" s="110" t="s">
        <v>944</v>
      </c>
      <c r="O1392" s="110" t="s">
        <v>5756</v>
      </c>
      <c r="P1392" s="110" t="s">
        <v>4520</v>
      </c>
      <c r="Q1392" s="110" t="s">
        <v>96</v>
      </c>
      <c r="R1392" s="121">
        <v>0.1628</v>
      </c>
      <c r="S1392" s="113" t="e">
        <f t="shared" si="42"/>
        <v>#VALUE!</v>
      </c>
      <c r="T1392" s="113">
        <f t="shared" si="43"/>
        <v>0</v>
      </c>
    </row>
    <row r="1393" spans="1:20" s="109" customFormat="1" x14ac:dyDescent="0.2">
      <c r="A1393" s="116"/>
      <c r="B1393" s="111" t="s">
        <v>1037</v>
      </c>
      <c r="C1393" s="110" t="s">
        <v>5757</v>
      </c>
      <c r="D1393" s="110" t="s">
        <v>5758</v>
      </c>
      <c r="E1393" s="112" t="s">
        <v>5759</v>
      </c>
      <c r="F1393" s="111" t="s">
        <v>944</v>
      </c>
      <c r="G1393" s="133">
        <v>17</v>
      </c>
      <c r="H1393" s="124"/>
      <c r="I1393" s="133" t="str">
        <f>IF(H1393&gt;0,(#REF!*H1393),"-")</f>
        <v>-</v>
      </c>
      <c r="J1393" s="113">
        <v>286</v>
      </c>
      <c r="K1393" s="110" t="s">
        <v>129</v>
      </c>
      <c r="L1393" s="110" t="s">
        <v>5515</v>
      </c>
      <c r="M1393" s="110" t="s">
        <v>129</v>
      </c>
      <c r="N1393" s="110" t="s">
        <v>944</v>
      </c>
      <c r="O1393" s="110" t="s">
        <v>5760</v>
      </c>
      <c r="P1393" s="110" t="s">
        <v>4520</v>
      </c>
      <c r="Q1393" s="110" t="s">
        <v>96</v>
      </c>
      <c r="R1393" s="121">
        <v>0.1628</v>
      </c>
      <c r="S1393" s="113" t="e">
        <f t="shared" si="42"/>
        <v>#VALUE!</v>
      </c>
      <c r="T1393" s="113">
        <f t="shared" si="43"/>
        <v>0</v>
      </c>
    </row>
    <row r="1394" spans="1:20" s="109" customFormat="1" x14ac:dyDescent="0.2">
      <c r="A1394" s="116"/>
      <c r="B1394" s="111" t="s">
        <v>5299</v>
      </c>
      <c r="C1394" s="110" t="s">
        <v>5761</v>
      </c>
      <c r="D1394" s="110" t="s">
        <v>5762</v>
      </c>
      <c r="E1394" s="112" t="s">
        <v>5763</v>
      </c>
      <c r="F1394" s="111" t="s">
        <v>4518</v>
      </c>
      <c r="G1394" s="133">
        <v>17</v>
      </c>
      <c r="H1394" s="124"/>
      <c r="I1394" s="133" t="str">
        <f>IF(H1394&gt;0,(#REF!*H1394),"-")</f>
        <v>-</v>
      </c>
      <c r="J1394" s="113">
        <v>441</v>
      </c>
      <c r="K1394" s="110" t="s">
        <v>129</v>
      </c>
      <c r="L1394" s="110" t="s">
        <v>5515</v>
      </c>
      <c r="M1394" s="110" t="s">
        <v>129</v>
      </c>
      <c r="N1394" s="110" t="s">
        <v>944</v>
      </c>
      <c r="O1394" s="110" t="s">
        <v>5764</v>
      </c>
      <c r="P1394" s="110" t="s">
        <v>4520</v>
      </c>
      <c r="Q1394" s="110" t="s">
        <v>96</v>
      </c>
      <c r="R1394" s="121">
        <v>0.1628</v>
      </c>
      <c r="S1394" s="113" t="e">
        <f t="shared" si="42"/>
        <v>#VALUE!</v>
      </c>
      <c r="T1394" s="113">
        <f t="shared" si="43"/>
        <v>0</v>
      </c>
    </row>
    <row r="1395" spans="1:20" s="109" customFormat="1" x14ac:dyDescent="0.2">
      <c r="A1395" s="116"/>
      <c r="B1395" s="111" t="s">
        <v>5299</v>
      </c>
      <c r="C1395" s="110" t="s">
        <v>5765</v>
      </c>
      <c r="D1395" s="110" t="s">
        <v>5766</v>
      </c>
      <c r="E1395" s="112" t="s">
        <v>5767</v>
      </c>
      <c r="F1395" s="111" t="s">
        <v>4518</v>
      </c>
      <c r="G1395" s="133">
        <v>17</v>
      </c>
      <c r="H1395" s="124"/>
      <c r="I1395" s="133" t="str">
        <f>IF(H1395&gt;0,(#REF!*H1395),"-")</f>
        <v>-</v>
      </c>
      <c r="J1395" s="113">
        <v>286</v>
      </c>
      <c r="K1395" s="110" t="s">
        <v>129</v>
      </c>
      <c r="L1395" s="110" t="s">
        <v>5515</v>
      </c>
      <c r="M1395" s="110" t="s">
        <v>129</v>
      </c>
      <c r="N1395" s="110" t="s">
        <v>944</v>
      </c>
      <c r="O1395" s="110" t="s">
        <v>5768</v>
      </c>
      <c r="P1395" s="110" t="s">
        <v>4520</v>
      </c>
      <c r="Q1395" s="110" t="s">
        <v>96</v>
      </c>
      <c r="R1395" s="121">
        <v>0.1628</v>
      </c>
      <c r="S1395" s="113" t="e">
        <f t="shared" si="42"/>
        <v>#VALUE!</v>
      </c>
      <c r="T1395" s="113">
        <f t="shared" si="43"/>
        <v>0</v>
      </c>
    </row>
    <row r="1396" spans="1:20" s="109" customFormat="1" x14ac:dyDescent="0.2">
      <c r="A1396" s="116"/>
      <c r="B1396" s="111" t="s">
        <v>1037</v>
      </c>
      <c r="C1396" s="110" t="s">
        <v>5769</v>
      </c>
      <c r="D1396" s="110" t="s">
        <v>5770</v>
      </c>
      <c r="E1396" s="112" t="s">
        <v>5771</v>
      </c>
      <c r="F1396" s="111" t="s">
        <v>4518</v>
      </c>
      <c r="G1396" s="133">
        <v>17</v>
      </c>
      <c r="H1396" s="124"/>
      <c r="I1396" s="133" t="str">
        <f>IF(H1396&gt;0,(#REF!*H1396),"-")</f>
        <v>-</v>
      </c>
      <c r="J1396" s="113">
        <v>286</v>
      </c>
      <c r="K1396" s="110" t="s">
        <v>129</v>
      </c>
      <c r="L1396" s="110" t="s">
        <v>5515</v>
      </c>
      <c r="M1396" s="110" t="s">
        <v>129</v>
      </c>
      <c r="N1396" s="110" t="s">
        <v>944</v>
      </c>
      <c r="O1396" s="110" t="s">
        <v>5772</v>
      </c>
      <c r="P1396" s="110" t="s">
        <v>4520</v>
      </c>
      <c r="Q1396" s="110" t="s">
        <v>96</v>
      </c>
      <c r="R1396" s="121">
        <v>0.1628</v>
      </c>
      <c r="S1396" s="113" t="e">
        <f t="shared" si="42"/>
        <v>#VALUE!</v>
      </c>
      <c r="T1396" s="113">
        <f t="shared" si="43"/>
        <v>0</v>
      </c>
    </row>
    <row r="1397" spans="1:20" s="109" customFormat="1" x14ac:dyDescent="0.2">
      <c r="A1397" s="116"/>
      <c r="B1397" s="111" t="s">
        <v>5299</v>
      </c>
      <c r="C1397" s="110" t="s">
        <v>5773</v>
      </c>
      <c r="D1397" s="110" t="s">
        <v>5774</v>
      </c>
      <c r="E1397" s="112" t="s">
        <v>5775</v>
      </c>
      <c r="F1397" s="111" t="s">
        <v>4518</v>
      </c>
      <c r="G1397" s="133">
        <v>17</v>
      </c>
      <c r="H1397" s="124"/>
      <c r="I1397" s="133" t="str">
        <f>IF(H1397&gt;0,(#REF!*H1397),"-")</f>
        <v>-</v>
      </c>
      <c r="J1397" s="113">
        <v>441</v>
      </c>
      <c r="K1397" s="110" t="s">
        <v>129</v>
      </c>
      <c r="L1397" s="110" t="s">
        <v>5515</v>
      </c>
      <c r="M1397" s="110" t="s">
        <v>129</v>
      </c>
      <c r="N1397" s="110" t="s">
        <v>944</v>
      </c>
      <c r="O1397" s="110" t="s">
        <v>5776</v>
      </c>
      <c r="P1397" s="110" t="s">
        <v>4520</v>
      </c>
      <c r="Q1397" s="110" t="s">
        <v>96</v>
      </c>
      <c r="R1397" s="121">
        <v>0.1628</v>
      </c>
      <c r="S1397" s="113" t="e">
        <f t="shared" si="42"/>
        <v>#VALUE!</v>
      </c>
      <c r="T1397" s="113">
        <f t="shared" si="43"/>
        <v>0</v>
      </c>
    </row>
    <row r="1398" spans="1:20" s="109" customFormat="1" x14ac:dyDescent="0.2">
      <c r="A1398" s="116"/>
      <c r="B1398" s="111" t="s">
        <v>1037</v>
      </c>
      <c r="C1398" s="110" t="s">
        <v>5777</v>
      </c>
      <c r="D1398" s="110" t="s">
        <v>5778</v>
      </c>
      <c r="E1398" s="112" t="s">
        <v>5779</v>
      </c>
      <c r="F1398" s="111" t="s">
        <v>4518</v>
      </c>
      <c r="G1398" s="133">
        <v>17</v>
      </c>
      <c r="H1398" s="124"/>
      <c r="I1398" s="133" t="str">
        <f>IF(H1398&gt;0,(#REF!*H1398),"-")</f>
        <v>-</v>
      </c>
      <c r="J1398" s="113">
        <v>286</v>
      </c>
      <c r="K1398" s="110" t="s">
        <v>129</v>
      </c>
      <c r="L1398" s="110" t="s">
        <v>5515</v>
      </c>
      <c r="M1398" s="110" t="s">
        <v>129</v>
      </c>
      <c r="N1398" s="110" t="s">
        <v>944</v>
      </c>
      <c r="O1398" s="110" t="s">
        <v>5780</v>
      </c>
      <c r="P1398" s="110" t="s">
        <v>4520</v>
      </c>
      <c r="Q1398" s="110" t="s">
        <v>96</v>
      </c>
      <c r="R1398" s="121">
        <v>0.1628</v>
      </c>
      <c r="S1398" s="113" t="e">
        <f t="shared" si="42"/>
        <v>#VALUE!</v>
      </c>
      <c r="T1398" s="113">
        <f t="shared" si="43"/>
        <v>0</v>
      </c>
    </row>
    <row r="1399" spans="1:20" s="109" customFormat="1" x14ac:dyDescent="0.2">
      <c r="A1399" s="116"/>
      <c r="B1399" s="111" t="s">
        <v>1037</v>
      </c>
      <c r="C1399" s="110" t="s">
        <v>5781</v>
      </c>
      <c r="D1399" s="110" t="s">
        <v>5782</v>
      </c>
      <c r="E1399" s="112" t="s">
        <v>5783</v>
      </c>
      <c r="F1399" s="111" t="s">
        <v>4518</v>
      </c>
      <c r="G1399" s="133">
        <v>17</v>
      </c>
      <c r="H1399" s="124"/>
      <c r="I1399" s="133" t="str">
        <f>IF(H1399&gt;0,(#REF!*H1399),"-")</f>
        <v>-</v>
      </c>
      <c r="J1399" s="113">
        <v>286</v>
      </c>
      <c r="K1399" s="110" t="s">
        <v>129</v>
      </c>
      <c r="L1399" s="110" t="s">
        <v>5515</v>
      </c>
      <c r="M1399" s="110" t="s">
        <v>129</v>
      </c>
      <c r="N1399" s="110" t="s">
        <v>944</v>
      </c>
      <c r="O1399" s="110" t="s">
        <v>5784</v>
      </c>
      <c r="P1399" s="110" t="s">
        <v>4520</v>
      </c>
      <c r="Q1399" s="110" t="s">
        <v>96</v>
      </c>
      <c r="R1399" s="121">
        <v>0.1628</v>
      </c>
      <c r="S1399" s="113" t="e">
        <f t="shared" si="42"/>
        <v>#VALUE!</v>
      </c>
      <c r="T1399" s="113">
        <f t="shared" si="43"/>
        <v>0</v>
      </c>
    </row>
    <row r="1400" spans="1:20" s="109" customFormat="1" x14ac:dyDescent="0.2">
      <c r="A1400" s="116"/>
      <c r="B1400" s="111" t="s">
        <v>5299</v>
      </c>
      <c r="C1400" s="110" t="s">
        <v>5785</v>
      </c>
      <c r="D1400" s="110" t="s">
        <v>5786</v>
      </c>
      <c r="E1400" s="112" t="s">
        <v>5787</v>
      </c>
      <c r="F1400" s="111" t="s">
        <v>4518</v>
      </c>
      <c r="G1400" s="133">
        <v>17</v>
      </c>
      <c r="H1400" s="124"/>
      <c r="I1400" s="133" t="str">
        <f>IF(H1400&gt;0,(#REF!*H1400),"-")</f>
        <v>-</v>
      </c>
      <c r="J1400" s="113">
        <v>286</v>
      </c>
      <c r="K1400" s="110" t="s">
        <v>129</v>
      </c>
      <c r="L1400" s="110" t="s">
        <v>5515</v>
      </c>
      <c r="M1400" s="110" t="s">
        <v>129</v>
      </c>
      <c r="N1400" s="110" t="s">
        <v>944</v>
      </c>
      <c r="O1400" s="110" t="s">
        <v>5788</v>
      </c>
      <c r="P1400" s="110" t="s">
        <v>4520</v>
      </c>
      <c r="Q1400" s="110" t="s">
        <v>96</v>
      </c>
      <c r="R1400" s="121">
        <v>0.1628</v>
      </c>
      <c r="S1400" s="113" t="e">
        <f t="shared" si="42"/>
        <v>#VALUE!</v>
      </c>
      <c r="T1400" s="113">
        <f t="shared" si="43"/>
        <v>0</v>
      </c>
    </row>
    <row r="1401" spans="1:20" s="109" customFormat="1" x14ac:dyDescent="0.2">
      <c r="A1401" s="116"/>
      <c r="B1401" s="111" t="s">
        <v>5299</v>
      </c>
      <c r="C1401" s="110" t="s">
        <v>5789</v>
      </c>
      <c r="D1401" s="110" t="s">
        <v>5790</v>
      </c>
      <c r="E1401" s="112" t="s">
        <v>5791</v>
      </c>
      <c r="F1401" s="111" t="s">
        <v>4518</v>
      </c>
      <c r="G1401" s="133">
        <v>17</v>
      </c>
      <c r="H1401" s="124"/>
      <c r="I1401" s="133" t="str">
        <f>IF(H1401&gt;0,(#REF!*H1401),"-")</f>
        <v>-</v>
      </c>
      <c r="J1401" s="113">
        <v>286</v>
      </c>
      <c r="K1401" s="110" t="s">
        <v>129</v>
      </c>
      <c r="L1401" s="110" t="s">
        <v>5515</v>
      </c>
      <c r="M1401" s="110" t="s">
        <v>129</v>
      </c>
      <c r="N1401" s="110" t="s">
        <v>944</v>
      </c>
      <c r="O1401" s="110" t="s">
        <v>5792</v>
      </c>
      <c r="P1401" s="110" t="s">
        <v>4520</v>
      </c>
      <c r="Q1401" s="110" t="s">
        <v>96</v>
      </c>
      <c r="R1401" s="121">
        <v>0.1628</v>
      </c>
      <c r="S1401" s="113" t="e">
        <f t="shared" si="42"/>
        <v>#VALUE!</v>
      </c>
      <c r="T1401" s="113">
        <f t="shared" si="43"/>
        <v>0</v>
      </c>
    </row>
    <row r="1402" spans="1:20" s="109" customFormat="1" x14ac:dyDescent="0.2">
      <c r="A1402" s="116"/>
      <c r="B1402" s="111" t="s">
        <v>1037</v>
      </c>
      <c r="C1402" s="110" t="s">
        <v>5793</v>
      </c>
      <c r="D1402" s="110" t="s">
        <v>5794</v>
      </c>
      <c r="E1402" s="112" t="s">
        <v>5795</v>
      </c>
      <c r="F1402" s="111" t="s">
        <v>4518</v>
      </c>
      <c r="G1402" s="133">
        <v>23</v>
      </c>
      <c r="H1402" s="124"/>
      <c r="I1402" s="133" t="str">
        <f>IF(H1402&gt;0,(#REF!*H1402),"-")</f>
        <v>-</v>
      </c>
      <c r="J1402" s="113">
        <v>286</v>
      </c>
      <c r="K1402" s="110" t="s">
        <v>129</v>
      </c>
      <c r="L1402" s="110" t="s">
        <v>5515</v>
      </c>
      <c r="M1402" s="110" t="s">
        <v>129</v>
      </c>
      <c r="N1402" s="110" t="s">
        <v>944</v>
      </c>
      <c r="O1402" s="110" t="s">
        <v>5796</v>
      </c>
      <c r="P1402" s="110" t="s">
        <v>4520</v>
      </c>
      <c r="Q1402" s="110" t="s">
        <v>96</v>
      </c>
      <c r="R1402" s="121">
        <v>0.13439999999999999</v>
      </c>
      <c r="S1402" s="113" t="e">
        <f t="shared" si="42"/>
        <v>#VALUE!</v>
      </c>
      <c r="T1402" s="113">
        <f t="shared" si="43"/>
        <v>0</v>
      </c>
    </row>
    <row r="1403" spans="1:20" s="109" customFormat="1" x14ac:dyDescent="0.2">
      <c r="A1403" s="116"/>
      <c r="B1403" s="111" t="s">
        <v>1037</v>
      </c>
      <c r="C1403" s="110" t="s">
        <v>5797</v>
      </c>
      <c r="D1403" s="110" t="s">
        <v>5798</v>
      </c>
      <c r="E1403" s="112" t="s">
        <v>5799</v>
      </c>
      <c r="F1403" s="111" t="s">
        <v>4518</v>
      </c>
      <c r="G1403" s="133">
        <v>17</v>
      </c>
      <c r="H1403" s="124"/>
      <c r="I1403" s="133" t="str">
        <f>IF(H1403&gt;0,(#REF!*H1403),"-")</f>
        <v>-</v>
      </c>
      <c r="J1403" s="113">
        <v>286</v>
      </c>
      <c r="K1403" s="110" t="s">
        <v>129</v>
      </c>
      <c r="L1403" s="110" t="s">
        <v>5515</v>
      </c>
      <c r="M1403" s="110" t="s">
        <v>129</v>
      </c>
      <c r="N1403" s="110" t="s">
        <v>944</v>
      </c>
      <c r="O1403" s="110" t="s">
        <v>5800</v>
      </c>
      <c r="P1403" s="110" t="s">
        <v>4520</v>
      </c>
      <c r="Q1403" s="110" t="s">
        <v>96</v>
      </c>
      <c r="R1403" s="121">
        <v>0.154</v>
      </c>
      <c r="S1403" s="113" t="e">
        <f t="shared" si="42"/>
        <v>#VALUE!</v>
      </c>
      <c r="T1403" s="113">
        <f t="shared" si="43"/>
        <v>0</v>
      </c>
    </row>
    <row r="1404" spans="1:20" s="109" customFormat="1" x14ac:dyDescent="0.2">
      <c r="A1404" s="116"/>
      <c r="B1404" s="111" t="s">
        <v>5299</v>
      </c>
      <c r="C1404" s="110" t="s">
        <v>5801</v>
      </c>
      <c r="D1404" s="110" t="s">
        <v>5802</v>
      </c>
      <c r="E1404" s="112" t="s">
        <v>5803</v>
      </c>
      <c r="F1404" s="111" t="s">
        <v>4518</v>
      </c>
      <c r="G1404" s="133">
        <v>23</v>
      </c>
      <c r="H1404" s="124"/>
      <c r="I1404" s="133" t="str">
        <f>IF(H1404&gt;0,(#REF!*H1404),"-")</f>
        <v>-</v>
      </c>
      <c r="J1404" s="113">
        <v>273</v>
      </c>
      <c r="K1404" s="110" t="s">
        <v>129</v>
      </c>
      <c r="L1404" s="110" t="s">
        <v>5515</v>
      </c>
      <c r="M1404" s="110" t="s">
        <v>129</v>
      </c>
      <c r="N1404" s="110" t="s">
        <v>944</v>
      </c>
      <c r="O1404" s="110" t="s">
        <v>5804</v>
      </c>
      <c r="P1404" s="110" t="s">
        <v>4520</v>
      </c>
      <c r="Q1404" s="110" t="s">
        <v>96</v>
      </c>
      <c r="R1404" s="121">
        <v>0.13</v>
      </c>
      <c r="S1404" s="113" t="e">
        <f t="shared" si="42"/>
        <v>#VALUE!</v>
      </c>
      <c r="T1404" s="113">
        <f t="shared" si="43"/>
        <v>0</v>
      </c>
    </row>
    <row r="1405" spans="1:20" s="109" customFormat="1" x14ac:dyDescent="0.2">
      <c r="A1405" s="116"/>
      <c r="B1405" s="111" t="s">
        <v>1037</v>
      </c>
      <c r="C1405" s="110" t="s">
        <v>5805</v>
      </c>
      <c r="D1405" s="110" t="s">
        <v>5806</v>
      </c>
      <c r="E1405" s="112" t="s">
        <v>5807</v>
      </c>
      <c r="F1405" s="111" t="s">
        <v>4518</v>
      </c>
      <c r="G1405" s="133">
        <v>23</v>
      </c>
      <c r="H1405" s="124"/>
      <c r="I1405" s="133" t="str">
        <f>IF(H1405&gt;0,(#REF!*H1405),"-")</f>
        <v>-</v>
      </c>
      <c r="J1405" s="113">
        <v>273</v>
      </c>
      <c r="K1405" s="110" t="s">
        <v>129</v>
      </c>
      <c r="L1405" s="110" t="s">
        <v>5515</v>
      </c>
      <c r="M1405" s="110" t="s">
        <v>129</v>
      </c>
      <c r="N1405" s="110" t="s">
        <v>944</v>
      </c>
      <c r="O1405" s="110" t="s">
        <v>5808</v>
      </c>
      <c r="P1405" s="110" t="s">
        <v>4520</v>
      </c>
      <c r="Q1405" s="110" t="s">
        <v>96</v>
      </c>
      <c r="R1405" s="121">
        <v>0.13</v>
      </c>
      <c r="S1405" s="113" t="e">
        <f t="shared" si="42"/>
        <v>#VALUE!</v>
      </c>
      <c r="T1405" s="113">
        <f t="shared" si="43"/>
        <v>0</v>
      </c>
    </row>
    <row r="1406" spans="1:20" s="109" customFormat="1" x14ac:dyDescent="0.2">
      <c r="A1406" s="116"/>
      <c r="B1406" s="111" t="s">
        <v>1037</v>
      </c>
      <c r="C1406" s="110" t="s">
        <v>5809</v>
      </c>
      <c r="D1406" s="110" t="s">
        <v>5810</v>
      </c>
      <c r="E1406" s="112" t="s">
        <v>5811</v>
      </c>
      <c r="F1406" s="111" t="s">
        <v>4518</v>
      </c>
      <c r="G1406" s="133">
        <v>23</v>
      </c>
      <c r="H1406" s="124"/>
      <c r="I1406" s="133" t="str">
        <f>IF(H1406&gt;0,(#REF!*H1406),"-")</f>
        <v>-</v>
      </c>
      <c r="J1406" s="113">
        <v>273</v>
      </c>
      <c r="K1406" s="110" t="s">
        <v>129</v>
      </c>
      <c r="L1406" s="110" t="s">
        <v>5515</v>
      </c>
      <c r="M1406" s="110" t="s">
        <v>129</v>
      </c>
      <c r="N1406" s="110" t="s">
        <v>944</v>
      </c>
      <c r="O1406" s="110" t="s">
        <v>5812</v>
      </c>
      <c r="P1406" s="110" t="s">
        <v>4520</v>
      </c>
      <c r="Q1406" s="110" t="s">
        <v>96</v>
      </c>
      <c r="R1406" s="121">
        <v>0.13</v>
      </c>
      <c r="S1406" s="113" t="e">
        <f t="shared" si="42"/>
        <v>#VALUE!</v>
      </c>
      <c r="T1406" s="113">
        <f t="shared" si="43"/>
        <v>0</v>
      </c>
    </row>
    <row r="1407" spans="1:20" s="109" customFormat="1" x14ac:dyDescent="0.2">
      <c r="A1407" s="116"/>
      <c r="B1407" s="111" t="s">
        <v>5299</v>
      </c>
      <c r="C1407" s="110" t="s">
        <v>5813</v>
      </c>
      <c r="D1407" s="110" t="s">
        <v>5814</v>
      </c>
      <c r="E1407" s="112" t="s">
        <v>5815</v>
      </c>
      <c r="F1407" s="111" t="s">
        <v>4518</v>
      </c>
      <c r="G1407" s="133">
        <v>17</v>
      </c>
      <c r="H1407" s="124"/>
      <c r="I1407" s="133" t="str">
        <f>IF(H1407&gt;0,(#REF!*H1407),"-")</f>
        <v>-</v>
      </c>
      <c r="J1407" s="113">
        <v>286</v>
      </c>
      <c r="K1407" s="110" t="s">
        <v>129</v>
      </c>
      <c r="L1407" s="110" t="s">
        <v>5515</v>
      </c>
      <c r="M1407" s="110" t="s">
        <v>129</v>
      </c>
      <c r="N1407" s="110" t="s">
        <v>944</v>
      </c>
      <c r="O1407" s="110" t="s">
        <v>5816</v>
      </c>
      <c r="P1407" s="110" t="s">
        <v>4520</v>
      </c>
      <c r="Q1407" s="110" t="s">
        <v>96</v>
      </c>
      <c r="R1407" s="121">
        <v>0.1444</v>
      </c>
      <c r="S1407" s="113" t="e">
        <f t="shared" si="42"/>
        <v>#VALUE!</v>
      </c>
      <c r="T1407" s="113">
        <f t="shared" si="43"/>
        <v>0</v>
      </c>
    </row>
    <row r="1408" spans="1:20" s="109" customFormat="1" x14ac:dyDescent="0.2">
      <c r="A1408" s="116"/>
      <c r="B1408" s="111" t="s">
        <v>1037</v>
      </c>
      <c r="C1408" s="110" t="s">
        <v>5817</v>
      </c>
      <c r="D1408" s="110" t="s">
        <v>5818</v>
      </c>
      <c r="E1408" s="112" t="s">
        <v>5819</v>
      </c>
      <c r="F1408" s="111" t="s">
        <v>944</v>
      </c>
      <c r="G1408" s="133">
        <v>17</v>
      </c>
      <c r="H1408" s="124"/>
      <c r="I1408" s="133" t="str">
        <f>IF(H1408&gt;0,(#REF!*H1408),"-")</f>
        <v>-</v>
      </c>
      <c r="J1408" s="113">
        <v>277</v>
      </c>
      <c r="K1408" s="110" t="s">
        <v>129</v>
      </c>
      <c r="L1408" s="110" t="s">
        <v>5515</v>
      </c>
      <c r="M1408" s="110" t="s">
        <v>129</v>
      </c>
      <c r="N1408" s="110" t="s">
        <v>944</v>
      </c>
      <c r="O1408" s="110" t="s">
        <v>5820</v>
      </c>
      <c r="P1408" s="110" t="s">
        <v>4520</v>
      </c>
      <c r="Q1408" s="110" t="s">
        <v>96</v>
      </c>
      <c r="R1408" s="121">
        <v>0.158</v>
      </c>
      <c r="S1408" s="113" t="e">
        <f t="shared" si="42"/>
        <v>#VALUE!</v>
      </c>
      <c r="T1408" s="113">
        <f t="shared" si="43"/>
        <v>0</v>
      </c>
    </row>
    <row r="1409" spans="1:20" s="109" customFormat="1" x14ac:dyDescent="0.2">
      <c r="A1409" s="116"/>
      <c r="B1409" s="111" t="s">
        <v>959</v>
      </c>
      <c r="C1409" s="110" t="s">
        <v>5821</v>
      </c>
      <c r="D1409" s="110" t="s">
        <v>5822</v>
      </c>
      <c r="E1409" s="112" t="s">
        <v>5823</v>
      </c>
      <c r="F1409" s="111" t="s">
        <v>4518</v>
      </c>
      <c r="G1409" s="133">
        <v>17</v>
      </c>
      <c r="H1409" s="124"/>
      <c r="I1409" s="133" t="str">
        <f>IF(H1409&gt;0,(#REF!*H1409),"-")</f>
        <v>-</v>
      </c>
      <c r="J1409" s="113">
        <v>284</v>
      </c>
      <c r="K1409" s="110" t="s">
        <v>129</v>
      </c>
      <c r="L1409" s="110" t="s">
        <v>5515</v>
      </c>
      <c r="M1409" s="110" t="s">
        <v>129</v>
      </c>
      <c r="N1409" s="110" t="s">
        <v>944</v>
      </c>
      <c r="O1409" s="110" t="s">
        <v>5824</v>
      </c>
      <c r="P1409" s="110" t="s">
        <v>4520</v>
      </c>
      <c r="Q1409" s="110" t="s">
        <v>96</v>
      </c>
      <c r="R1409" s="121">
        <v>0.1358</v>
      </c>
      <c r="S1409" s="113" t="e">
        <f t="shared" si="42"/>
        <v>#VALUE!</v>
      </c>
      <c r="T1409" s="113">
        <f t="shared" si="43"/>
        <v>0</v>
      </c>
    </row>
    <row r="1410" spans="1:20" s="109" customFormat="1" x14ac:dyDescent="0.2">
      <c r="A1410" s="116"/>
      <c r="B1410" s="111" t="s">
        <v>959</v>
      </c>
      <c r="C1410" s="110" t="s">
        <v>5825</v>
      </c>
      <c r="D1410" s="110" t="s">
        <v>5826</v>
      </c>
      <c r="E1410" s="112" t="s">
        <v>5827</v>
      </c>
      <c r="F1410" s="111" t="s">
        <v>4518</v>
      </c>
      <c r="G1410" s="133">
        <v>17</v>
      </c>
      <c r="H1410" s="124"/>
      <c r="I1410" s="133" t="str">
        <f>IF(H1410&gt;0,(#REF!*H1410),"-")</f>
        <v>-</v>
      </c>
      <c r="J1410" s="113">
        <v>277</v>
      </c>
      <c r="K1410" s="110" t="s">
        <v>129</v>
      </c>
      <c r="L1410" s="110" t="s">
        <v>5515</v>
      </c>
      <c r="M1410" s="110" t="s">
        <v>129</v>
      </c>
      <c r="N1410" s="110" t="s">
        <v>944</v>
      </c>
      <c r="O1410" s="110" t="s">
        <v>5828</v>
      </c>
      <c r="P1410" s="110" t="s">
        <v>4520</v>
      </c>
      <c r="Q1410" s="110" t="s">
        <v>96</v>
      </c>
      <c r="R1410" s="121">
        <v>0.158</v>
      </c>
      <c r="S1410" s="113" t="e">
        <f t="shared" ref="S1410:S1473" si="44">Q1410*H1410</f>
        <v>#VALUE!</v>
      </c>
      <c r="T1410" s="113">
        <f t="shared" ref="T1410:T1473" si="45">R1410*H1410</f>
        <v>0</v>
      </c>
    </row>
    <row r="1411" spans="1:20" s="109" customFormat="1" x14ac:dyDescent="0.2">
      <c r="A1411" s="116"/>
      <c r="B1411" s="111" t="s">
        <v>959</v>
      </c>
      <c r="C1411" s="110" t="s">
        <v>5829</v>
      </c>
      <c r="D1411" s="110" t="s">
        <v>5830</v>
      </c>
      <c r="E1411" s="112" t="s">
        <v>5831</v>
      </c>
      <c r="F1411" s="111" t="s">
        <v>4518</v>
      </c>
      <c r="G1411" s="133">
        <v>17</v>
      </c>
      <c r="H1411" s="124"/>
      <c r="I1411" s="133" t="str">
        <f>IF(H1411&gt;0,(#REF!*H1411),"-")</f>
        <v>-</v>
      </c>
      <c r="J1411" s="113">
        <v>277</v>
      </c>
      <c r="K1411" s="110" t="s">
        <v>129</v>
      </c>
      <c r="L1411" s="110" t="s">
        <v>5515</v>
      </c>
      <c r="M1411" s="110" t="s">
        <v>129</v>
      </c>
      <c r="N1411" s="110" t="s">
        <v>944</v>
      </c>
      <c r="O1411" s="110" t="s">
        <v>5832</v>
      </c>
      <c r="P1411" s="110" t="s">
        <v>4520</v>
      </c>
      <c r="Q1411" s="110" t="s">
        <v>96</v>
      </c>
      <c r="R1411" s="121">
        <v>0.158</v>
      </c>
      <c r="S1411" s="113" t="e">
        <f t="shared" si="44"/>
        <v>#VALUE!</v>
      </c>
      <c r="T1411" s="113">
        <f t="shared" si="45"/>
        <v>0</v>
      </c>
    </row>
    <row r="1412" spans="1:20" s="109" customFormat="1" x14ac:dyDescent="0.2">
      <c r="A1412" s="116"/>
      <c r="B1412" s="111" t="s">
        <v>959</v>
      </c>
      <c r="C1412" s="110" t="s">
        <v>5833</v>
      </c>
      <c r="D1412" s="110" t="s">
        <v>5834</v>
      </c>
      <c r="E1412" s="112" t="s">
        <v>5835</v>
      </c>
      <c r="F1412" s="111" t="s">
        <v>4518</v>
      </c>
      <c r="G1412" s="133">
        <v>17</v>
      </c>
      <c r="H1412" s="124"/>
      <c r="I1412" s="133" t="str">
        <f>IF(H1412&gt;0,(#REF!*H1412),"-")</f>
        <v>-</v>
      </c>
      <c r="J1412" s="113">
        <v>284</v>
      </c>
      <c r="K1412" s="110" t="s">
        <v>129</v>
      </c>
      <c r="L1412" s="110" t="s">
        <v>5515</v>
      </c>
      <c r="M1412" s="110" t="s">
        <v>129</v>
      </c>
      <c r="N1412" s="110" t="s">
        <v>944</v>
      </c>
      <c r="O1412" s="110" t="s">
        <v>5836</v>
      </c>
      <c r="P1412" s="110" t="s">
        <v>4520</v>
      </c>
      <c r="Q1412" s="110" t="s">
        <v>96</v>
      </c>
      <c r="R1412" s="121">
        <v>0.158</v>
      </c>
      <c r="S1412" s="113" t="e">
        <f t="shared" si="44"/>
        <v>#VALUE!</v>
      </c>
      <c r="T1412" s="113">
        <f t="shared" si="45"/>
        <v>0</v>
      </c>
    </row>
    <row r="1413" spans="1:20" s="109" customFormat="1" x14ac:dyDescent="0.2">
      <c r="A1413" s="116"/>
      <c r="B1413" s="111" t="s">
        <v>959</v>
      </c>
      <c r="C1413" s="110" t="s">
        <v>5837</v>
      </c>
      <c r="D1413" s="110" t="s">
        <v>5838</v>
      </c>
      <c r="E1413" s="112" t="s">
        <v>5839</v>
      </c>
      <c r="F1413" s="111" t="s">
        <v>4518</v>
      </c>
      <c r="G1413" s="133">
        <v>17</v>
      </c>
      <c r="H1413" s="124"/>
      <c r="I1413" s="133" t="str">
        <f>IF(H1413&gt;0,(#REF!*H1413),"-")</f>
        <v>-</v>
      </c>
      <c r="J1413" s="113">
        <v>277</v>
      </c>
      <c r="K1413" s="110" t="s">
        <v>129</v>
      </c>
      <c r="L1413" s="110" t="s">
        <v>5515</v>
      </c>
      <c r="M1413" s="110" t="s">
        <v>129</v>
      </c>
      <c r="N1413" s="110" t="s">
        <v>944</v>
      </c>
      <c r="O1413" s="110" t="s">
        <v>5840</v>
      </c>
      <c r="P1413" s="110" t="s">
        <v>4520</v>
      </c>
      <c r="Q1413" s="110" t="s">
        <v>96</v>
      </c>
      <c r="R1413" s="121">
        <v>0.158</v>
      </c>
      <c r="S1413" s="113" t="e">
        <f t="shared" si="44"/>
        <v>#VALUE!</v>
      </c>
      <c r="T1413" s="113">
        <f t="shared" si="45"/>
        <v>0</v>
      </c>
    </row>
    <row r="1414" spans="1:20" s="109" customFormat="1" x14ac:dyDescent="0.2">
      <c r="A1414" s="116"/>
      <c r="B1414" s="111" t="s">
        <v>959</v>
      </c>
      <c r="C1414" s="110" t="s">
        <v>5841</v>
      </c>
      <c r="D1414" s="110" t="s">
        <v>5842</v>
      </c>
      <c r="E1414" s="112" t="s">
        <v>5843</v>
      </c>
      <c r="F1414" s="111" t="s">
        <v>4518</v>
      </c>
      <c r="G1414" s="133">
        <v>17</v>
      </c>
      <c r="H1414" s="124"/>
      <c r="I1414" s="133" t="str">
        <f>IF(H1414&gt;0,(#REF!*H1414),"-")</f>
        <v>-</v>
      </c>
      <c r="J1414" s="113">
        <v>284</v>
      </c>
      <c r="K1414" s="110" t="s">
        <v>129</v>
      </c>
      <c r="L1414" s="110" t="s">
        <v>5515</v>
      </c>
      <c r="M1414" s="110" t="s">
        <v>129</v>
      </c>
      <c r="N1414" s="110" t="s">
        <v>944</v>
      </c>
      <c r="O1414" s="110" t="s">
        <v>5844</v>
      </c>
      <c r="P1414" s="110" t="s">
        <v>4520</v>
      </c>
      <c r="Q1414" s="110" t="s">
        <v>96</v>
      </c>
      <c r="R1414" s="121">
        <v>0.1358</v>
      </c>
      <c r="S1414" s="113" t="e">
        <f t="shared" si="44"/>
        <v>#VALUE!</v>
      </c>
      <c r="T1414" s="113">
        <f t="shared" si="45"/>
        <v>0</v>
      </c>
    </row>
    <row r="1415" spans="1:20" s="109" customFormat="1" x14ac:dyDescent="0.2">
      <c r="A1415" s="116"/>
      <c r="B1415" s="111" t="s">
        <v>959</v>
      </c>
      <c r="C1415" s="110" t="s">
        <v>5845</v>
      </c>
      <c r="D1415" s="110" t="s">
        <v>5846</v>
      </c>
      <c r="E1415" s="112" t="s">
        <v>5847</v>
      </c>
      <c r="F1415" s="111" t="s">
        <v>4518</v>
      </c>
      <c r="G1415" s="133">
        <v>17</v>
      </c>
      <c r="H1415" s="124"/>
      <c r="I1415" s="133" t="str">
        <f>IF(H1415&gt;0,(#REF!*H1415),"-")</f>
        <v>-</v>
      </c>
      <c r="J1415" s="113">
        <v>277</v>
      </c>
      <c r="K1415" s="110" t="s">
        <v>129</v>
      </c>
      <c r="L1415" s="110" t="s">
        <v>5515</v>
      </c>
      <c r="M1415" s="110" t="s">
        <v>129</v>
      </c>
      <c r="N1415" s="110" t="s">
        <v>944</v>
      </c>
      <c r="O1415" s="110" t="s">
        <v>5848</v>
      </c>
      <c r="P1415" s="110" t="s">
        <v>4520</v>
      </c>
      <c r="Q1415" s="110" t="s">
        <v>96</v>
      </c>
      <c r="R1415" s="121">
        <v>0.14940000000000001</v>
      </c>
      <c r="S1415" s="113" t="e">
        <f t="shared" si="44"/>
        <v>#VALUE!</v>
      </c>
      <c r="T1415" s="113">
        <f t="shared" si="45"/>
        <v>0</v>
      </c>
    </row>
    <row r="1416" spans="1:20" s="109" customFormat="1" x14ac:dyDescent="0.2">
      <c r="A1416" s="116"/>
      <c r="B1416" s="111" t="s">
        <v>959</v>
      </c>
      <c r="C1416" s="110" t="s">
        <v>5849</v>
      </c>
      <c r="D1416" s="110" t="s">
        <v>5850</v>
      </c>
      <c r="E1416" s="112" t="s">
        <v>5851</v>
      </c>
      <c r="F1416" s="111" t="s">
        <v>4518</v>
      </c>
      <c r="G1416" s="133">
        <v>17</v>
      </c>
      <c r="H1416" s="124"/>
      <c r="I1416" s="133" t="str">
        <f>IF(H1416&gt;0,(#REF!*H1416),"-")</f>
        <v>-</v>
      </c>
      <c r="J1416" s="113">
        <v>277</v>
      </c>
      <c r="K1416" s="110" t="s">
        <v>129</v>
      </c>
      <c r="L1416" s="110" t="s">
        <v>5515</v>
      </c>
      <c r="M1416" s="110" t="s">
        <v>129</v>
      </c>
      <c r="N1416" s="110" t="s">
        <v>944</v>
      </c>
      <c r="O1416" s="110" t="s">
        <v>5852</v>
      </c>
      <c r="P1416" s="110" t="s">
        <v>4520</v>
      </c>
      <c r="Q1416" s="110" t="s">
        <v>96</v>
      </c>
      <c r="R1416" s="121">
        <v>0.16739999999999999</v>
      </c>
      <c r="S1416" s="113" t="e">
        <f t="shared" si="44"/>
        <v>#VALUE!</v>
      </c>
      <c r="T1416" s="113">
        <f t="shared" si="45"/>
        <v>0</v>
      </c>
    </row>
    <row r="1417" spans="1:20" s="109" customFormat="1" x14ac:dyDescent="0.2">
      <c r="A1417" s="116"/>
      <c r="B1417" s="111" t="s">
        <v>959</v>
      </c>
      <c r="C1417" s="110" t="s">
        <v>5853</v>
      </c>
      <c r="D1417" s="110" t="s">
        <v>5854</v>
      </c>
      <c r="E1417" s="112" t="s">
        <v>5855</v>
      </c>
      <c r="F1417" s="111" t="s">
        <v>4518</v>
      </c>
      <c r="G1417" s="133">
        <v>17</v>
      </c>
      <c r="H1417" s="124"/>
      <c r="I1417" s="133" t="str">
        <f>IF(H1417&gt;0,(#REF!*H1417),"-")</f>
        <v>-</v>
      </c>
      <c r="J1417" s="113">
        <v>277</v>
      </c>
      <c r="K1417" s="110" t="s">
        <v>129</v>
      </c>
      <c r="L1417" s="110" t="s">
        <v>5515</v>
      </c>
      <c r="M1417" s="110" t="s">
        <v>129</v>
      </c>
      <c r="N1417" s="110" t="s">
        <v>944</v>
      </c>
      <c r="O1417" s="110" t="s">
        <v>5856</v>
      </c>
      <c r="P1417" s="110" t="s">
        <v>4520</v>
      </c>
      <c r="Q1417" s="110" t="s">
        <v>96</v>
      </c>
      <c r="R1417" s="121">
        <v>0.158</v>
      </c>
      <c r="S1417" s="113" t="e">
        <f t="shared" si="44"/>
        <v>#VALUE!</v>
      </c>
      <c r="T1417" s="113">
        <f t="shared" si="45"/>
        <v>0</v>
      </c>
    </row>
    <row r="1418" spans="1:20" s="109" customFormat="1" x14ac:dyDescent="0.2">
      <c r="A1418" s="116"/>
      <c r="B1418" s="111" t="s">
        <v>959</v>
      </c>
      <c r="C1418" s="110" t="s">
        <v>5857</v>
      </c>
      <c r="D1418" s="110" t="s">
        <v>5858</v>
      </c>
      <c r="E1418" s="112" t="s">
        <v>5859</v>
      </c>
      <c r="F1418" s="111" t="s">
        <v>4518</v>
      </c>
      <c r="G1418" s="133">
        <v>17</v>
      </c>
      <c r="H1418" s="124"/>
      <c r="I1418" s="133" t="str">
        <f>IF(H1418&gt;0,(#REF!*H1418),"-")</f>
        <v>-</v>
      </c>
      <c r="J1418" s="113">
        <v>284</v>
      </c>
      <c r="K1418" s="110" t="s">
        <v>129</v>
      </c>
      <c r="L1418" s="110" t="s">
        <v>5515</v>
      </c>
      <c r="M1418" s="110" t="s">
        <v>129</v>
      </c>
      <c r="N1418" s="110" t="s">
        <v>944</v>
      </c>
      <c r="O1418" s="110" t="s">
        <v>5860</v>
      </c>
      <c r="P1418" s="110" t="s">
        <v>4520</v>
      </c>
      <c r="Q1418" s="110" t="s">
        <v>96</v>
      </c>
      <c r="R1418" s="121">
        <v>0.158</v>
      </c>
      <c r="S1418" s="113" t="e">
        <f t="shared" si="44"/>
        <v>#VALUE!</v>
      </c>
      <c r="T1418" s="113">
        <f t="shared" si="45"/>
        <v>0</v>
      </c>
    </row>
    <row r="1419" spans="1:20" s="109" customFormat="1" x14ac:dyDescent="0.2">
      <c r="A1419" s="116"/>
      <c r="B1419" s="111" t="s">
        <v>959</v>
      </c>
      <c r="C1419" s="110" t="s">
        <v>5861</v>
      </c>
      <c r="D1419" s="110" t="s">
        <v>5862</v>
      </c>
      <c r="E1419" s="112" t="s">
        <v>5863</v>
      </c>
      <c r="F1419" s="111" t="s">
        <v>4518</v>
      </c>
      <c r="G1419" s="133">
        <v>17</v>
      </c>
      <c r="H1419" s="124"/>
      <c r="I1419" s="133" t="str">
        <f>IF(H1419&gt;0,(#REF!*H1419),"-")</f>
        <v>-</v>
      </c>
      <c r="J1419" s="113">
        <v>277</v>
      </c>
      <c r="K1419" s="110" t="s">
        <v>129</v>
      </c>
      <c r="L1419" s="110" t="s">
        <v>5515</v>
      </c>
      <c r="M1419" s="110" t="s">
        <v>129</v>
      </c>
      <c r="N1419" s="110" t="s">
        <v>944</v>
      </c>
      <c r="O1419" s="110" t="s">
        <v>5864</v>
      </c>
      <c r="P1419" s="110" t="s">
        <v>4520</v>
      </c>
      <c r="Q1419" s="110" t="s">
        <v>96</v>
      </c>
      <c r="R1419" s="121">
        <v>0.158</v>
      </c>
      <c r="S1419" s="113" t="e">
        <f t="shared" si="44"/>
        <v>#VALUE!</v>
      </c>
      <c r="T1419" s="113">
        <f t="shared" si="45"/>
        <v>0</v>
      </c>
    </row>
    <row r="1420" spans="1:20" s="109" customFormat="1" x14ac:dyDescent="0.2">
      <c r="A1420" s="116"/>
      <c r="B1420" s="111" t="s">
        <v>959</v>
      </c>
      <c r="C1420" s="110" t="s">
        <v>5865</v>
      </c>
      <c r="D1420" s="110" t="s">
        <v>5866</v>
      </c>
      <c r="E1420" s="112" t="s">
        <v>5867</v>
      </c>
      <c r="F1420" s="111" t="s">
        <v>4518</v>
      </c>
      <c r="G1420" s="133">
        <v>17</v>
      </c>
      <c r="H1420" s="124"/>
      <c r="I1420" s="133" t="str">
        <f>IF(H1420&gt;0,(#REF!*H1420),"-")</f>
        <v>-</v>
      </c>
      <c r="J1420" s="113">
        <v>284</v>
      </c>
      <c r="K1420" s="110" t="s">
        <v>129</v>
      </c>
      <c r="L1420" s="110" t="s">
        <v>5515</v>
      </c>
      <c r="M1420" s="110" t="s">
        <v>129</v>
      </c>
      <c r="N1420" s="110" t="s">
        <v>944</v>
      </c>
      <c r="O1420" s="110" t="s">
        <v>5868</v>
      </c>
      <c r="P1420" s="110" t="s">
        <v>4520</v>
      </c>
      <c r="Q1420" s="110" t="s">
        <v>96</v>
      </c>
      <c r="R1420" s="121">
        <v>0.13400000000000001</v>
      </c>
      <c r="S1420" s="113" t="e">
        <f t="shared" si="44"/>
        <v>#VALUE!</v>
      </c>
      <c r="T1420" s="113">
        <f t="shared" si="45"/>
        <v>0</v>
      </c>
    </row>
    <row r="1421" spans="1:20" s="109" customFormat="1" x14ac:dyDescent="0.2">
      <c r="A1421" s="116"/>
      <c r="B1421" s="111" t="s">
        <v>959</v>
      </c>
      <c r="C1421" s="110" t="s">
        <v>5869</v>
      </c>
      <c r="D1421" s="110" t="s">
        <v>5870</v>
      </c>
      <c r="E1421" s="112" t="s">
        <v>5871</v>
      </c>
      <c r="F1421" s="111" t="s">
        <v>4518</v>
      </c>
      <c r="G1421" s="133">
        <v>17</v>
      </c>
      <c r="H1421" s="124"/>
      <c r="I1421" s="133" t="str">
        <f>IF(H1421&gt;0,(#REF!*H1421),"-")</f>
        <v>-</v>
      </c>
      <c r="J1421" s="113">
        <v>284</v>
      </c>
      <c r="K1421" s="110" t="s">
        <v>129</v>
      </c>
      <c r="L1421" s="110" t="s">
        <v>5515</v>
      </c>
      <c r="M1421" s="110" t="s">
        <v>129</v>
      </c>
      <c r="N1421" s="110" t="s">
        <v>944</v>
      </c>
      <c r="O1421" s="110" t="s">
        <v>5872</v>
      </c>
      <c r="P1421" s="110" t="s">
        <v>4520</v>
      </c>
      <c r="Q1421" s="110" t="s">
        <v>96</v>
      </c>
      <c r="R1421" s="121">
        <v>0.158</v>
      </c>
      <c r="S1421" s="113" t="e">
        <f t="shared" si="44"/>
        <v>#VALUE!</v>
      </c>
      <c r="T1421" s="113">
        <f t="shared" si="45"/>
        <v>0</v>
      </c>
    </row>
    <row r="1422" spans="1:20" s="109" customFormat="1" x14ac:dyDescent="0.2">
      <c r="A1422" s="116"/>
      <c r="B1422" s="111" t="s">
        <v>959</v>
      </c>
      <c r="C1422" s="110" t="s">
        <v>5873</v>
      </c>
      <c r="D1422" s="110" t="s">
        <v>5874</v>
      </c>
      <c r="E1422" s="112" t="s">
        <v>5875</v>
      </c>
      <c r="F1422" s="111" t="s">
        <v>4518</v>
      </c>
      <c r="G1422" s="133">
        <v>17</v>
      </c>
      <c r="H1422" s="124"/>
      <c r="I1422" s="133" t="str">
        <f>IF(H1422&gt;0,(#REF!*H1422),"-")</f>
        <v>-</v>
      </c>
      <c r="J1422" s="113">
        <v>284</v>
      </c>
      <c r="K1422" s="110" t="s">
        <v>129</v>
      </c>
      <c r="L1422" s="110" t="s">
        <v>5515</v>
      </c>
      <c r="M1422" s="110" t="s">
        <v>129</v>
      </c>
      <c r="N1422" s="110" t="s">
        <v>944</v>
      </c>
      <c r="O1422" s="110" t="s">
        <v>5876</v>
      </c>
      <c r="P1422" s="110" t="s">
        <v>4520</v>
      </c>
      <c r="Q1422" s="110" t="s">
        <v>96</v>
      </c>
      <c r="R1422" s="121">
        <v>0.158</v>
      </c>
      <c r="S1422" s="113" t="e">
        <f t="shared" si="44"/>
        <v>#VALUE!</v>
      </c>
      <c r="T1422" s="113">
        <f t="shared" si="45"/>
        <v>0</v>
      </c>
    </row>
    <row r="1423" spans="1:20" s="109" customFormat="1" x14ac:dyDescent="0.2">
      <c r="A1423" s="116"/>
      <c r="B1423" s="111" t="s">
        <v>1037</v>
      </c>
      <c r="C1423" s="110" t="s">
        <v>5877</v>
      </c>
      <c r="D1423" s="110" t="s">
        <v>5878</v>
      </c>
      <c r="E1423" s="112" t="s">
        <v>5879</v>
      </c>
      <c r="F1423" s="111" t="s">
        <v>4518</v>
      </c>
      <c r="G1423" s="133">
        <v>17</v>
      </c>
      <c r="H1423" s="124"/>
      <c r="I1423" s="133" t="str">
        <f>IF(H1423&gt;0,(#REF!*H1423),"-")</f>
        <v>-</v>
      </c>
      <c r="J1423" s="113">
        <v>277</v>
      </c>
      <c r="K1423" s="110" t="s">
        <v>129</v>
      </c>
      <c r="L1423" s="110" t="s">
        <v>5515</v>
      </c>
      <c r="M1423" s="110" t="s">
        <v>129</v>
      </c>
      <c r="N1423" s="110" t="s">
        <v>944</v>
      </c>
      <c r="O1423" s="110" t="s">
        <v>5880</v>
      </c>
      <c r="P1423" s="110" t="s">
        <v>4520</v>
      </c>
      <c r="Q1423" s="110" t="s">
        <v>96</v>
      </c>
      <c r="R1423" s="121">
        <v>0.156</v>
      </c>
      <c r="S1423" s="113" t="e">
        <f t="shared" si="44"/>
        <v>#VALUE!</v>
      </c>
      <c r="T1423" s="113">
        <f t="shared" si="45"/>
        <v>0</v>
      </c>
    </row>
    <row r="1424" spans="1:20" s="109" customFormat="1" x14ac:dyDescent="0.2">
      <c r="A1424" s="116"/>
      <c r="B1424" s="111" t="s">
        <v>1037</v>
      </c>
      <c r="C1424" s="110" t="s">
        <v>5881</v>
      </c>
      <c r="D1424" s="110" t="s">
        <v>5882</v>
      </c>
      <c r="E1424" s="112" t="s">
        <v>5883</v>
      </c>
      <c r="F1424" s="111" t="s">
        <v>4518</v>
      </c>
      <c r="G1424" s="133">
        <v>17</v>
      </c>
      <c r="H1424" s="124"/>
      <c r="I1424" s="133" t="str">
        <f>IF(H1424&gt;0,(#REF!*H1424),"-")</f>
        <v>-</v>
      </c>
      <c r="J1424" s="113">
        <v>277</v>
      </c>
      <c r="K1424" s="110" t="s">
        <v>129</v>
      </c>
      <c r="L1424" s="110" t="s">
        <v>5515</v>
      </c>
      <c r="M1424" s="110" t="s">
        <v>129</v>
      </c>
      <c r="N1424" s="110" t="s">
        <v>944</v>
      </c>
      <c r="O1424" s="110" t="s">
        <v>5884</v>
      </c>
      <c r="P1424" s="110" t="s">
        <v>4520</v>
      </c>
      <c r="Q1424" s="110" t="s">
        <v>96</v>
      </c>
      <c r="R1424" s="121">
        <v>0.16550000000000001</v>
      </c>
      <c r="S1424" s="113" t="e">
        <f t="shared" si="44"/>
        <v>#VALUE!</v>
      </c>
      <c r="T1424" s="113">
        <f t="shared" si="45"/>
        <v>0</v>
      </c>
    </row>
    <row r="1425" spans="1:20" s="109" customFormat="1" x14ac:dyDescent="0.2">
      <c r="A1425" s="116"/>
      <c r="B1425" s="111"/>
      <c r="C1425" s="110" t="s">
        <v>5885</v>
      </c>
      <c r="D1425" s="110" t="s">
        <v>5886</v>
      </c>
      <c r="E1425" s="112" t="s">
        <v>5887</v>
      </c>
      <c r="F1425" s="111" t="s">
        <v>126</v>
      </c>
      <c r="G1425" s="133">
        <v>291</v>
      </c>
      <c r="H1425" s="124"/>
      <c r="I1425" s="133" t="str">
        <f>IF(H1425&gt;0,(#REF!*H1425),"-")</f>
        <v>-</v>
      </c>
      <c r="J1425" s="113">
        <v>1522</v>
      </c>
      <c r="K1425" s="110" t="s">
        <v>129</v>
      </c>
      <c r="L1425" s="110" t="s">
        <v>5515</v>
      </c>
      <c r="M1425" s="110" t="s">
        <v>129</v>
      </c>
      <c r="N1425" s="110" t="s">
        <v>130</v>
      </c>
      <c r="O1425" s="110" t="s">
        <v>5888</v>
      </c>
      <c r="P1425" s="110" t="s">
        <v>958</v>
      </c>
      <c r="Q1425" s="110" t="s">
        <v>96</v>
      </c>
      <c r="R1425" s="121">
        <v>0.40799999999999997</v>
      </c>
      <c r="S1425" s="113" t="e">
        <f t="shared" si="44"/>
        <v>#VALUE!</v>
      </c>
      <c r="T1425" s="113">
        <f t="shared" si="45"/>
        <v>0</v>
      </c>
    </row>
    <row r="1426" spans="1:20" s="109" customFormat="1" x14ac:dyDescent="0.2">
      <c r="A1426" s="116"/>
      <c r="B1426" s="111" t="s">
        <v>1037</v>
      </c>
      <c r="C1426" s="110" t="s">
        <v>5889</v>
      </c>
      <c r="D1426" s="110" t="s">
        <v>5890</v>
      </c>
      <c r="E1426" s="112" t="s">
        <v>5891</v>
      </c>
      <c r="F1426" s="111" t="s">
        <v>4518</v>
      </c>
      <c r="G1426" s="133">
        <v>17</v>
      </c>
      <c r="H1426" s="124"/>
      <c r="I1426" s="133" t="str">
        <f>IF(H1426&gt;0,(#REF!*H1426),"-")</f>
        <v>-</v>
      </c>
      <c r="J1426" s="113">
        <v>286</v>
      </c>
      <c r="K1426" s="110" t="s">
        <v>129</v>
      </c>
      <c r="L1426" s="110" t="s">
        <v>5892</v>
      </c>
      <c r="M1426" s="110" t="s">
        <v>129</v>
      </c>
      <c r="N1426" s="110" t="s">
        <v>944</v>
      </c>
      <c r="O1426" s="110" t="s">
        <v>5893</v>
      </c>
      <c r="P1426" s="110" t="s">
        <v>4520</v>
      </c>
      <c r="Q1426" s="110" t="s">
        <v>96</v>
      </c>
      <c r="R1426" s="121">
        <v>0.1628</v>
      </c>
      <c r="S1426" s="113" t="e">
        <f t="shared" si="44"/>
        <v>#VALUE!</v>
      </c>
      <c r="T1426" s="113">
        <f t="shared" si="45"/>
        <v>0</v>
      </c>
    </row>
    <row r="1427" spans="1:20" s="109" customFormat="1" x14ac:dyDescent="0.2">
      <c r="A1427" s="116"/>
      <c r="B1427" s="111" t="s">
        <v>5299</v>
      </c>
      <c r="C1427" s="110" t="s">
        <v>5894</v>
      </c>
      <c r="D1427" s="110" t="s">
        <v>5895</v>
      </c>
      <c r="E1427" s="112" t="s">
        <v>5896</v>
      </c>
      <c r="F1427" s="111" t="s">
        <v>4518</v>
      </c>
      <c r="G1427" s="133">
        <v>17</v>
      </c>
      <c r="H1427" s="124"/>
      <c r="I1427" s="133" t="str">
        <f>IF(H1427&gt;0,(#REF!*H1427),"-")</f>
        <v>-</v>
      </c>
      <c r="J1427" s="113">
        <v>286</v>
      </c>
      <c r="K1427" s="110" t="s">
        <v>129</v>
      </c>
      <c r="L1427" s="110" t="s">
        <v>5892</v>
      </c>
      <c r="M1427" s="110" t="s">
        <v>129</v>
      </c>
      <c r="N1427" s="110" t="s">
        <v>944</v>
      </c>
      <c r="O1427" s="110" t="s">
        <v>5897</v>
      </c>
      <c r="P1427" s="110" t="s">
        <v>4520</v>
      </c>
      <c r="Q1427" s="110" t="s">
        <v>96</v>
      </c>
      <c r="R1427" s="121">
        <v>0.1628</v>
      </c>
      <c r="S1427" s="113" t="e">
        <f t="shared" si="44"/>
        <v>#VALUE!</v>
      </c>
      <c r="T1427" s="113">
        <f t="shared" si="45"/>
        <v>0</v>
      </c>
    </row>
    <row r="1428" spans="1:20" s="109" customFormat="1" x14ac:dyDescent="0.2">
      <c r="A1428" s="116"/>
      <c r="B1428" s="111" t="s">
        <v>1037</v>
      </c>
      <c r="C1428" s="110" t="s">
        <v>5898</v>
      </c>
      <c r="D1428" s="110" t="s">
        <v>5899</v>
      </c>
      <c r="E1428" s="112" t="s">
        <v>5900</v>
      </c>
      <c r="F1428" s="111" t="s">
        <v>4518</v>
      </c>
      <c r="G1428" s="133">
        <v>17</v>
      </c>
      <c r="H1428" s="124"/>
      <c r="I1428" s="133" t="str">
        <f>IF(H1428&gt;0,(#REF!*H1428),"-")</f>
        <v>-</v>
      </c>
      <c r="J1428" s="113">
        <v>286</v>
      </c>
      <c r="K1428" s="110" t="s">
        <v>129</v>
      </c>
      <c r="L1428" s="110" t="s">
        <v>5892</v>
      </c>
      <c r="M1428" s="110" t="s">
        <v>129</v>
      </c>
      <c r="N1428" s="110" t="s">
        <v>944</v>
      </c>
      <c r="O1428" s="110" t="s">
        <v>5901</v>
      </c>
      <c r="P1428" s="110" t="s">
        <v>4520</v>
      </c>
      <c r="Q1428" s="110" t="s">
        <v>96</v>
      </c>
      <c r="R1428" s="121">
        <v>0.1628</v>
      </c>
      <c r="S1428" s="113" t="e">
        <f t="shared" si="44"/>
        <v>#VALUE!</v>
      </c>
      <c r="T1428" s="113">
        <f t="shared" si="45"/>
        <v>0</v>
      </c>
    </row>
    <row r="1429" spans="1:20" s="109" customFormat="1" x14ac:dyDescent="0.2">
      <c r="A1429" s="116"/>
      <c r="B1429" s="111" t="s">
        <v>1037</v>
      </c>
      <c r="C1429" s="110" t="s">
        <v>5902</v>
      </c>
      <c r="D1429" s="110" t="s">
        <v>5903</v>
      </c>
      <c r="E1429" s="112" t="s">
        <v>5904</v>
      </c>
      <c r="F1429" s="111" t="s">
        <v>4518</v>
      </c>
      <c r="G1429" s="133">
        <v>17</v>
      </c>
      <c r="H1429" s="124"/>
      <c r="I1429" s="133" t="str">
        <f>IF(H1429&gt;0,(#REF!*H1429),"-")</f>
        <v>-</v>
      </c>
      <c r="J1429" s="113">
        <v>286</v>
      </c>
      <c r="K1429" s="110" t="s">
        <v>129</v>
      </c>
      <c r="L1429" s="110" t="s">
        <v>5892</v>
      </c>
      <c r="M1429" s="110" t="s">
        <v>129</v>
      </c>
      <c r="N1429" s="110" t="s">
        <v>944</v>
      </c>
      <c r="O1429" s="110" t="s">
        <v>5905</v>
      </c>
      <c r="P1429" s="110" t="s">
        <v>4520</v>
      </c>
      <c r="Q1429" s="110" t="s">
        <v>96</v>
      </c>
      <c r="R1429" s="121">
        <v>0.1628</v>
      </c>
      <c r="S1429" s="113" t="e">
        <f t="shared" si="44"/>
        <v>#VALUE!</v>
      </c>
      <c r="T1429" s="113">
        <f t="shared" si="45"/>
        <v>0</v>
      </c>
    </row>
    <row r="1430" spans="1:20" s="109" customFormat="1" x14ac:dyDescent="0.2">
      <c r="A1430" s="116"/>
      <c r="B1430" s="111" t="s">
        <v>5299</v>
      </c>
      <c r="C1430" s="110" t="s">
        <v>5906</v>
      </c>
      <c r="D1430" s="110" t="s">
        <v>5907</v>
      </c>
      <c r="E1430" s="112" t="s">
        <v>5908</v>
      </c>
      <c r="F1430" s="111" t="s">
        <v>4518</v>
      </c>
      <c r="G1430" s="133">
        <v>17</v>
      </c>
      <c r="H1430" s="124"/>
      <c r="I1430" s="133" t="str">
        <f>IF(H1430&gt;0,(#REF!*H1430),"-")</f>
        <v>-</v>
      </c>
      <c r="J1430" s="113">
        <v>286</v>
      </c>
      <c r="K1430" s="110" t="s">
        <v>129</v>
      </c>
      <c r="L1430" s="110" t="s">
        <v>5892</v>
      </c>
      <c r="M1430" s="110" t="s">
        <v>129</v>
      </c>
      <c r="N1430" s="110" t="s">
        <v>944</v>
      </c>
      <c r="O1430" s="110" t="s">
        <v>5909</v>
      </c>
      <c r="P1430" s="110" t="s">
        <v>4520</v>
      </c>
      <c r="Q1430" s="110" t="s">
        <v>96</v>
      </c>
      <c r="R1430" s="121">
        <v>0.1628</v>
      </c>
      <c r="S1430" s="113" t="e">
        <f t="shared" si="44"/>
        <v>#VALUE!</v>
      </c>
      <c r="T1430" s="113">
        <f t="shared" si="45"/>
        <v>0</v>
      </c>
    </row>
    <row r="1431" spans="1:20" s="109" customFormat="1" x14ac:dyDescent="0.2">
      <c r="A1431" s="116"/>
      <c r="B1431" s="111" t="s">
        <v>1037</v>
      </c>
      <c r="C1431" s="110" t="s">
        <v>5910</v>
      </c>
      <c r="D1431" s="110" t="s">
        <v>5911</v>
      </c>
      <c r="E1431" s="112" t="s">
        <v>5912</v>
      </c>
      <c r="F1431" s="111" t="s">
        <v>4518</v>
      </c>
      <c r="G1431" s="133">
        <v>17</v>
      </c>
      <c r="H1431" s="124"/>
      <c r="I1431" s="133" t="str">
        <f>IF(H1431&gt;0,(#REF!*H1431),"-")</f>
        <v>-</v>
      </c>
      <c r="J1431" s="113">
        <v>286</v>
      </c>
      <c r="K1431" s="110" t="s">
        <v>129</v>
      </c>
      <c r="L1431" s="110" t="s">
        <v>5892</v>
      </c>
      <c r="M1431" s="110" t="s">
        <v>129</v>
      </c>
      <c r="N1431" s="110" t="s">
        <v>944</v>
      </c>
      <c r="O1431" s="110" t="s">
        <v>5913</v>
      </c>
      <c r="P1431" s="110" t="s">
        <v>4520</v>
      </c>
      <c r="Q1431" s="110" t="s">
        <v>96</v>
      </c>
      <c r="R1431" s="121">
        <v>0.1628</v>
      </c>
      <c r="S1431" s="113" t="e">
        <f t="shared" si="44"/>
        <v>#VALUE!</v>
      </c>
      <c r="T1431" s="113">
        <f t="shared" si="45"/>
        <v>0</v>
      </c>
    </row>
    <row r="1432" spans="1:20" s="109" customFormat="1" x14ac:dyDescent="0.2">
      <c r="A1432" s="116"/>
      <c r="B1432" s="111" t="s">
        <v>959</v>
      </c>
      <c r="C1432" s="110" t="s">
        <v>5914</v>
      </c>
      <c r="D1432" s="110" t="s">
        <v>5915</v>
      </c>
      <c r="E1432" s="112" t="s">
        <v>5916</v>
      </c>
      <c r="F1432" s="111" t="s">
        <v>4518</v>
      </c>
      <c r="G1432" s="133">
        <v>17</v>
      </c>
      <c r="H1432" s="124"/>
      <c r="I1432" s="133" t="str">
        <f>IF(H1432&gt;0,(#REF!*H1432),"-")</f>
        <v>-</v>
      </c>
      <c r="J1432" s="113">
        <v>286</v>
      </c>
      <c r="K1432" s="110" t="s">
        <v>129</v>
      </c>
      <c r="L1432" s="110" t="s">
        <v>5892</v>
      </c>
      <c r="M1432" s="110" t="s">
        <v>129</v>
      </c>
      <c r="N1432" s="110" t="s">
        <v>944</v>
      </c>
      <c r="O1432" s="110" t="s">
        <v>5917</v>
      </c>
      <c r="P1432" s="110" t="s">
        <v>4520</v>
      </c>
      <c r="Q1432" s="110" t="s">
        <v>96</v>
      </c>
      <c r="R1432" s="121">
        <v>0.1628</v>
      </c>
      <c r="S1432" s="113" t="e">
        <f t="shared" si="44"/>
        <v>#VALUE!</v>
      </c>
      <c r="T1432" s="113">
        <f t="shared" si="45"/>
        <v>0</v>
      </c>
    </row>
    <row r="1433" spans="1:20" s="109" customFormat="1" x14ac:dyDescent="0.2">
      <c r="A1433" s="116"/>
      <c r="B1433" s="111" t="s">
        <v>1037</v>
      </c>
      <c r="C1433" s="110" t="s">
        <v>5918</v>
      </c>
      <c r="D1433" s="110" t="s">
        <v>5919</v>
      </c>
      <c r="E1433" s="112" t="s">
        <v>5920</v>
      </c>
      <c r="F1433" s="111" t="s">
        <v>4518</v>
      </c>
      <c r="G1433" s="133">
        <v>17</v>
      </c>
      <c r="H1433" s="124"/>
      <c r="I1433" s="133" t="str">
        <f>IF(H1433&gt;0,(#REF!*H1433),"-")</f>
        <v>-</v>
      </c>
      <c r="J1433" s="113">
        <v>286</v>
      </c>
      <c r="K1433" s="110" t="s">
        <v>129</v>
      </c>
      <c r="L1433" s="110" t="s">
        <v>5892</v>
      </c>
      <c r="M1433" s="110" t="s">
        <v>129</v>
      </c>
      <c r="N1433" s="110" t="s">
        <v>944</v>
      </c>
      <c r="O1433" s="110" t="s">
        <v>5921</v>
      </c>
      <c r="P1433" s="110" t="s">
        <v>4520</v>
      </c>
      <c r="Q1433" s="110" t="s">
        <v>96</v>
      </c>
      <c r="R1433" s="121">
        <v>0.1628</v>
      </c>
      <c r="S1433" s="113" t="e">
        <f t="shared" si="44"/>
        <v>#VALUE!</v>
      </c>
      <c r="T1433" s="113">
        <f t="shared" si="45"/>
        <v>0</v>
      </c>
    </row>
    <row r="1434" spans="1:20" s="109" customFormat="1" x14ac:dyDescent="0.2">
      <c r="A1434" s="116"/>
      <c r="B1434" s="111" t="s">
        <v>5299</v>
      </c>
      <c r="C1434" s="110" t="s">
        <v>5922</v>
      </c>
      <c r="D1434" s="110" t="s">
        <v>5923</v>
      </c>
      <c r="E1434" s="112" t="s">
        <v>5924</v>
      </c>
      <c r="F1434" s="111" t="s">
        <v>4518</v>
      </c>
      <c r="G1434" s="133">
        <v>17</v>
      </c>
      <c r="H1434" s="124"/>
      <c r="I1434" s="133" t="str">
        <f>IF(H1434&gt;0,(#REF!*H1434),"-")</f>
        <v>-</v>
      </c>
      <c r="J1434" s="113">
        <v>286</v>
      </c>
      <c r="K1434" s="110" t="s">
        <v>129</v>
      </c>
      <c r="L1434" s="110" t="s">
        <v>5892</v>
      </c>
      <c r="M1434" s="110" t="s">
        <v>129</v>
      </c>
      <c r="N1434" s="110" t="s">
        <v>944</v>
      </c>
      <c r="O1434" s="110" t="s">
        <v>5925</v>
      </c>
      <c r="P1434" s="110" t="s">
        <v>4520</v>
      </c>
      <c r="Q1434" s="110" t="s">
        <v>96</v>
      </c>
      <c r="R1434" s="121">
        <v>0.1628</v>
      </c>
      <c r="S1434" s="113" t="e">
        <f t="shared" si="44"/>
        <v>#VALUE!</v>
      </c>
      <c r="T1434" s="113">
        <f t="shared" si="45"/>
        <v>0</v>
      </c>
    </row>
    <row r="1435" spans="1:20" s="109" customFormat="1" x14ac:dyDescent="0.2">
      <c r="A1435" s="116"/>
      <c r="B1435" s="111" t="s">
        <v>1037</v>
      </c>
      <c r="C1435" s="110" t="s">
        <v>5926</v>
      </c>
      <c r="D1435" s="110" t="s">
        <v>5927</v>
      </c>
      <c r="E1435" s="112" t="s">
        <v>5928</v>
      </c>
      <c r="F1435" s="111" t="s">
        <v>4518</v>
      </c>
      <c r="G1435" s="133">
        <v>17</v>
      </c>
      <c r="H1435" s="124"/>
      <c r="I1435" s="133" t="str">
        <f>IF(H1435&gt;0,(#REF!*H1435),"-")</f>
        <v>-</v>
      </c>
      <c r="J1435" s="113">
        <v>286</v>
      </c>
      <c r="K1435" s="110" t="s">
        <v>129</v>
      </c>
      <c r="L1435" s="110" t="s">
        <v>5892</v>
      </c>
      <c r="M1435" s="110" t="s">
        <v>129</v>
      </c>
      <c r="N1435" s="110" t="s">
        <v>944</v>
      </c>
      <c r="O1435" s="110" t="s">
        <v>5929</v>
      </c>
      <c r="P1435" s="110" t="s">
        <v>4520</v>
      </c>
      <c r="Q1435" s="110" t="s">
        <v>96</v>
      </c>
      <c r="R1435" s="121">
        <v>0.1628</v>
      </c>
      <c r="S1435" s="113" t="e">
        <f t="shared" si="44"/>
        <v>#VALUE!</v>
      </c>
      <c r="T1435" s="113">
        <f t="shared" si="45"/>
        <v>0</v>
      </c>
    </row>
    <row r="1436" spans="1:20" s="109" customFormat="1" x14ac:dyDescent="0.2">
      <c r="A1436" s="116"/>
      <c r="B1436" s="111" t="s">
        <v>1037</v>
      </c>
      <c r="C1436" s="110" t="s">
        <v>5930</v>
      </c>
      <c r="D1436" s="110" t="s">
        <v>5931</v>
      </c>
      <c r="E1436" s="112" t="s">
        <v>5932</v>
      </c>
      <c r="F1436" s="111" t="s">
        <v>4518</v>
      </c>
      <c r="G1436" s="133">
        <v>17</v>
      </c>
      <c r="H1436" s="124"/>
      <c r="I1436" s="133" t="str">
        <f>IF(H1436&gt;0,(#REF!*H1436),"-")</f>
        <v>-</v>
      </c>
      <c r="J1436" s="113">
        <v>286</v>
      </c>
      <c r="K1436" s="110" t="s">
        <v>129</v>
      </c>
      <c r="L1436" s="110" t="s">
        <v>5892</v>
      </c>
      <c r="M1436" s="110" t="s">
        <v>129</v>
      </c>
      <c r="N1436" s="110" t="s">
        <v>944</v>
      </c>
      <c r="O1436" s="110" t="s">
        <v>5933</v>
      </c>
      <c r="P1436" s="110" t="s">
        <v>4520</v>
      </c>
      <c r="Q1436" s="110" t="s">
        <v>96</v>
      </c>
      <c r="R1436" s="121">
        <v>0.1628</v>
      </c>
      <c r="S1436" s="113" t="e">
        <f t="shared" si="44"/>
        <v>#VALUE!</v>
      </c>
      <c r="T1436" s="113">
        <f t="shared" si="45"/>
        <v>0</v>
      </c>
    </row>
    <row r="1437" spans="1:20" s="109" customFormat="1" x14ac:dyDescent="0.2">
      <c r="A1437" s="116"/>
      <c r="B1437" s="111" t="s">
        <v>1037</v>
      </c>
      <c r="C1437" s="110" t="s">
        <v>5934</v>
      </c>
      <c r="D1437" s="110" t="s">
        <v>5935</v>
      </c>
      <c r="E1437" s="112" t="s">
        <v>5936</v>
      </c>
      <c r="F1437" s="111" t="s">
        <v>4518</v>
      </c>
      <c r="G1437" s="133">
        <v>17</v>
      </c>
      <c r="H1437" s="124"/>
      <c r="I1437" s="133" t="str">
        <f>IF(H1437&gt;0,(#REF!*H1437),"-")</f>
        <v>-</v>
      </c>
      <c r="J1437" s="113">
        <v>286</v>
      </c>
      <c r="K1437" s="110" t="s">
        <v>129</v>
      </c>
      <c r="L1437" s="110" t="s">
        <v>5892</v>
      </c>
      <c r="M1437" s="110" t="s">
        <v>129</v>
      </c>
      <c r="N1437" s="110" t="s">
        <v>944</v>
      </c>
      <c r="O1437" s="110" t="s">
        <v>5937</v>
      </c>
      <c r="P1437" s="110" t="s">
        <v>4520</v>
      </c>
      <c r="Q1437" s="110" t="s">
        <v>96</v>
      </c>
      <c r="R1437" s="121">
        <v>0.1628</v>
      </c>
      <c r="S1437" s="113" t="e">
        <f t="shared" si="44"/>
        <v>#VALUE!</v>
      </c>
      <c r="T1437" s="113">
        <f t="shared" si="45"/>
        <v>0</v>
      </c>
    </row>
    <row r="1438" spans="1:20" s="109" customFormat="1" x14ac:dyDescent="0.2">
      <c r="A1438" s="116"/>
      <c r="B1438" s="111" t="s">
        <v>289</v>
      </c>
      <c r="C1438" s="110" t="s">
        <v>5938</v>
      </c>
      <c r="D1438" s="110" t="s">
        <v>5939</v>
      </c>
      <c r="E1438" s="112" t="s">
        <v>5940</v>
      </c>
      <c r="F1438" s="111" t="s">
        <v>4518</v>
      </c>
      <c r="G1438" s="133">
        <v>17</v>
      </c>
      <c r="H1438" s="124"/>
      <c r="I1438" s="133" t="str">
        <f>IF(H1438&gt;0,(#REF!*H1438),"-")</f>
        <v>-</v>
      </c>
      <c r="J1438" s="113">
        <v>286</v>
      </c>
      <c r="K1438" s="110" t="s">
        <v>129</v>
      </c>
      <c r="L1438" s="110" t="s">
        <v>5892</v>
      </c>
      <c r="M1438" s="110" t="s">
        <v>129</v>
      </c>
      <c r="N1438" s="110" t="s">
        <v>944</v>
      </c>
      <c r="O1438" s="110" t="s">
        <v>5941</v>
      </c>
      <c r="P1438" s="110" t="s">
        <v>4520</v>
      </c>
      <c r="Q1438" s="110" t="s">
        <v>96</v>
      </c>
      <c r="R1438" s="121">
        <v>0.1628</v>
      </c>
      <c r="S1438" s="113" t="e">
        <f t="shared" si="44"/>
        <v>#VALUE!</v>
      </c>
      <c r="T1438" s="113">
        <f t="shared" si="45"/>
        <v>0</v>
      </c>
    </row>
    <row r="1439" spans="1:20" s="109" customFormat="1" x14ac:dyDescent="0.2">
      <c r="A1439" s="116"/>
      <c r="B1439" s="111" t="s">
        <v>1037</v>
      </c>
      <c r="C1439" s="110" t="s">
        <v>5942</v>
      </c>
      <c r="D1439" s="110" t="s">
        <v>5943</v>
      </c>
      <c r="E1439" s="112" t="s">
        <v>5944</v>
      </c>
      <c r="F1439" s="111" t="s">
        <v>4518</v>
      </c>
      <c r="G1439" s="133">
        <v>17</v>
      </c>
      <c r="H1439" s="124"/>
      <c r="I1439" s="133" t="str">
        <f>IF(H1439&gt;0,(#REF!*H1439),"-")</f>
        <v>-</v>
      </c>
      <c r="J1439" s="113">
        <v>286</v>
      </c>
      <c r="K1439" s="110" t="s">
        <v>129</v>
      </c>
      <c r="L1439" s="110" t="s">
        <v>5892</v>
      </c>
      <c r="M1439" s="110" t="s">
        <v>129</v>
      </c>
      <c r="N1439" s="110" t="s">
        <v>944</v>
      </c>
      <c r="O1439" s="110" t="s">
        <v>5945</v>
      </c>
      <c r="P1439" s="110" t="s">
        <v>4520</v>
      </c>
      <c r="Q1439" s="110" t="s">
        <v>96</v>
      </c>
      <c r="R1439" s="121">
        <v>0.1628</v>
      </c>
      <c r="S1439" s="113" t="e">
        <f t="shared" si="44"/>
        <v>#VALUE!</v>
      </c>
      <c r="T1439" s="113">
        <f t="shared" si="45"/>
        <v>0</v>
      </c>
    </row>
    <row r="1440" spans="1:20" s="109" customFormat="1" x14ac:dyDescent="0.2">
      <c r="A1440" s="116"/>
      <c r="B1440" s="111" t="s">
        <v>959</v>
      </c>
      <c r="C1440" s="110" t="s">
        <v>5946</v>
      </c>
      <c r="D1440" s="110" t="s">
        <v>5947</v>
      </c>
      <c r="E1440" s="112" t="s">
        <v>5948</v>
      </c>
      <c r="F1440" s="111" t="s">
        <v>4518</v>
      </c>
      <c r="G1440" s="133">
        <v>17</v>
      </c>
      <c r="H1440" s="124"/>
      <c r="I1440" s="133" t="str">
        <f>IF(H1440&gt;0,(#REF!*H1440),"-")</f>
        <v>-</v>
      </c>
      <c r="J1440" s="113">
        <v>286</v>
      </c>
      <c r="K1440" s="110" t="s">
        <v>129</v>
      </c>
      <c r="L1440" s="110" t="s">
        <v>5892</v>
      </c>
      <c r="M1440" s="110" t="s">
        <v>129</v>
      </c>
      <c r="N1440" s="110" t="s">
        <v>944</v>
      </c>
      <c r="O1440" s="110" t="s">
        <v>5949</v>
      </c>
      <c r="P1440" s="110" t="s">
        <v>4520</v>
      </c>
      <c r="Q1440" s="110" t="s">
        <v>96</v>
      </c>
      <c r="R1440" s="121">
        <v>0.1628</v>
      </c>
      <c r="S1440" s="113" t="e">
        <f t="shared" si="44"/>
        <v>#VALUE!</v>
      </c>
      <c r="T1440" s="113">
        <f t="shared" si="45"/>
        <v>0</v>
      </c>
    </row>
    <row r="1441" spans="1:20" s="109" customFormat="1" x14ac:dyDescent="0.2">
      <c r="A1441" s="116"/>
      <c r="B1441" s="111" t="s">
        <v>5299</v>
      </c>
      <c r="C1441" s="110" t="s">
        <v>5950</v>
      </c>
      <c r="D1441" s="110" t="s">
        <v>5951</v>
      </c>
      <c r="E1441" s="112" t="s">
        <v>5952</v>
      </c>
      <c r="F1441" s="111" t="s">
        <v>4518</v>
      </c>
      <c r="G1441" s="133">
        <v>17</v>
      </c>
      <c r="H1441" s="124"/>
      <c r="I1441" s="133" t="str">
        <f>IF(H1441&gt;0,(#REF!*H1441),"-")</f>
        <v>-</v>
      </c>
      <c r="J1441" s="113">
        <v>286</v>
      </c>
      <c r="K1441" s="110" t="s">
        <v>129</v>
      </c>
      <c r="L1441" s="110" t="s">
        <v>5892</v>
      </c>
      <c r="M1441" s="110" t="s">
        <v>129</v>
      </c>
      <c r="N1441" s="110" t="s">
        <v>944</v>
      </c>
      <c r="O1441" s="110" t="s">
        <v>5953</v>
      </c>
      <c r="P1441" s="110" t="s">
        <v>4520</v>
      </c>
      <c r="Q1441" s="110" t="s">
        <v>96</v>
      </c>
      <c r="R1441" s="121">
        <v>0.1628</v>
      </c>
      <c r="S1441" s="113" t="e">
        <f t="shared" si="44"/>
        <v>#VALUE!</v>
      </c>
      <c r="T1441" s="113">
        <f t="shared" si="45"/>
        <v>0</v>
      </c>
    </row>
    <row r="1442" spans="1:20" s="109" customFormat="1" x14ac:dyDescent="0.2">
      <c r="A1442" s="116"/>
      <c r="B1442" s="111" t="s">
        <v>1037</v>
      </c>
      <c r="C1442" s="110" t="s">
        <v>5954</v>
      </c>
      <c r="D1442" s="110" t="s">
        <v>5955</v>
      </c>
      <c r="E1442" s="112" t="s">
        <v>5956</v>
      </c>
      <c r="F1442" s="111" t="s">
        <v>4518</v>
      </c>
      <c r="G1442" s="133">
        <v>17</v>
      </c>
      <c r="H1442" s="124"/>
      <c r="I1442" s="133" t="str">
        <f>IF(H1442&gt;0,(#REF!*H1442),"-")</f>
        <v>-</v>
      </c>
      <c r="J1442" s="113">
        <v>286</v>
      </c>
      <c r="K1442" s="110" t="s">
        <v>129</v>
      </c>
      <c r="L1442" s="110" t="s">
        <v>5892</v>
      </c>
      <c r="M1442" s="110" t="s">
        <v>129</v>
      </c>
      <c r="N1442" s="110" t="s">
        <v>944</v>
      </c>
      <c r="O1442" s="110" t="s">
        <v>5957</v>
      </c>
      <c r="P1442" s="110" t="s">
        <v>4520</v>
      </c>
      <c r="Q1442" s="110" t="s">
        <v>96</v>
      </c>
      <c r="R1442" s="121">
        <v>0.15</v>
      </c>
      <c r="S1442" s="113" t="e">
        <f t="shared" si="44"/>
        <v>#VALUE!</v>
      </c>
      <c r="T1442" s="113">
        <f t="shared" si="45"/>
        <v>0</v>
      </c>
    </row>
    <row r="1443" spans="1:20" s="109" customFormat="1" x14ac:dyDescent="0.2">
      <c r="A1443" s="116"/>
      <c r="B1443" s="111" t="s">
        <v>1037</v>
      </c>
      <c r="C1443" s="110" t="s">
        <v>5958</v>
      </c>
      <c r="D1443" s="110" t="s">
        <v>5959</v>
      </c>
      <c r="E1443" s="112" t="s">
        <v>5960</v>
      </c>
      <c r="F1443" s="111" t="s">
        <v>4518</v>
      </c>
      <c r="G1443" s="133">
        <v>17</v>
      </c>
      <c r="H1443" s="124"/>
      <c r="I1443" s="133" t="str">
        <f>IF(H1443&gt;0,(#REF!*H1443),"-")</f>
        <v>-</v>
      </c>
      <c r="J1443" s="113">
        <v>286</v>
      </c>
      <c r="K1443" s="110" t="s">
        <v>129</v>
      </c>
      <c r="L1443" s="110" t="s">
        <v>5892</v>
      </c>
      <c r="M1443" s="110" t="s">
        <v>129</v>
      </c>
      <c r="N1443" s="110" t="s">
        <v>944</v>
      </c>
      <c r="O1443" s="110" t="s">
        <v>5961</v>
      </c>
      <c r="P1443" s="110" t="s">
        <v>4520</v>
      </c>
      <c r="Q1443" s="110" t="s">
        <v>96</v>
      </c>
      <c r="R1443" s="121">
        <v>0.15</v>
      </c>
      <c r="S1443" s="113" t="e">
        <f t="shared" si="44"/>
        <v>#VALUE!</v>
      </c>
      <c r="T1443" s="113">
        <f t="shared" si="45"/>
        <v>0</v>
      </c>
    </row>
    <row r="1444" spans="1:20" s="109" customFormat="1" x14ac:dyDescent="0.2">
      <c r="A1444" s="116"/>
      <c r="B1444" s="111" t="s">
        <v>959</v>
      </c>
      <c r="C1444" s="110" t="s">
        <v>5962</v>
      </c>
      <c r="D1444" s="110" t="s">
        <v>5963</v>
      </c>
      <c r="E1444" s="112" t="s">
        <v>5964</v>
      </c>
      <c r="F1444" s="111" t="s">
        <v>4518</v>
      </c>
      <c r="G1444" s="133">
        <v>17</v>
      </c>
      <c r="H1444" s="124"/>
      <c r="I1444" s="133" t="str">
        <f>IF(H1444&gt;0,(#REF!*H1444),"-")</f>
        <v>-</v>
      </c>
      <c r="J1444" s="113">
        <v>286</v>
      </c>
      <c r="K1444" s="110" t="s">
        <v>129</v>
      </c>
      <c r="L1444" s="110" t="s">
        <v>5892</v>
      </c>
      <c r="M1444" s="110" t="s">
        <v>129</v>
      </c>
      <c r="N1444" s="110" t="s">
        <v>944</v>
      </c>
      <c r="O1444" s="110" t="s">
        <v>5965</v>
      </c>
      <c r="P1444" s="110" t="s">
        <v>4520</v>
      </c>
      <c r="Q1444" s="110" t="s">
        <v>96</v>
      </c>
      <c r="R1444" s="121">
        <v>0.15</v>
      </c>
      <c r="S1444" s="113" t="e">
        <f t="shared" si="44"/>
        <v>#VALUE!</v>
      </c>
      <c r="T1444" s="113">
        <f t="shared" si="45"/>
        <v>0</v>
      </c>
    </row>
    <row r="1445" spans="1:20" s="109" customFormat="1" x14ac:dyDescent="0.2">
      <c r="A1445" s="116"/>
      <c r="B1445" s="111" t="s">
        <v>5299</v>
      </c>
      <c r="C1445" s="110" t="s">
        <v>5966</v>
      </c>
      <c r="D1445" s="110" t="s">
        <v>5967</v>
      </c>
      <c r="E1445" s="112" t="s">
        <v>5968</v>
      </c>
      <c r="F1445" s="111" t="s">
        <v>4518</v>
      </c>
      <c r="G1445" s="133">
        <v>17</v>
      </c>
      <c r="H1445" s="124"/>
      <c r="I1445" s="133" t="str">
        <f>IF(H1445&gt;0,(#REF!*H1445),"-")</f>
        <v>-</v>
      </c>
      <c r="J1445" s="113">
        <v>286</v>
      </c>
      <c r="K1445" s="110" t="s">
        <v>129</v>
      </c>
      <c r="L1445" s="110" t="s">
        <v>5892</v>
      </c>
      <c r="M1445" s="110" t="s">
        <v>129</v>
      </c>
      <c r="N1445" s="110" t="s">
        <v>944</v>
      </c>
      <c r="O1445" s="110" t="s">
        <v>5969</v>
      </c>
      <c r="P1445" s="110" t="s">
        <v>4520</v>
      </c>
      <c r="Q1445" s="110" t="s">
        <v>96</v>
      </c>
      <c r="R1445" s="121">
        <v>0.15</v>
      </c>
      <c r="S1445" s="113" t="e">
        <f t="shared" si="44"/>
        <v>#VALUE!</v>
      </c>
      <c r="T1445" s="113">
        <f t="shared" si="45"/>
        <v>0</v>
      </c>
    </row>
    <row r="1446" spans="1:20" s="109" customFormat="1" x14ac:dyDescent="0.2">
      <c r="A1446" s="116"/>
      <c r="B1446" s="111" t="s">
        <v>1037</v>
      </c>
      <c r="C1446" s="110" t="s">
        <v>5970</v>
      </c>
      <c r="D1446" s="110" t="s">
        <v>5971</v>
      </c>
      <c r="E1446" s="112" t="s">
        <v>5972</v>
      </c>
      <c r="F1446" s="111" t="s">
        <v>4518</v>
      </c>
      <c r="G1446" s="133">
        <v>17</v>
      </c>
      <c r="H1446" s="124"/>
      <c r="I1446" s="133" t="str">
        <f>IF(H1446&gt;0,(#REF!*H1446),"-")</f>
        <v>-</v>
      </c>
      <c r="J1446" s="113">
        <v>286</v>
      </c>
      <c r="K1446" s="110" t="s">
        <v>129</v>
      </c>
      <c r="L1446" s="110" t="s">
        <v>5892</v>
      </c>
      <c r="M1446" s="110" t="s">
        <v>129</v>
      </c>
      <c r="N1446" s="110" t="s">
        <v>944</v>
      </c>
      <c r="O1446" s="110" t="s">
        <v>5973</v>
      </c>
      <c r="P1446" s="110" t="s">
        <v>4520</v>
      </c>
      <c r="Q1446" s="110" t="s">
        <v>96</v>
      </c>
      <c r="R1446" s="121">
        <v>0.15</v>
      </c>
      <c r="S1446" s="113" t="e">
        <f t="shared" si="44"/>
        <v>#VALUE!</v>
      </c>
      <c r="T1446" s="113">
        <f t="shared" si="45"/>
        <v>0</v>
      </c>
    </row>
    <row r="1447" spans="1:20" s="109" customFormat="1" x14ac:dyDescent="0.2">
      <c r="A1447" s="116"/>
      <c r="B1447" s="111" t="s">
        <v>5299</v>
      </c>
      <c r="C1447" s="110" t="s">
        <v>5974</v>
      </c>
      <c r="D1447" s="110" t="s">
        <v>5975</v>
      </c>
      <c r="E1447" s="112" t="s">
        <v>5976</v>
      </c>
      <c r="F1447" s="111" t="s">
        <v>4518</v>
      </c>
      <c r="G1447" s="133">
        <v>17</v>
      </c>
      <c r="H1447" s="124"/>
      <c r="I1447" s="133" t="str">
        <f>IF(H1447&gt;0,(#REF!*H1447),"-")</f>
        <v>-</v>
      </c>
      <c r="J1447" s="113">
        <v>286</v>
      </c>
      <c r="K1447" s="110" t="s">
        <v>129</v>
      </c>
      <c r="L1447" s="110" t="s">
        <v>5892</v>
      </c>
      <c r="M1447" s="110" t="s">
        <v>129</v>
      </c>
      <c r="N1447" s="110" t="s">
        <v>944</v>
      </c>
      <c r="O1447" s="110" t="s">
        <v>5977</v>
      </c>
      <c r="P1447" s="110" t="s">
        <v>4520</v>
      </c>
      <c r="Q1447" s="110" t="s">
        <v>96</v>
      </c>
      <c r="R1447" s="121">
        <v>0.15</v>
      </c>
      <c r="S1447" s="113" t="e">
        <f t="shared" si="44"/>
        <v>#VALUE!</v>
      </c>
      <c r="T1447" s="113">
        <f t="shared" si="45"/>
        <v>0</v>
      </c>
    </row>
    <row r="1448" spans="1:20" s="109" customFormat="1" x14ac:dyDescent="0.2">
      <c r="A1448" s="116"/>
      <c r="B1448" s="111" t="s">
        <v>1037</v>
      </c>
      <c r="C1448" s="110" t="s">
        <v>5978</v>
      </c>
      <c r="D1448" s="110" t="s">
        <v>5979</v>
      </c>
      <c r="E1448" s="112" t="s">
        <v>5980</v>
      </c>
      <c r="F1448" s="111" t="s">
        <v>4518</v>
      </c>
      <c r="G1448" s="133">
        <v>17</v>
      </c>
      <c r="H1448" s="124"/>
      <c r="I1448" s="133" t="str">
        <f>IF(H1448&gt;0,(#REF!*H1448),"-")</f>
        <v>-</v>
      </c>
      <c r="J1448" s="113">
        <v>286</v>
      </c>
      <c r="K1448" s="110" t="s">
        <v>129</v>
      </c>
      <c r="L1448" s="110" t="s">
        <v>5892</v>
      </c>
      <c r="M1448" s="110" t="s">
        <v>129</v>
      </c>
      <c r="N1448" s="110" t="s">
        <v>944</v>
      </c>
      <c r="O1448" s="110" t="s">
        <v>5981</v>
      </c>
      <c r="P1448" s="110" t="s">
        <v>4520</v>
      </c>
      <c r="Q1448" s="110" t="s">
        <v>96</v>
      </c>
      <c r="R1448" s="121">
        <v>0.15</v>
      </c>
      <c r="S1448" s="113" t="e">
        <f t="shared" si="44"/>
        <v>#VALUE!</v>
      </c>
      <c r="T1448" s="113">
        <f t="shared" si="45"/>
        <v>0</v>
      </c>
    </row>
    <row r="1449" spans="1:20" s="109" customFormat="1" x14ac:dyDescent="0.2">
      <c r="A1449" s="116"/>
      <c r="B1449" s="111" t="s">
        <v>1037</v>
      </c>
      <c r="C1449" s="110" t="s">
        <v>5982</v>
      </c>
      <c r="D1449" s="110" t="s">
        <v>5983</v>
      </c>
      <c r="E1449" s="112" t="s">
        <v>5984</v>
      </c>
      <c r="F1449" s="111" t="s">
        <v>4518</v>
      </c>
      <c r="G1449" s="133">
        <v>17</v>
      </c>
      <c r="H1449" s="124"/>
      <c r="I1449" s="133" t="str">
        <f>IF(H1449&gt;0,(#REF!*H1449),"-")</f>
        <v>-</v>
      </c>
      <c r="J1449" s="113">
        <v>286</v>
      </c>
      <c r="K1449" s="110" t="s">
        <v>129</v>
      </c>
      <c r="L1449" s="110" t="s">
        <v>5892</v>
      </c>
      <c r="M1449" s="110" t="s">
        <v>129</v>
      </c>
      <c r="N1449" s="110" t="s">
        <v>944</v>
      </c>
      <c r="O1449" s="110" t="s">
        <v>5985</v>
      </c>
      <c r="P1449" s="110" t="s">
        <v>4520</v>
      </c>
      <c r="Q1449" s="110" t="s">
        <v>96</v>
      </c>
      <c r="R1449" s="121">
        <v>0.15</v>
      </c>
      <c r="S1449" s="113" t="e">
        <f t="shared" si="44"/>
        <v>#VALUE!</v>
      </c>
      <c r="T1449" s="113">
        <f t="shared" si="45"/>
        <v>0</v>
      </c>
    </row>
    <row r="1450" spans="1:20" s="109" customFormat="1" x14ac:dyDescent="0.2">
      <c r="A1450" s="116"/>
      <c r="B1450" s="111" t="s">
        <v>5299</v>
      </c>
      <c r="C1450" s="110" t="s">
        <v>5986</v>
      </c>
      <c r="D1450" s="110" t="s">
        <v>5987</v>
      </c>
      <c r="E1450" s="112" t="s">
        <v>5988</v>
      </c>
      <c r="F1450" s="111" t="s">
        <v>4518</v>
      </c>
      <c r="G1450" s="133">
        <v>17</v>
      </c>
      <c r="H1450" s="124"/>
      <c r="I1450" s="133" t="str">
        <f>IF(H1450&gt;0,(#REF!*H1450),"-")</f>
        <v>-</v>
      </c>
      <c r="J1450" s="113">
        <v>286</v>
      </c>
      <c r="K1450" s="110" t="s">
        <v>129</v>
      </c>
      <c r="L1450" s="110" t="s">
        <v>5892</v>
      </c>
      <c r="M1450" s="110" t="s">
        <v>129</v>
      </c>
      <c r="N1450" s="110" t="s">
        <v>944</v>
      </c>
      <c r="O1450" s="110" t="s">
        <v>5989</v>
      </c>
      <c r="P1450" s="110" t="s">
        <v>4520</v>
      </c>
      <c r="Q1450" s="110" t="s">
        <v>96</v>
      </c>
      <c r="R1450" s="121">
        <v>0.15</v>
      </c>
      <c r="S1450" s="113" t="e">
        <f t="shared" si="44"/>
        <v>#VALUE!</v>
      </c>
      <c r="T1450" s="113">
        <f t="shared" si="45"/>
        <v>0</v>
      </c>
    </row>
    <row r="1451" spans="1:20" s="109" customFormat="1" x14ac:dyDescent="0.2">
      <c r="A1451" s="116"/>
      <c r="B1451" s="111" t="s">
        <v>5299</v>
      </c>
      <c r="C1451" s="110" t="s">
        <v>5990</v>
      </c>
      <c r="D1451" s="110" t="s">
        <v>5991</v>
      </c>
      <c r="E1451" s="112" t="s">
        <v>5992</v>
      </c>
      <c r="F1451" s="111" t="s">
        <v>4518</v>
      </c>
      <c r="G1451" s="133">
        <v>17</v>
      </c>
      <c r="H1451" s="124"/>
      <c r="I1451" s="133" t="str">
        <f>IF(H1451&gt;0,(#REF!*H1451),"-")</f>
        <v>-</v>
      </c>
      <c r="J1451" s="113">
        <v>286</v>
      </c>
      <c r="K1451" s="110" t="s">
        <v>129</v>
      </c>
      <c r="L1451" s="110" t="s">
        <v>5892</v>
      </c>
      <c r="M1451" s="110" t="s">
        <v>129</v>
      </c>
      <c r="N1451" s="110" t="s">
        <v>944</v>
      </c>
      <c r="O1451" s="110" t="s">
        <v>5993</v>
      </c>
      <c r="P1451" s="110" t="s">
        <v>4520</v>
      </c>
      <c r="Q1451" s="110" t="s">
        <v>96</v>
      </c>
      <c r="R1451" s="121">
        <v>0.15</v>
      </c>
      <c r="S1451" s="113" t="e">
        <f t="shared" si="44"/>
        <v>#VALUE!</v>
      </c>
      <c r="T1451" s="113">
        <f t="shared" si="45"/>
        <v>0</v>
      </c>
    </row>
    <row r="1452" spans="1:20" s="109" customFormat="1" x14ac:dyDescent="0.2">
      <c r="A1452" s="116"/>
      <c r="B1452" s="111" t="s">
        <v>5299</v>
      </c>
      <c r="C1452" s="110" t="s">
        <v>5994</v>
      </c>
      <c r="D1452" s="110" t="s">
        <v>5995</v>
      </c>
      <c r="E1452" s="112" t="s">
        <v>5996</v>
      </c>
      <c r="F1452" s="111" t="s">
        <v>4518</v>
      </c>
      <c r="G1452" s="133">
        <v>17</v>
      </c>
      <c r="H1452" s="124"/>
      <c r="I1452" s="133" t="str">
        <f>IF(H1452&gt;0,(#REF!*H1452),"-")</f>
        <v>-</v>
      </c>
      <c r="J1452" s="113">
        <v>286</v>
      </c>
      <c r="K1452" s="110" t="s">
        <v>129</v>
      </c>
      <c r="L1452" s="110" t="s">
        <v>5892</v>
      </c>
      <c r="M1452" s="110" t="s">
        <v>129</v>
      </c>
      <c r="N1452" s="110" t="s">
        <v>944</v>
      </c>
      <c r="O1452" s="110" t="s">
        <v>5997</v>
      </c>
      <c r="P1452" s="110" t="s">
        <v>4520</v>
      </c>
      <c r="Q1452" s="110" t="s">
        <v>96</v>
      </c>
      <c r="R1452" s="121">
        <v>0.15</v>
      </c>
      <c r="S1452" s="113" t="e">
        <f t="shared" si="44"/>
        <v>#VALUE!</v>
      </c>
      <c r="T1452" s="113">
        <f t="shared" si="45"/>
        <v>0</v>
      </c>
    </row>
    <row r="1453" spans="1:20" s="109" customFormat="1" x14ac:dyDescent="0.2">
      <c r="A1453" s="116"/>
      <c r="B1453" s="111" t="s">
        <v>1037</v>
      </c>
      <c r="C1453" s="110" t="s">
        <v>5998</v>
      </c>
      <c r="D1453" s="110" t="s">
        <v>5999</v>
      </c>
      <c r="E1453" s="112" t="s">
        <v>6000</v>
      </c>
      <c r="F1453" s="111" t="s">
        <v>4518</v>
      </c>
      <c r="G1453" s="133">
        <v>17</v>
      </c>
      <c r="H1453" s="124"/>
      <c r="I1453" s="133" t="str">
        <f>IF(H1453&gt;0,(#REF!*H1453),"-")</f>
        <v>-</v>
      </c>
      <c r="J1453" s="113">
        <v>286</v>
      </c>
      <c r="K1453" s="110" t="s">
        <v>129</v>
      </c>
      <c r="L1453" s="110" t="s">
        <v>5892</v>
      </c>
      <c r="M1453" s="110" t="s">
        <v>129</v>
      </c>
      <c r="N1453" s="110" t="s">
        <v>944</v>
      </c>
      <c r="O1453" s="110" t="s">
        <v>6001</v>
      </c>
      <c r="P1453" s="110" t="s">
        <v>4520</v>
      </c>
      <c r="Q1453" s="110" t="s">
        <v>96</v>
      </c>
      <c r="R1453" s="121">
        <v>0.15</v>
      </c>
      <c r="S1453" s="113" t="e">
        <f t="shared" si="44"/>
        <v>#VALUE!</v>
      </c>
      <c r="T1453" s="113">
        <f t="shared" si="45"/>
        <v>0</v>
      </c>
    </row>
    <row r="1454" spans="1:20" s="109" customFormat="1" x14ac:dyDescent="0.2">
      <c r="A1454" s="116"/>
      <c r="B1454" s="111" t="s">
        <v>1037</v>
      </c>
      <c r="C1454" s="110" t="s">
        <v>6002</v>
      </c>
      <c r="D1454" s="110" t="s">
        <v>6003</v>
      </c>
      <c r="E1454" s="112" t="s">
        <v>6004</v>
      </c>
      <c r="F1454" s="111" t="s">
        <v>4518</v>
      </c>
      <c r="G1454" s="133">
        <v>17</v>
      </c>
      <c r="H1454" s="124"/>
      <c r="I1454" s="133" t="str">
        <f>IF(H1454&gt;0,(#REF!*H1454),"-")</f>
        <v>-</v>
      </c>
      <c r="J1454" s="113">
        <v>286</v>
      </c>
      <c r="K1454" s="110" t="s">
        <v>129</v>
      </c>
      <c r="L1454" s="110" t="s">
        <v>5892</v>
      </c>
      <c r="M1454" s="110" t="s">
        <v>129</v>
      </c>
      <c r="N1454" s="110" t="s">
        <v>944</v>
      </c>
      <c r="O1454" s="110" t="s">
        <v>6005</v>
      </c>
      <c r="P1454" s="110" t="s">
        <v>4520</v>
      </c>
      <c r="Q1454" s="110" t="s">
        <v>96</v>
      </c>
      <c r="R1454" s="121">
        <v>0.15</v>
      </c>
      <c r="S1454" s="113" t="e">
        <f t="shared" si="44"/>
        <v>#VALUE!</v>
      </c>
      <c r="T1454" s="113">
        <f t="shared" si="45"/>
        <v>0</v>
      </c>
    </row>
    <row r="1455" spans="1:20" s="109" customFormat="1" x14ac:dyDescent="0.2">
      <c r="A1455" s="116"/>
      <c r="B1455" s="111" t="s">
        <v>959</v>
      </c>
      <c r="C1455" s="110" t="s">
        <v>6006</v>
      </c>
      <c r="D1455" s="110" t="s">
        <v>6007</v>
      </c>
      <c r="E1455" s="112" t="s">
        <v>6008</v>
      </c>
      <c r="F1455" s="111" t="s">
        <v>4518</v>
      </c>
      <c r="G1455" s="133">
        <v>17</v>
      </c>
      <c r="H1455" s="124"/>
      <c r="I1455" s="133" t="str">
        <f>IF(H1455&gt;0,(#REF!*H1455),"-")</f>
        <v>-</v>
      </c>
      <c r="J1455" s="113">
        <v>286</v>
      </c>
      <c r="K1455" s="110" t="s">
        <v>129</v>
      </c>
      <c r="L1455" s="110" t="s">
        <v>5892</v>
      </c>
      <c r="M1455" s="110" t="s">
        <v>129</v>
      </c>
      <c r="N1455" s="110" t="s">
        <v>944</v>
      </c>
      <c r="O1455" s="110" t="s">
        <v>6009</v>
      </c>
      <c r="P1455" s="110" t="s">
        <v>4520</v>
      </c>
      <c r="Q1455" s="110" t="s">
        <v>96</v>
      </c>
      <c r="R1455" s="121">
        <v>0.15</v>
      </c>
      <c r="S1455" s="113" t="e">
        <f t="shared" si="44"/>
        <v>#VALUE!</v>
      </c>
      <c r="T1455" s="113">
        <f t="shared" si="45"/>
        <v>0</v>
      </c>
    </row>
    <row r="1456" spans="1:20" s="109" customFormat="1" x14ac:dyDescent="0.2">
      <c r="A1456" s="116"/>
      <c r="B1456" s="111" t="s">
        <v>959</v>
      </c>
      <c r="C1456" s="110" t="s">
        <v>6010</v>
      </c>
      <c r="D1456" s="110" t="s">
        <v>6011</v>
      </c>
      <c r="E1456" s="112" t="s">
        <v>6012</v>
      </c>
      <c r="F1456" s="111" t="s">
        <v>4518</v>
      </c>
      <c r="G1456" s="133">
        <v>17</v>
      </c>
      <c r="H1456" s="124"/>
      <c r="I1456" s="133" t="str">
        <f>IF(H1456&gt;0,(#REF!*H1456),"-")</f>
        <v>-</v>
      </c>
      <c r="J1456" s="113">
        <v>286</v>
      </c>
      <c r="K1456" s="110" t="s">
        <v>129</v>
      </c>
      <c r="L1456" s="110" t="s">
        <v>5892</v>
      </c>
      <c r="M1456" s="110" t="s">
        <v>129</v>
      </c>
      <c r="N1456" s="110" t="s">
        <v>944</v>
      </c>
      <c r="O1456" s="110" t="s">
        <v>6013</v>
      </c>
      <c r="P1456" s="110" t="s">
        <v>4520</v>
      </c>
      <c r="Q1456" s="110" t="s">
        <v>96</v>
      </c>
      <c r="R1456" s="121">
        <v>0.15</v>
      </c>
      <c r="S1456" s="113" t="e">
        <f t="shared" si="44"/>
        <v>#VALUE!</v>
      </c>
      <c r="T1456" s="113">
        <f t="shared" si="45"/>
        <v>0</v>
      </c>
    </row>
    <row r="1457" spans="1:20" s="109" customFormat="1" x14ac:dyDescent="0.2">
      <c r="A1457" s="116"/>
      <c r="B1457" s="111"/>
      <c r="C1457" s="110" t="s">
        <v>6014</v>
      </c>
      <c r="D1457" s="110" t="s">
        <v>6015</v>
      </c>
      <c r="E1457" s="112" t="s">
        <v>6016</v>
      </c>
      <c r="F1457" s="111" t="s">
        <v>126</v>
      </c>
      <c r="G1457" s="133">
        <v>161</v>
      </c>
      <c r="H1457" s="124"/>
      <c r="I1457" s="133" t="str">
        <f>IF(H1457&gt;0,(#REF!*H1457),"-")</f>
        <v>-</v>
      </c>
      <c r="J1457" s="113">
        <v>1522</v>
      </c>
      <c r="K1457" s="110" t="s">
        <v>129</v>
      </c>
      <c r="L1457" s="110" t="s">
        <v>5892</v>
      </c>
      <c r="M1457" s="110" t="s">
        <v>129</v>
      </c>
      <c r="N1457" s="110" t="s">
        <v>130</v>
      </c>
      <c r="O1457" s="110" t="s">
        <v>6017</v>
      </c>
      <c r="P1457" s="110" t="s">
        <v>958</v>
      </c>
      <c r="Q1457" s="110" t="s">
        <v>96</v>
      </c>
      <c r="R1457" s="121">
        <v>3.1640000000000001E-2</v>
      </c>
      <c r="S1457" s="113" t="e">
        <f t="shared" si="44"/>
        <v>#VALUE!</v>
      </c>
      <c r="T1457" s="113">
        <f t="shared" si="45"/>
        <v>0</v>
      </c>
    </row>
    <row r="1458" spans="1:20" s="109" customFormat="1" x14ac:dyDescent="0.2">
      <c r="A1458" s="116"/>
      <c r="B1458" s="111" t="s">
        <v>1037</v>
      </c>
      <c r="C1458" s="110" t="s">
        <v>6018</v>
      </c>
      <c r="D1458" s="110" t="s">
        <v>6019</v>
      </c>
      <c r="E1458" s="112" t="s">
        <v>6020</v>
      </c>
      <c r="F1458" s="111" t="s">
        <v>4518</v>
      </c>
      <c r="G1458" s="133">
        <v>29</v>
      </c>
      <c r="H1458" s="124"/>
      <c r="I1458" s="133" t="str">
        <f>IF(H1458&gt;0,(#REF!*H1458),"-")</f>
        <v>-</v>
      </c>
      <c r="J1458" s="113">
        <v>382</v>
      </c>
      <c r="K1458" s="110" t="s">
        <v>129</v>
      </c>
      <c r="L1458" s="110" t="s">
        <v>6021</v>
      </c>
      <c r="M1458" s="110" t="s">
        <v>129</v>
      </c>
      <c r="N1458" s="110" t="s">
        <v>944</v>
      </c>
      <c r="O1458" s="110" t="s">
        <v>6022</v>
      </c>
      <c r="P1458" s="110" t="s">
        <v>4520</v>
      </c>
      <c r="Q1458" s="110" t="s">
        <v>96</v>
      </c>
      <c r="R1458" s="121">
        <v>0.21</v>
      </c>
      <c r="S1458" s="113" t="e">
        <f t="shared" si="44"/>
        <v>#VALUE!</v>
      </c>
      <c r="T1458" s="113">
        <f t="shared" si="45"/>
        <v>0</v>
      </c>
    </row>
    <row r="1459" spans="1:20" s="109" customFormat="1" x14ac:dyDescent="0.2">
      <c r="A1459" s="116"/>
      <c r="B1459" s="111" t="s">
        <v>289</v>
      </c>
      <c r="C1459" s="110" t="s">
        <v>6023</v>
      </c>
      <c r="D1459" s="110" t="s">
        <v>6024</v>
      </c>
      <c r="E1459" s="112" t="s">
        <v>6025</v>
      </c>
      <c r="F1459" s="111" t="s">
        <v>944</v>
      </c>
      <c r="G1459" s="133">
        <v>29</v>
      </c>
      <c r="H1459" s="124"/>
      <c r="I1459" s="133" t="str">
        <f>IF(H1459&gt;0,(#REF!*H1459),"-")</f>
        <v>-</v>
      </c>
      <c r="J1459" s="113">
        <v>382</v>
      </c>
      <c r="K1459" s="110" t="s">
        <v>129</v>
      </c>
      <c r="L1459" s="110" t="s">
        <v>6021</v>
      </c>
      <c r="M1459" s="110" t="s">
        <v>129</v>
      </c>
      <c r="N1459" s="110" t="s">
        <v>944</v>
      </c>
      <c r="O1459" s="110" t="s">
        <v>6026</v>
      </c>
      <c r="P1459" s="110" t="s">
        <v>4520</v>
      </c>
      <c r="Q1459" s="110" t="s">
        <v>96</v>
      </c>
      <c r="R1459" s="121">
        <v>0.21</v>
      </c>
      <c r="S1459" s="113" t="e">
        <f t="shared" si="44"/>
        <v>#VALUE!</v>
      </c>
      <c r="T1459" s="113">
        <f t="shared" si="45"/>
        <v>0</v>
      </c>
    </row>
    <row r="1460" spans="1:20" s="109" customFormat="1" x14ac:dyDescent="0.2">
      <c r="A1460" s="116"/>
      <c r="B1460" s="111" t="s">
        <v>289</v>
      </c>
      <c r="C1460" s="110" t="s">
        <v>6027</v>
      </c>
      <c r="D1460" s="110" t="s">
        <v>6028</v>
      </c>
      <c r="E1460" s="112" t="s">
        <v>6029</v>
      </c>
      <c r="F1460" s="111" t="s">
        <v>944</v>
      </c>
      <c r="G1460" s="133">
        <v>29</v>
      </c>
      <c r="H1460" s="124"/>
      <c r="I1460" s="133" t="str">
        <f>IF(H1460&gt;0,(#REF!*H1460),"-")</f>
        <v>-</v>
      </c>
      <c r="J1460" s="113">
        <v>382</v>
      </c>
      <c r="K1460" s="110" t="s">
        <v>129</v>
      </c>
      <c r="L1460" s="110" t="s">
        <v>6021</v>
      </c>
      <c r="M1460" s="110" t="s">
        <v>129</v>
      </c>
      <c r="N1460" s="110" t="s">
        <v>944</v>
      </c>
      <c r="O1460" s="110" t="s">
        <v>6030</v>
      </c>
      <c r="P1460" s="110" t="s">
        <v>4520</v>
      </c>
      <c r="Q1460" s="110" t="s">
        <v>96</v>
      </c>
      <c r="R1460" s="121">
        <v>0.21</v>
      </c>
      <c r="S1460" s="113" t="e">
        <f t="shared" si="44"/>
        <v>#VALUE!</v>
      </c>
      <c r="T1460" s="113">
        <f t="shared" si="45"/>
        <v>0</v>
      </c>
    </row>
    <row r="1461" spans="1:20" s="109" customFormat="1" x14ac:dyDescent="0.2">
      <c r="A1461" s="116"/>
      <c r="B1461" s="111" t="s">
        <v>1037</v>
      </c>
      <c r="C1461" s="110" t="s">
        <v>6031</v>
      </c>
      <c r="D1461" s="110" t="s">
        <v>6032</v>
      </c>
      <c r="E1461" s="112" t="s">
        <v>6033</v>
      </c>
      <c r="F1461" s="111" t="s">
        <v>4518</v>
      </c>
      <c r="G1461" s="133">
        <v>29</v>
      </c>
      <c r="H1461" s="124"/>
      <c r="I1461" s="133" t="str">
        <f>IF(H1461&gt;0,(#REF!*H1461),"-")</f>
        <v>-</v>
      </c>
      <c r="J1461" s="113">
        <v>382</v>
      </c>
      <c r="K1461" s="110" t="s">
        <v>129</v>
      </c>
      <c r="L1461" s="110" t="s">
        <v>6021</v>
      </c>
      <c r="M1461" s="110" t="s">
        <v>129</v>
      </c>
      <c r="N1461" s="110" t="s">
        <v>944</v>
      </c>
      <c r="O1461" s="110" t="s">
        <v>6034</v>
      </c>
      <c r="P1461" s="110" t="s">
        <v>4520</v>
      </c>
      <c r="Q1461" s="110" t="s">
        <v>96</v>
      </c>
      <c r="R1461" s="121">
        <v>0.21</v>
      </c>
      <c r="S1461" s="113" t="e">
        <f t="shared" si="44"/>
        <v>#VALUE!</v>
      </c>
      <c r="T1461" s="113">
        <f t="shared" si="45"/>
        <v>0</v>
      </c>
    </row>
    <row r="1462" spans="1:20" s="109" customFormat="1" x14ac:dyDescent="0.2">
      <c r="A1462" s="116"/>
      <c r="B1462" s="111" t="s">
        <v>1037</v>
      </c>
      <c r="C1462" s="110" t="s">
        <v>6035</v>
      </c>
      <c r="D1462" s="110" t="s">
        <v>6036</v>
      </c>
      <c r="E1462" s="112" t="s">
        <v>6037</v>
      </c>
      <c r="F1462" s="111" t="s">
        <v>944</v>
      </c>
      <c r="G1462" s="133">
        <v>29</v>
      </c>
      <c r="H1462" s="124"/>
      <c r="I1462" s="133" t="str">
        <f>IF(H1462&gt;0,(#REF!*H1462),"-")</f>
        <v>-</v>
      </c>
      <c r="J1462" s="113">
        <v>382</v>
      </c>
      <c r="K1462" s="110" t="s">
        <v>129</v>
      </c>
      <c r="L1462" s="110" t="s">
        <v>6021</v>
      </c>
      <c r="M1462" s="110" t="s">
        <v>129</v>
      </c>
      <c r="N1462" s="110" t="s">
        <v>944</v>
      </c>
      <c r="O1462" s="110" t="s">
        <v>6038</v>
      </c>
      <c r="P1462" s="110" t="s">
        <v>4520</v>
      </c>
      <c r="Q1462" s="110" t="s">
        <v>96</v>
      </c>
      <c r="R1462" s="121">
        <v>0.21</v>
      </c>
      <c r="S1462" s="113" t="e">
        <f t="shared" si="44"/>
        <v>#VALUE!</v>
      </c>
      <c r="T1462" s="113">
        <f t="shared" si="45"/>
        <v>0</v>
      </c>
    </row>
    <row r="1463" spans="1:20" s="109" customFormat="1" x14ac:dyDescent="0.2">
      <c r="A1463" s="116"/>
      <c r="B1463" s="111" t="s">
        <v>1037</v>
      </c>
      <c r="C1463" s="110" t="s">
        <v>6039</v>
      </c>
      <c r="D1463" s="110" t="s">
        <v>6040</v>
      </c>
      <c r="E1463" s="112" t="s">
        <v>6041</v>
      </c>
      <c r="F1463" s="111" t="s">
        <v>4518</v>
      </c>
      <c r="G1463" s="133">
        <v>29</v>
      </c>
      <c r="H1463" s="124"/>
      <c r="I1463" s="133" t="str">
        <f>IF(H1463&gt;0,(#REF!*H1463),"-")</f>
        <v>-</v>
      </c>
      <c r="J1463" s="113">
        <v>382</v>
      </c>
      <c r="K1463" s="110" t="s">
        <v>129</v>
      </c>
      <c r="L1463" s="110" t="s">
        <v>6021</v>
      </c>
      <c r="M1463" s="110" t="s">
        <v>129</v>
      </c>
      <c r="N1463" s="110" t="s">
        <v>944</v>
      </c>
      <c r="O1463" s="110" t="s">
        <v>6042</v>
      </c>
      <c r="P1463" s="110" t="s">
        <v>4520</v>
      </c>
      <c r="Q1463" s="110" t="s">
        <v>96</v>
      </c>
      <c r="R1463" s="121">
        <v>0.21</v>
      </c>
      <c r="S1463" s="113" t="e">
        <f t="shared" si="44"/>
        <v>#VALUE!</v>
      </c>
      <c r="T1463" s="113">
        <f t="shared" si="45"/>
        <v>0</v>
      </c>
    </row>
    <row r="1464" spans="1:20" s="109" customFormat="1" x14ac:dyDescent="0.2">
      <c r="A1464" s="116"/>
      <c r="B1464" s="111" t="s">
        <v>1037</v>
      </c>
      <c r="C1464" s="110" t="s">
        <v>6043</v>
      </c>
      <c r="D1464" s="110" t="s">
        <v>6044</v>
      </c>
      <c r="E1464" s="112" t="s">
        <v>6045</v>
      </c>
      <c r="F1464" s="111" t="s">
        <v>4518</v>
      </c>
      <c r="G1464" s="133">
        <v>29</v>
      </c>
      <c r="H1464" s="124"/>
      <c r="I1464" s="133" t="str">
        <f>IF(H1464&gt;0,(#REF!*H1464),"-")</f>
        <v>-</v>
      </c>
      <c r="J1464" s="113">
        <v>382</v>
      </c>
      <c r="K1464" s="110" t="s">
        <v>129</v>
      </c>
      <c r="L1464" s="110" t="s">
        <v>6021</v>
      </c>
      <c r="M1464" s="110" t="s">
        <v>129</v>
      </c>
      <c r="N1464" s="110" t="s">
        <v>944</v>
      </c>
      <c r="O1464" s="110" t="s">
        <v>6046</v>
      </c>
      <c r="P1464" s="110" t="s">
        <v>4520</v>
      </c>
      <c r="Q1464" s="110" t="s">
        <v>96</v>
      </c>
      <c r="R1464" s="121">
        <v>0.21</v>
      </c>
      <c r="S1464" s="113" t="e">
        <f t="shared" si="44"/>
        <v>#VALUE!</v>
      </c>
      <c r="T1464" s="113">
        <f t="shared" si="45"/>
        <v>0</v>
      </c>
    </row>
    <row r="1465" spans="1:20" s="109" customFormat="1" x14ac:dyDescent="0.2">
      <c r="A1465" s="116"/>
      <c r="B1465" s="111" t="s">
        <v>5299</v>
      </c>
      <c r="C1465" s="110" t="s">
        <v>6047</v>
      </c>
      <c r="D1465" s="110" t="s">
        <v>6048</v>
      </c>
      <c r="E1465" s="112" t="s">
        <v>6049</v>
      </c>
      <c r="F1465" s="111" t="s">
        <v>4518</v>
      </c>
      <c r="G1465" s="133">
        <v>29</v>
      </c>
      <c r="H1465" s="124"/>
      <c r="I1465" s="133" t="str">
        <f>IF(H1465&gt;0,(#REF!*H1465),"-")</f>
        <v>-</v>
      </c>
      <c r="J1465" s="113">
        <v>382</v>
      </c>
      <c r="K1465" s="110" t="s">
        <v>129</v>
      </c>
      <c r="L1465" s="110" t="s">
        <v>6021</v>
      </c>
      <c r="M1465" s="110" t="s">
        <v>129</v>
      </c>
      <c r="N1465" s="110" t="s">
        <v>944</v>
      </c>
      <c r="O1465" s="110" t="s">
        <v>6050</v>
      </c>
      <c r="P1465" s="110" t="s">
        <v>4520</v>
      </c>
      <c r="Q1465" s="110" t="s">
        <v>96</v>
      </c>
      <c r="R1465" s="121">
        <v>0.21</v>
      </c>
      <c r="S1465" s="113" t="e">
        <f t="shared" si="44"/>
        <v>#VALUE!</v>
      </c>
      <c r="T1465" s="113">
        <f t="shared" si="45"/>
        <v>0</v>
      </c>
    </row>
    <row r="1466" spans="1:20" s="109" customFormat="1" x14ac:dyDescent="0.2">
      <c r="A1466" s="116"/>
      <c r="B1466" s="111" t="s">
        <v>1037</v>
      </c>
      <c r="C1466" s="110" t="s">
        <v>6051</v>
      </c>
      <c r="D1466" s="110" t="s">
        <v>6052</v>
      </c>
      <c r="E1466" s="112" t="s">
        <v>6053</v>
      </c>
      <c r="F1466" s="111" t="s">
        <v>4518</v>
      </c>
      <c r="G1466" s="133">
        <v>29</v>
      </c>
      <c r="H1466" s="124"/>
      <c r="I1466" s="133" t="str">
        <f>IF(H1466&gt;0,(#REF!*H1466),"-")</f>
        <v>-</v>
      </c>
      <c r="J1466" s="113">
        <v>382</v>
      </c>
      <c r="K1466" s="110" t="s">
        <v>129</v>
      </c>
      <c r="L1466" s="110" t="s">
        <v>6021</v>
      </c>
      <c r="M1466" s="110" t="s">
        <v>129</v>
      </c>
      <c r="N1466" s="110" t="s">
        <v>944</v>
      </c>
      <c r="O1466" s="110" t="s">
        <v>6054</v>
      </c>
      <c r="P1466" s="110" t="s">
        <v>4520</v>
      </c>
      <c r="Q1466" s="110" t="s">
        <v>96</v>
      </c>
      <c r="R1466" s="121">
        <v>0.21</v>
      </c>
      <c r="S1466" s="113" t="e">
        <f t="shared" si="44"/>
        <v>#VALUE!</v>
      </c>
      <c r="T1466" s="113">
        <f t="shared" si="45"/>
        <v>0</v>
      </c>
    </row>
    <row r="1467" spans="1:20" s="109" customFormat="1" x14ac:dyDescent="0.2">
      <c r="A1467" s="116"/>
      <c r="B1467" s="111" t="s">
        <v>1037</v>
      </c>
      <c r="C1467" s="110" t="s">
        <v>6055</v>
      </c>
      <c r="D1467" s="110" t="s">
        <v>6056</v>
      </c>
      <c r="E1467" s="112" t="s">
        <v>6057</v>
      </c>
      <c r="F1467" s="111" t="s">
        <v>4518</v>
      </c>
      <c r="G1467" s="133">
        <v>29</v>
      </c>
      <c r="H1467" s="124"/>
      <c r="I1467" s="133" t="str">
        <f>IF(H1467&gt;0,(#REF!*H1467),"-")</f>
        <v>-</v>
      </c>
      <c r="J1467" s="113">
        <v>382</v>
      </c>
      <c r="K1467" s="110" t="s">
        <v>129</v>
      </c>
      <c r="L1467" s="110" t="s">
        <v>6021</v>
      </c>
      <c r="M1467" s="110" t="s">
        <v>129</v>
      </c>
      <c r="N1467" s="110" t="s">
        <v>944</v>
      </c>
      <c r="O1467" s="110" t="s">
        <v>6058</v>
      </c>
      <c r="P1467" s="110" t="s">
        <v>4520</v>
      </c>
      <c r="Q1467" s="110" t="s">
        <v>96</v>
      </c>
      <c r="R1467" s="121">
        <v>0.21</v>
      </c>
      <c r="S1467" s="113" t="e">
        <f t="shared" si="44"/>
        <v>#VALUE!</v>
      </c>
      <c r="T1467" s="113">
        <f t="shared" si="45"/>
        <v>0</v>
      </c>
    </row>
    <row r="1468" spans="1:20" s="109" customFormat="1" x14ac:dyDescent="0.2">
      <c r="A1468" s="116"/>
      <c r="B1468" s="111" t="s">
        <v>1037</v>
      </c>
      <c r="C1468" s="110" t="s">
        <v>6059</v>
      </c>
      <c r="D1468" s="110" t="s">
        <v>6060</v>
      </c>
      <c r="E1468" s="112" t="s">
        <v>6061</v>
      </c>
      <c r="F1468" s="111" t="s">
        <v>944</v>
      </c>
      <c r="G1468" s="133">
        <v>29</v>
      </c>
      <c r="H1468" s="124"/>
      <c r="I1468" s="133" t="str">
        <f>IF(H1468&gt;0,(#REF!*H1468),"-")</f>
        <v>-</v>
      </c>
      <c r="J1468" s="113">
        <v>382</v>
      </c>
      <c r="K1468" s="110" t="s">
        <v>129</v>
      </c>
      <c r="L1468" s="110" t="s">
        <v>6021</v>
      </c>
      <c r="M1468" s="110" t="s">
        <v>129</v>
      </c>
      <c r="N1468" s="110" t="s">
        <v>944</v>
      </c>
      <c r="O1468" s="110" t="s">
        <v>6062</v>
      </c>
      <c r="P1468" s="110" t="s">
        <v>4520</v>
      </c>
      <c r="Q1468" s="110" t="s">
        <v>96</v>
      </c>
      <c r="R1468" s="121">
        <v>0.21</v>
      </c>
      <c r="S1468" s="113" t="e">
        <f t="shared" si="44"/>
        <v>#VALUE!</v>
      </c>
      <c r="T1468" s="113">
        <f t="shared" si="45"/>
        <v>0</v>
      </c>
    </row>
    <row r="1469" spans="1:20" s="109" customFormat="1" x14ac:dyDescent="0.2">
      <c r="A1469" s="116"/>
      <c r="B1469" s="111" t="s">
        <v>1037</v>
      </c>
      <c r="C1469" s="110" t="s">
        <v>6063</v>
      </c>
      <c r="D1469" s="110" t="s">
        <v>6064</v>
      </c>
      <c r="E1469" s="112" t="s">
        <v>6065</v>
      </c>
      <c r="F1469" s="111" t="s">
        <v>944</v>
      </c>
      <c r="G1469" s="133">
        <v>29</v>
      </c>
      <c r="H1469" s="124"/>
      <c r="I1469" s="133" t="str">
        <f>IF(H1469&gt;0,(#REF!*H1469),"-")</f>
        <v>-</v>
      </c>
      <c r="J1469" s="113">
        <v>382</v>
      </c>
      <c r="K1469" s="110" t="s">
        <v>129</v>
      </c>
      <c r="L1469" s="110" t="s">
        <v>6021</v>
      </c>
      <c r="M1469" s="110" t="s">
        <v>129</v>
      </c>
      <c r="N1469" s="110" t="s">
        <v>944</v>
      </c>
      <c r="O1469" s="110" t="s">
        <v>6066</v>
      </c>
      <c r="P1469" s="110" t="s">
        <v>4520</v>
      </c>
      <c r="Q1469" s="110" t="s">
        <v>96</v>
      </c>
      <c r="R1469" s="121">
        <v>0.21</v>
      </c>
      <c r="S1469" s="113" t="e">
        <f t="shared" si="44"/>
        <v>#VALUE!</v>
      </c>
      <c r="T1469" s="113">
        <f t="shared" si="45"/>
        <v>0</v>
      </c>
    </row>
    <row r="1470" spans="1:20" s="109" customFormat="1" x14ac:dyDescent="0.2">
      <c r="A1470" s="116"/>
      <c r="B1470" s="111" t="s">
        <v>1037</v>
      </c>
      <c r="C1470" s="110" t="s">
        <v>6067</v>
      </c>
      <c r="D1470" s="110" t="s">
        <v>6068</v>
      </c>
      <c r="E1470" s="112" t="s">
        <v>6069</v>
      </c>
      <c r="F1470" s="111" t="s">
        <v>4518</v>
      </c>
      <c r="G1470" s="133">
        <v>29</v>
      </c>
      <c r="H1470" s="124"/>
      <c r="I1470" s="133" t="str">
        <f>IF(H1470&gt;0,(#REF!*H1470),"-")</f>
        <v>-</v>
      </c>
      <c r="J1470" s="113">
        <v>382</v>
      </c>
      <c r="K1470" s="110" t="s">
        <v>129</v>
      </c>
      <c r="L1470" s="110" t="s">
        <v>6021</v>
      </c>
      <c r="M1470" s="110" t="s">
        <v>129</v>
      </c>
      <c r="N1470" s="110" t="s">
        <v>944</v>
      </c>
      <c r="O1470" s="110" t="s">
        <v>6070</v>
      </c>
      <c r="P1470" s="110" t="s">
        <v>4520</v>
      </c>
      <c r="Q1470" s="110" t="s">
        <v>96</v>
      </c>
      <c r="R1470" s="121">
        <v>0.216</v>
      </c>
      <c r="S1470" s="113" t="e">
        <f t="shared" si="44"/>
        <v>#VALUE!</v>
      </c>
      <c r="T1470" s="113">
        <f t="shared" si="45"/>
        <v>0</v>
      </c>
    </row>
    <row r="1471" spans="1:20" s="109" customFormat="1" x14ac:dyDescent="0.2">
      <c r="A1471" s="116"/>
      <c r="B1471" s="111" t="s">
        <v>5299</v>
      </c>
      <c r="C1471" s="110" t="s">
        <v>6071</v>
      </c>
      <c r="D1471" s="110" t="s">
        <v>6072</v>
      </c>
      <c r="E1471" s="112" t="s">
        <v>6073</v>
      </c>
      <c r="F1471" s="111" t="s">
        <v>4518</v>
      </c>
      <c r="G1471" s="133">
        <v>29</v>
      </c>
      <c r="H1471" s="124"/>
      <c r="I1471" s="133" t="str">
        <f>IF(H1471&gt;0,(#REF!*H1471),"-")</f>
        <v>-</v>
      </c>
      <c r="J1471" s="113">
        <v>382</v>
      </c>
      <c r="K1471" s="110" t="s">
        <v>129</v>
      </c>
      <c r="L1471" s="110" t="s">
        <v>6021</v>
      </c>
      <c r="M1471" s="110" t="s">
        <v>129</v>
      </c>
      <c r="N1471" s="110" t="s">
        <v>944</v>
      </c>
      <c r="O1471" s="110" t="s">
        <v>6074</v>
      </c>
      <c r="P1471" s="110" t="s">
        <v>4520</v>
      </c>
      <c r="Q1471" s="110" t="s">
        <v>96</v>
      </c>
      <c r="R1471" s="121">
        <v>0.216</v>
      </c>
      <c r="S1471" s="113" t="e">
        <f t="shared" si="44"/>
        <v>#VALUE!</v>
      </c>
      <c r="T1471" s="113">
        <f t="shared" si="45"/>
        <v>0</v>
      </c>
    </row>
    <row r="1472" spans="1:20" s="109" customFormat="1" x14ac:dyDescent="0.2">
      <c r="A1472" s="116"/>
      <c r="B1472" s="111" t="s">
        <v>1037</v>
      </c>
      <c r="C1472" s="110" t="s">
        <v>6075</v>
      </c>
      <c r="D1472" s="110" t="s">
        <v>6076</v>
      </c>
      <c r="E1472" s="112" t="s">
        <v>6077</v>
      </c>
      <c r="F1472" s="111" t="s">
        <v>4518</v>
      </c>
      <c r="G1472" s="133">
        <v>29</v>
      </c>
      <c r="H1472" s="124"/>
      <c r="I1472" s="133" t="str">
        <f>IF(H1472&gt;0,(#REF!*H1472),"-")</f>
        <v>-</v>
      </c>
      <c r="J1472" s="113">
        <v>382</v>
      </c>
      <c r="K1472" s="110" t="s">
        <v>129</v>
      </c>
      <c r="L1472" s="110" t="s">
        <v>6021</v>
      </c>
      <c r="M1472" s="110" t="s">
        <v>129</v>
      </c>
      <c r="N1472" s="110" t="s">
        <v>944</v>
      </c>
      <c r="O1472" s="110" t="s">
        <v>6078</v>
      </c>
      <c r="P1472" s="110" t="s">
        <v>4520</v>
      </c>
      <c r="Q1472" s="110" t="s">
        <v>96</v>
      </c>
      <c r="R1472" s="121">
        <v>0.216</v>
      </c>
      <c r="S1472" s="113" t="e">
        <f t="shared" si="44"/>
        <v>#VALUE!</v>
      </c>
      <c r="T1472" s="113">
        <f t="shared" si="45"/>
        <v>0</v>
      </c>
    </row>
    <row r="1473" spans="1:20" s="109" customFormat="1" x14ac:dyDescent="0.2">
      <c r="A1473" s="116"/>
      <c r="B1473" s="111"/>
      <c r="C1473" s="110" t="s">
        <v>6079</v>
      </c>
      <c r="D1473" s="110" t="s">
        <v>6080</v>
      </c>
      <c r="E1473" s="112" t="s">
        <v>6081</v>
      </c>
      <c r="F1473" s="111" t="s">
        <v>126</v>
      </c>
      <c r="G1473" s="133">
        <v>140</v>
      </c>
      <c r="H1473" s="124"/>
      <c r="I1473" s="133" t="str">
        <f>IF(H1473&gt;0,(#REF!*H1473),"-")</f>
        <v>-</v>
      </c>
      <c r="J1473" s="113">
        <v>1522</v>
      </c>
      <c r="K1473" s="110" t="s">
        <v>129</v>
      </c>
      <c r="L1473" s="110" t="s">
        <v>6021</v>
      </c>
      <c r="M1473" s="110" t="s">
        <v>129</v>
      </c>
      <c r="N1473" s="110" t="s">
        <v>130</v>
      </c>
      <c r="O1473" s="110" t="s">
        <v>6082</v>
      </c>
      <c r="P1473" s="110" t="s">
        <v>958</v>
      </c>
      <c r="Q1473" s="110" t="s">
        <v>96</v>
      </c>
      <c r="R1473" s="121">
        <v>0.245</v>
      </c>
      <c r="S1473" s="113" t="e">
        <f t="shared" si="44"/>
        <v>#VALUE!</v>
      </c>
      <c r="T1473" s="113">
        <f t="shared" si="45"/>
        <v>0</v>
      </c>
    </row>
    <row r="1474" spans="1:20" s="109" customFormat="1" x14ac:dyDescent="0.2">
      <c r="A1474" s="116"/>
      <c r="B1474" s="111" t="s">
        <v>1037</v>
      </c>
      <c r="C1474" s="110" t="s">
        <v>6083</v>
      </c>
      <c r="D1474" s="110" t="s">
        <v>6084</v>
      </c>
      <c r="E1474" s="112" t="s">
        <v>6085</v>
      </c>
      <c r="F1474" s="111" t="s">
        <v>944</v>
      </c>
      <c r="G1474" s="133">
        <v>29</v>
      </c>
      <c r="H1474" s="124"/>
      <c r="I1474" s="133" t="str">
        <f>IF(H1474&gt;0,(#REF!*H1474),"-")</f>
        <v>-</v>
      </c>
      <c r="J1474" s="113">
        <v>441</v>
      </c>
      <c r="K1474" s="110" t="s">
        <v>129</v>
      </c>
      <c r="L1474" s="110" t="s">
        <v>6086</v>
      </c>
      <c r="M1474" s="110" t="s">
        <v>129</v>
      </c>
      <c r="N1474" s="110" t="s">
        <v>944</v>
      </c>
      <c r="O1474" s="110" t="s">
        <v>6087</v>
      </c>
      <c r="P1474" s="110" t="s">
        <v>4520</v>
      </c>
      <c r="Q1474" s="110" t="s">
        <v>96</v>
      </c>
      <c r="R1474" s="121">
        <v>0.214</v>
      </c>
      <c r="S1474" s="113" t="e">
        <f t="shared" ref="S1474:S1537" si="46">Q1474*H1474</f>
        <v>#VALUE!</v>
      </c>
      <c r="T1474" s="113">
        <f t="shared" ref="T1474:T1537" si="47">R1474*H1474</f>
        <v>0</v>
      </c>
    </row>
    <row r="1475" spans="1:20" s="109" customFormat="1" x14ac:dyDescent="0.2">
      <c r="A1475" s="116"/>
      <c r="B1475" s="111" t="s">
        <v>5299</v>
      </c>
      <c r="C1475" s="110" t="s">
        <v>6088</v>
      </c>
      <c r="D1475" s="110" t="s">
        <v>6089</v>
      </c>
      <c r="E1475" s="112" t="s">
        <v>6090</v>
      </c>
      <c r="F1475" s="111" t="s">
        <v>4518</v>
      </c>
      <c r="G1475" s="133">
        <v>29</v>
      </c>
      <c r="H1475" s="124"/>
      <c r="I1475" s="133" t="str">
        <f>IF(H1475&gt;0,(#REF!*H1475),"-")</f>
        <v>-</v>
      </c>
      <c r="J1475" s="113">
        <v>441</v>
      </c>
      <c r="K1475" s="110" t="s">
        <v>129</v>
      </c>
      <c r="L1475" s="110" t="s">
        <v>6086</v>
      </c>
      <c r="M1475" s="110" t="s">
        <v>129</v>
      </c>
      <c r="N1475" s="110" t="s">
        <v>944</v>
      </c>
      <c r="O1475" s="110" t="s">
        <v>6091</v>
      </c>
      <c r="P1475" s="110" t="s">
        <v>4520</v>
      </c>
      <c r="Q1475" s="110" t="s">
        <v>96</v>
      </c>
      <c r="R1475" s="121">
        <v>0.22339999999999999</v>
      </c>
      <c r="S1475" s="113" t="e">
        <f t="shared" si="46"/>
        <v>#VALUE!</v>
      </c>
      <c r="T1475" s="113">
        <f t="shared" si="47"/>
        <v>0</v>
      </c>
    </row>
    <row r="1476" spans="1:20" s="109" customFormat="1" x14ac:dyDescent="0.2">
      <c r="A1476" s="116"/>
      <c r="B1476" s="111" t="s">
        <v>1037</v>
      </c>
      <c r="C1476" s="110" t="s">
        <v>6092</v>
      </c>
      <c r="D1476" s="110" t="s">
        <v>6093</v>
      </c>
      <c r="E1476" s="112" t="s">
        <v>6094</v>
      </c>
      <c r="F1476" s="111" t="s">
        <v>4518</v>
      </c>
      <c r="G1476" s="133">
        <v>17</v>
      </c>
      <c r="H1476" s="124"/>
      <c r="I1476" s="133" t="str">
        <f>IF(H1476&gt;0,(#REF!*H1476),"-")</f>
        <v>-</v>
      </c>
      <c r="J1476" s="113">
        <v>286</v>
      </c>
      <c r="K1476" s="110" t="s">
        <v>129</v>
      </c>
      <c r="L1476" s="110" t="s">
        <v>6086</v>
      </c>
      <c r="M1476" s="110" t="s">
        <v>129</v>
      </c>
      <c r="N1476" s="110" t="s">
        <v>944</v>
      </c>
      <c r="O1476" s="110" t="s">
        <v>6095</v>
      </c>
      <c r="P1476" s="110" t="s">
        <v>4520</v>
      </c>
      <c r="Q1476" s="110" t="s">
        <v>96</v>
      </c>
      <c r="R1476" s="121">
        <v>0.1628</v>
      </c>
      <c r="S1476" s="113" t="e">
        <f t="shared" si="46"/>
        <v>#VALUE!</v>
      </c>
      <c r="T1476" s="113">
        <f t="shared" si="47"/>
        <v>0</v>
      </c>
    </row>
    <row r="1477" spans="1:20" s="109" customFormat="1" x14ac:dyDescent="0.2">
      <c r="A1477" s="116"/>
      <c r="B1477" s="111" t="s">
        <v>5299</v>
      </c>
      <c r="C1477" s="110" t="s">
        <v>6096</v>
      </c>
      <c r="D1477" s="110" t="s">
        <v>6097</v>
      </c>
      <c r="E1477" s="112" t="s">
        <v>6098</v>
      </c>
      <c r="F1477" s="111" t="s">
        <v>4518</v>
      </c>
      <c r="G1477" s="133">
        <v>17</v>
      </c>
      <c r="H1477" s="124"/>
      <c r="I1477" s="133" t="str">
        <f>IF(H1477&gt;0,(#REF!*H1477),"-")</f>
        <v>-</v>
      </c>
      <c r="J1477" s="113">
        <v>286</v>
      </c>
      <c r="K1477" s="110" t="s">
        <v>129</v>
      </c>
      <c r="L1477" s="110" t="s">
        <v>6086</v>
      </c>
      <c r="M1477" s="110" t="s">
        <v>129</v>
      </c>
      <c r="N1477" s="110" t="s">
        <v>944</v>
      </c>
      <c r="O1477" s="110" t="s">
        <v>6099</v>
      </c>
      <c r="P1477" s="110" t="s">
        <v>4520</v>
      </c>
      <c r="Q1477" s="110" t="s">
        <v>96</v>
      </c>
      <c r="R1477" s="121">
        <v>0.1628</v>
      </c>
      <c r="S1477" s="113" t="e">
        <f t="shared" si="46"/>
        <v>#VALUE!</v>
      </c>
      <c r="T1477" s="113">
        <f t="shared" si="47"/>
        <v>0</v>
      </c>
    </row>
    <row r="1478" spans="1:20" s="109" customFormat="1" x14ac:dyDescent="0.2">
      <c r="A1478" s="116"/>
      <c r="B1478" s="111" t="s">
        <v>959</v>
      </c>
      <c r="C1478" s="110" t="s">
        <v>6100</v>
      </c>
      <c r="D1478" s="110" t="s">
        <v>6101</v>
      </c>
      <c r="E1478" s="112" t="s">
        <v>6102</v>
      </c>
      <c r="F1478" s="111" t="s">
        <v>4518</v>
      </c>
      <c r="G1478" s="133">
        <v>17</v>
      </c>
      <c r="H1478" s="124"/>
      <c r="I1478" s="133" t="str">
        <f>IF(H1478&gt;0,(#REF!*H1478),"-")</f>
        <v>-</v>
      </c>
      <c r="J1478" s="113">
        <v>286</v>
      </c>
      <c r="K1478" s="110" t="s">
        <v>129</v>
      </c>
      <c r="L1478" s="110" t="s">
        <v>6086</v>
      </c>
      <c r="M1478" s="110" t="s">
        <v>129</v>
      </c>
      <c r="N1478" s="110" t="s">
        <v>944</v>
      </c>
      <c r="O1478" s="110" t="s">
        <v>6103</v>
      </c>
      <c r="P1478" s="110" t="s">
        <v>4520</v>
      </c>
      <c r="Q1478" s="110" t="s">
        <v>96</v>
      </c>
      <c r="R1478" s="121">
        <v>0.1628</v>
      </c>
      <c r="S1478" s="113" t="e">
        <f t="shared" si="46"/>
        <v>#VALUE!</v>
      </c>
      <c r="T1478" s="113">
        <f t="shared" si="47"/>
        <v>0</v>
      </c>
    </row>
    <row r="1479" spans="1:20" s="109" customFormat="1" x14ac:dyDescent="0.2">
      <c r="A1479" s="116"/>
      <c r="B1479" s="111" t="s">
        <v>5299</v>
      </c>
      <c r="C1479" s="110" t="s">
        <v>6104</v>
      </c>
      <c r="D1479" s="110" t="s">
        <v>6105</v>
      </c>
      <c r="E1479" s="112" t="s">
        <v>6106</v>
      </c>
      <c r="F1479" s="111" t="s">
        <v>4518</v>
      </c>
      <c r="G1479" s="133">
        <v>17</v>
      </c>
      <c r="H1479" s="124"/>
      <c r="I1479" s="133" t="str">
        <f>IF(H1479&gt;0,(#REF!*H1479),"-")</f>
        <v>-</v>
      </c>
      <c r="J1479" s="113">
        <v>286</v>
      </c>
      <c r="K1479" s="110" t="s">
        <v>129</v>
      </c>
      <c r="L1479" s="110" t="s">
        <v>6086</v>
      </c>
      <c r="M1479" s="110" t="s">
        <v>129</v>
      </c>
      <c r="N1479" s="110" t="s">
        <v>944</v>
      </c>
      <c r="O1479" s="110" t="s">
        <v>6107</v>
      </c>
      <c r="P1479" s="110" t="s">
        <v>4520</v>
      </c>
      <c r="Q1479" s="110" t="s">
        <v>96</v>
      </c>
      <c r="R1479" s="121">
        <v>0.1628</v>
      </c>
      <c r="S1479" s="113" t="e">
        <f t="shared" si="46"/>
        <v>#VALUE!</v>
      </c>
      <c r="T1479" s="113">
        <f t="shared" si="47"/>
        <v>0</v>
      </c>
    </row>
    <row r="1480" spans="1:20" s="109" customFormat="1" x14ac:dyDescent="0.2">
      <c r="A1480" s="116"/>
      <c r="B1480" s="111" t="s">
        <v>959</v>
      </c>
      <c r="C1480" s="110" t="s">
        <v>6108</v>
      </c>
      <c r="D1480" s="110" t="s">
        <v>6109</v>
      </c>
      <c r="E1480" s="112" t="s">
        <v>6110</v>
      </c>
      <c r="F1480" s="111" t="s">
        <v>4518</v>
      </c>
      <c r="G1480" s="133">
        <v>17</v>
      </c>
      <c r="H1480" s="124"/>
      <c r="I1480" s="133" t="str">
        <f>IF(H1480&gt;0,(#REF!*H1480),"-")</f>
        <v>-</v>
      </c>
      <c r="J1480" s="113">
        <v>573</v>
      </c>
      <c r="K1480" s="110" t="s">
        <v>129</v>
      </c>
      <c r="L1480" s="110" t="s">
        <v>6086</v>
      </c>
      <c r="M1480" s="110" t="s">
        <v>129</v>
      </c>
      <c r="N1480" s="110" t="s">
        <v>944</v>
      </c>
      <c r="O1480" s="110" t="s">
        <v>6111</v>
      </c>
      <c r="P1480" s="110" t="s">
        <v>4520</v>
      </c>
      <c r="Q1480" s="110" t="s">
        <v>96</v>
      </c>
      <c r="R1480" s="121">
        <v>0.13</v>
      </c>
      <c r="S1480" s="113" t="e">
        <f t="shared" si="46"/>
        <v>#VALUE!</v>
      </c>
      <c r="T1480" s="113">
        <f t="shared" si="47"/>
        <v>0</v>
      </c>
    </row>
    <row r="1481" spans="1:20" s="109" customFormat="1" x14ac:dyDescent="0.2">
      <c r="A1481" s="116"/>
      <c r="B1481" s="111" t="s">
        <v>959</v>
      </c>
      <c r="C1481" s="110" t="s">
        <v>6112</v>
      </c>
      <c r="D1481" s="110" t="s">
        <v>6113</v>
      </c>
      <c r="E1481" s="112" t="s">
        <v>6114</v>
      </c>
      <c r="F1481" s="111" t="s">
        <v>4518</v>
      </c>
      <c r="G1481" s="133">
        <v>17</v>
      </c>
      <c r="H1481" s="124"/>
      <c r="I1481" s="133" t="str">
        <f>IF(H1481&gt;0,(#REF!*H1481),"-")</f>
        <v>-</v>
      </c>
      <c r="J1481" s="113">
        <v>573</v>
      </c>
      <c r="K1481" s="110" t="s">
        <v>129</v>
      </c>
      <c r="L1481" s="110" t="s">
        <v>6086</v>
      </c>
      <c r="M1481" s="110" t="s">
        <v>129</v>
      </c>
      <c r="N1481" s="110" t="s">
        <v>944</v>
      </c>
      <c r="O1481" s="110" t="s">
        <v>6115</v>
      </c>
      <c r="P1481" s="110" t="s">
        <v>4520</v>
      </c>
      <c r="Q1481" s="110" t="s">
        <v>96</v>
      </c>
      <c r="R1481" s="121">
        <v>0.13</v>
      </c>
      <c r="S1481" s="113" t="e">
        <f t="shared" si="46"/>
        <v>#VALUE!</v>
      </c>
      <c r="T1481" s="113">
        <f t="shared" si="47"/>
        <v>0</v>
      </c>
    </row>
    <row r="1482" spans="1:20" s="109" customFormat="1" x14ac:dyDescent="0.2">
      <c r="A1482" s="116"/>
      <c r="B1482" s="111" t="s">
        <v>959</v>
      </c>
      <c r="C1482" s="110" t="s">
        <v>6116</v>
      </c>
      <c r="D1482" s="110" t="s">
        <v>6117</v>
      </c>
      <c r="E1482" s="112" t="s">
        <v>6118</v>
      </c>
      <c r="F1482" s="111" t="s">
        <v>4518</v>
      </c>
      <c r="G1482" s="133">
        <v>17</v>
      </c>
      <c r="H1482" s="124"/>
      <c r="I1482" s="133" t="str">
        <f>IF(H1482&gt;0,(#REF!*H1482),"-")</f>
        <v>-</v>
      </c>
      <c r="J1482" s="113">
        <v>573</v>
      </c>
      <c r="K1482" s="110" t="s">
        <v>129</v>
      </c>
      <c r="L1482" s="110" t="s">
        <v>6086</v>
      </c>
      <c r="M1482" s="110" t="s">
        <v>129</v>
      </c>
      <c r="N1482" s="110" t="s">
        <v>944</v>
      </c>
      <c r="O1482" s="110" t="s">
        <v>6119</v>
      </c>
      <c r="P1482" s="110" t="s">
        <v>4520</v>
      </c>
      <c r="Q1482" s="110" t="s">
        <v>96</v>
      </c>
      <c r="R1482" s="121">
        <v>0.13</v>
      </c>
      <c r="S1482" s="113" t="e">
        <f t="shared" si="46"/>
        <v>#VALUE!</v>
      </c>
      <c r="T1482" s="113">
        <f t="shared" si="47"/>
        <v>0</v>
      </c>
    </row>
    <row r="1483" spans="1:20" s="109" customFormat="1" x14ac:dyDescent="0.2">
      <c r="A1483" s="116"/>
      <c r="B1483" s="111" t="s">
        <v>1037</v>
      </c>
      <c r="C1483" s="110" t="s">
        <v>6120</v>
      </c>
      <c r="D1483" s="110" t="s">
        <v>6121</v>
      </c>
      <c r="E1483" s="112" t="s">
        <v>6122</v>
      </c>
      <c r="F1483" s="111" t="s">
        <v>4518</v>
      </c>
      <c r="G1483" s="133">
        <v>29</v>
      </c>
      <c r="H1483" s="124"/>
      <c r="I1483" s="133" t="str">
        <f>IF(H1483&gt;0,(#REF!*H1483),"-")</f>
        <v>-</v>
      </c>
      <c r="J1483" s="113">
        <v>336</v>
      </c>
      <c r="K1483" s="110" t="s">
        <v>129</v>
      </c>
      <c r="L1483" s="110" t="s">
        <v>6086</v>
      </c>
      <c r="M1483" s="110" t="s">
        <v>129</v>
      </c>
      <c r="N1483" s="110" t="s">
        <v>944</v>
      </c>
      <c r="O1483" s="110" t="s">
        <v>6123</v>
      </c>
      <c r="P1483" s="110" t="s">
        <v>4520</v>
      </c>
      <c r="Q1483" s="110" t="s">
        <v>96</v>
      </c>
      <c r="R1483" s="121">
        <v>0.21199999999999999</v>
      </c>
      <c r="S1483" s="113" t="e">
        <f t="shared" si="46"/>
        <v>#VALUE!</v>
      </c>
      <c r="T1483" s="113">
        <f t="shared" si="47"/>
        <v>0</v>
      </c>
    </row>
    <row r="1484" spans="1:20" s="109" customFormat="1" x14ac:dyDescent="0.2">
      <c r="A1484" s="116"/>
      <c r="B1484" s="111" t="s">
        <v>1037</v>
      </c>
      <c r="C1484" s="110" t="s">
        <v>6124</v>
      </c>
      <c r="D1484" s="110" t="s">
        <v>6125</v>
      </c>
      <c r="E1484" s="112" t="s">
        <v>6126</v>
      </c>
      <c r="F1484" s="111" t="s">
        <v>4518</v>
      </c>
      <c r="G1484" s="133">
        <v>29</v>
      </c>
      <c r="H1484" s="124"/>
      <c r="I1484" s="133" t="str">
        <f>IF(H1484&gt;0,(#REF!*H1484),"-")</f>
        <v>-</v>
      </c>
      <c r="J1484" s="113">
        <v>390</v>
      </c>
      <c r="K1484" s="110" t="s">
        <v>129</v>
      </c>
      <c r="L1484" s="110" t="s">
        <v>6086</v>
      </c>
      <c r="M1484" s="110" t="s">
        <v>129</v>
      </c>
      <c r="N1484" s="110" t="s">
        <v>944</v>
      </c>
      <c r="O1484" s="110" t="s">
        <v>6127</v>
      </c>
      <c r="P1484" s="110" t="s">
        <v>4520</v>
      </c>
      <c r="Q1484" s="110" t="s">
        <v>96</v>
      </c>
      <c r="R1484" s="121">
        <v>0.216</v>
      </c>
      <c r="S1484" s="113" t="e">
        <f t="shared" si="46"/>
        <v>#VALUE!</v>
      </c>
      <c r="T1484" s="113">
        <f t="shared" si="47"/>
        <v>0</v>
      </c>
    </row>
    <row r="1485" spans="1:20" s="109" customFormat="1" x14ac:dyDescent="0.2">
      <c r="A1485" s="116"/>
      <c r="B1485" s="111" t="s">
        <v>959</v>
      </c>
      <c r="C1485" s="110" t="s">
        <v>6128</v>
      </c>
      <c r="D1485" s="110" t="s">
        <v>6129</v>
      </c>
      <c r="E1485" s="112" t="s">
        <v>6130</v>
      </c>
      <c r="F1485" s="111" t="s">
        <v>4518</v>
      </c>
      <c r="G1485" s="133">
        <v>29</v>
      </c>
      <c r="H1485" s="124"/>
      <c r="I1485" s="133" t="str">
        <f>IF(H1485&gt;0,(#REF!*H1485),"-")</f>
        <v>-</v>
      </c>
      <c r="J1485" s="113">
        <v>441</v>
      </c>
      <c r="K1485" s="110" t="s">
        <v>129</v>
      </c>
      <c r="L1485" s="110" t="s">
        <v>6086</v>
      </c>
      <c r="M1485" s="110" t="s">
        <v>129</v>
      </c>
      <c r="N1485" s="110" t="s">
        <v>944</v>
      </c>
      <c r="O1485" s="110" t="s">
        <v>6131</v>
      </c>
      <c r="P1485" s="110" t="s">
        <v>4520</v>
      </c>
      <c r="Q1485" s="110" t="s">
        <v>96</v>
      </c>
      <c r="R1485" s="121">
        <v>0.2185</v>
      </c>
      <c r="S1485" s="113" t="e">
        <f t="shared" si="46"/>
        <v>#VALUE!</v>
      </c>
      <c r="T1485" s="113">
        <f t="shared" si="47"/>
        <v>0</v>
      </c>
    </row>
    <row r="1486" spans="1:20" s="109" customFormat="1" x14ac:dyDescent="0.2">
      <c r="A1486" s="116"/>
      <c r="B1486" s="111" t="s">
        <v>1037</v>
      </c>
      <c r="C1486" s="110" t="s">
        <v>6132</v>
      </c>
      <c r="D1486" s="110" t="s">
        <v>6133</v>
      </c>
      <c r="E1486" s="112" t="s">
        <v>6134</v>
      </c>
      <c r="F1486" s="111" t="s">
        <v>4518</v>
      </c>
      <c r="G1486" s="133">
        <v>29</v>
      </c>
      <c r="H1486" s="124"/>
      <c r="I1486" s="133" t="str">
        <f>IF(H1486&gt;0,(#REF!*H1486),"-")</f>
        <v>-</v>
      </c>
      <c r="J1486" s="113">
        <v>441</v>
      </c>
      <c r="K1486" s="110" t="s">
        <v>129</v>
      </c>
      <c r="L1486" s="110" t="s">
        <v>6086</v>
      </c>
      <c r="M1486" s="110" t="s">
        <v>129</v>
      </c>
      <c r="N1486" s="110" t="s">
        <v>944</v>
      </c>
      <c r="O1486" s="110" t="s">
        <v>6135</v>
      </c>
      <c r="P1486" s="110" t="s">
        <v>4520</v>
      </c>
      <c r="Q1486" s="110" t="s">
        <v>96</v>
      </c>
      <c r="R1486" s="121">
        <v>0.2331</v>
      </c>
      <c r="S1486" s="113" t="e">
        <f t="shared" si="46"/>
        <v>#VALUE!</v>
      </c>
      <c r="T1486" s="113">
        <f t="shared" si="47"/>
        <v>0</v>
      </c>
    </row>
    <row r="1487" spans="1:20" s="109" customFormat="1" x14ac:dyDescent="0.2">
      <c r="A1487" s="116"/>
      <c r="B1487" s="111" t="s">
        <v>959</v>
      </c>
      <c r="C1487" s="110" t="s">
        <v>6136</v>
      </c>
      <c r="D1487" s="110" t="s">
        <v>6137</v>
      </c>
      <c r="E1487" s="112" t="s">
        <v>6138</v>
      </c>
      <c r="F1487" s="111" t="s">
        <v>4518</v>
      </c>
      <c r="G1487" s="133">
        <v>29</v>
      </c>
      <c r="H1487" s="124"/>
      <c r="I1487" s="133" t="str">
        <f>IF(H1487&gt;0,(#REF!*H1487),"-")</f>
        <v>-</v>
      </c>
      <c r="J1487" s="113">
        <v>441</v>
      </c>
      <c r="K1487" s="110" t="s">
        <v>129</v>
      </c>
      <c r="L1487" s="110" t="s">
        <v>6086</v>
      </c>
      <c r="M1487" s="110" t="s">
        <v>129</v>
      </c>
      <c r="N1487" s="110" t="s">
        <v>944</v>
      </c>
      <c r="O1487" s="110" t="s">
        <v>6139</v>
      </c>
      <c r="P1487" s="110" t="s">
        <v>4520</v>
      </c>
      <c r="Q1487" s="110" t="s">
        <v>96</v>
      </c>
      <c r="R1487" s="121">
        <v>0.214</v>
      </c>
      <c r="S1487" s="113" t="e">
        <f t="shared" si="46"/>
        <v>#VALUE!</v>
      </c>
      <c r="T1487" s="113">
        <f t="shared" si="47"/>
        <v>0</v>
      </c>
    </row>
    <row r="1488" spans="1:20" s="109" customFormat="1" x14ac:dyDescent="0.2">
      <c r="A1488" s="116"/>
      <c r="B1488" s="111" t="s">
        <v>1037</v>
      </c>
      <c r="C1488" s="110" t="s">
        <v>6140</v>
      </c>
      <c r="D1488" s="110" t="s">
        <v>6141</v>
      </c>
      <c r="E1488" s="112" t="s">
        <v>6142</v>
      </c>
      <c r="F1488" s="111" t="s">
        <v>4518</v>
      </c>
      <c r="G1488" s="133">
        <v>29</v>
      </c>
      <c r="H1488" s="124"/>
      <c r="I1488" s="133" t="str">
        <f>IF(H1488&gt;0,(#REF!*H1488),"-")</f>
        <v>-</v>
      </c>
      <c r="J1488" s="113">
        <v>441</v>
      </c>
      <c r="K1488" s="110" t="s">
        <v>129</v>
      </c>
      <c r="L1488" s="110" t="s">
        <v>6086</v>
      </c>
      <c r="M1488" s="110" t="s">
        <v>129</v>
      </c>
      <c r="N1488" s="110" t="s">
        <v>944</v>
      </c>
      <c r="O1488" s="110" t="s">
        <v>6143</v>
      </c>
      <c r="P1488" s="110" t="s">
        <v>4520</v>
      </c>
      <c r="Q1488" s="110" t="s">
        <v>96</v>
      </c>
      <c r="R1488" s="121">
        <v>0.23319999999999999</v>
      </c>
      <c r="S1488" s="113" t="e">
        <f t="shared" si="46"/>
        <v>#VALUE!</v>
      </c>
      <c r="T1488" s="113">
        <f t="shared" si="47"/>
        <v>0</v>
      </c>
    </row>
    <row r="1489" spans="1:20" s="109" customFormat="1" x14ac:dyDescent="0.2">
      <c r="A1489" s="116"/>
      <c r="B1489" s="111" t="s">
        <v>959</v>
      </c>
      <c r="C1489" s="110" t="s">
        <v>6144</v>
      </c>
      <c r="D1489" s="110" t="s">
        <v>6145</v>
      </c>
      <c r="E1489" s="112" t="s">
        <v>6146</v>
      </c>
      <c r="F1489" s="111" t="s">
        <v>4518</v>
      </c>
      <c r="G1489" s="133">
        <v>29</v>
      </c>
      <c r="H1489" s="124"/>
      <c r="I1489" s="133" t="str">
        <f>IF(H1489&gt;0,(#REF!*H1489),"-")</f>
        <v>-</v>
      </c>
      <c r="J1489" s="113">
        <v>441</v>
      </c>
      <c r="K1489" s="110" t="s">
        <v>129</v>
      </c>
      <c r="L1489" s="110" t="s">
        <v>6086</v>
      </c>
      <c r="M1489" s="110" t="s">
        <v>129</v>
      </c>
      <c r="N1489" s="110" t="s">
        <v>944</v>
      </c>
      <c r="O1489" s="110" t="s">
        <v>6147</v>
      </c>
      <c r="P1489" s="110" t="s">
        <v>4520</v>
      </c>
      <c r="Q1489" s="110" t="s">
        <v>96</v>
      </c>
      <c r="R1489" s="121">
        <v>0.2243</v>
      </c>
      <c r="S1489" s="113" t="e">
        <f t="shared" si="46"/>
        <v>#VALUE!</v>
      </c>
      <c r="T1489" s="113">
        <f t="shared" si="47"/>
        <v>0</v>
      </c>
    </row>
    <row r="1490" spans="1:20" s="109" customFormat="1" x14ac:dyDescent="0.2">
      <c r="A1490" s="116"/>
      <c r="B1490" s="111" t="s">
        <v>289</v>
      </c>
      <c r="C1490" s="110" t="s">
        <v>6148</v>
      </c>
      <c r="D1490" s="110" t="s">
        <v>6149</v>
      </c>
      <c r="E1490" s="112" t="s">
        <v>6150</v>
      </c>
      <c r="F1490" s="111" t="s">
        <v>944</v>
      </c>
      <c r="G1490" s="133">
        <v>29</v>
      </c>
      <c r="H1490" s="124"/>
      <c r="I1490" s="133" t="str">
        <f>IF(H1490&gt;0,(#REF!*H1490),"-")</f>
        <v>-</v>
      </c>
      <c r="J1490" s="113">
        <v>441</v>
      </c>
      <c r="K1490" s="110" t="s">
        <v>129</v>
      </c>
      <c r="L1490" s="110" t="s">
        <v>6086</v>
      </c>
      <c r="M1490" s="110" t="s">
        <v>129</v>
      </c>
      <c r="N1490" s="110" t="s">
        <v>944</v>
      </c>
      <c r="O1490" s="110" t="s">
        <v>6151</v>
      </c>
      <c r="P1490" s="110" t="s">
        <v>4520</v>
      </c>
      <c r="Q1490" s="110" t="s">
        <v>96</v>
      </c>
      <c r="R1490" s="121">
        <v>0.23400000000000001</v>
      </c>
      <c r="S1490" s="113" t="e">
        <f t="shared" si="46"/>
        <v>#VALUE!</v>
      </c>
      <c r="T1490" s="113">
        <f t="shared" si="47"/>
        <v>0</v>
      </c>
    </row>
    <row r="1491" spans="1:20" s="109" customFormat="1" x14ac:dyDescent="0.2">
      <c r="A1491" s="116"/>
      <c r="B1491" s="111" t="s">
        <v>5299</v>
      </c>
      <c r="C1491" s="110" t="s">
        <v>6152</v>
      </c>
      <c r="D1491" s="110" t="s">
        <v>6153</v>
      </c>
      <c r="E1491" s="112" t="s">
        <v>6154</v>
      </c>
      <c r="F1491" s="111" t="s">
        <v>4518</v>
      </c>
      <c r="G1491" s="133">
        <v>29</v>
      </c>
      <c r="H1491" s="124"/>
      <c r="I1491" s="133" t="str">
        <f>IF(H1491&gt;0,(#REF!*H1491),"-")</f>
        <v>-</v>
      </c>
      <c r="J1491" s="113">
        <v>441</v>
      </c>
      <c r="K1491" s="110" t="s">
        <v>129</v>
      </c>
      <c r="L1491" s="110" t="s">
        <v>6086</v>
      </c>
      <c r="M1491" s="110" t="s">
        <v>129</v>
      </c>
      <c r="N1491" s="110" t="s">
        <v>944</v>
      </c>
      <c r="O1491" s="110" t="s">
        <v>6155</v>
      </c>
      <c r="P1491" s="110" t="s">
        <v>4520</v>
      </c>
      <c r="Q1491" s="110" t="s">
        <v>96</v>
      </c>
      <c r="R1491" s="121">
        <v>0.217</v>
      </c>
      <c r="S1491" s="113" t="e">
        <f t="shared" si="46"/>
        <v>#VALUE!</v>
      </c>
      <c r="T1491" s="113">
        <f t="shared" si="47"/>
        <v>0</v>
      </c>
    </row>
    <row r="1492" spans="1:20" s="109" customFormat="1" x14ac:dyDescent="0.2">
      <c r="A1492" s="116"/>
      <c r="B1492" s="111" t="s">
        <v>1037</v>
      </c>
      <c r="C1492" s="110" t="s">
        <v>6156</v>
      </c>
      <c r="D1492" s="110" t="s">
        <v>6157</v>
      </c>
      <c r="E1492" s="112" t="s">
        <v>6158</v>
      </c>
      <c r="F1492" s="111" t="s">
        <v>4518</v>
      </c>
      <c r="G1492" s="133">
        <v>29</v>
      </c>
      <c r="H1492" s="124"/>
      <c r="I1492" s="133" t="str">
        <f>IF(H1492&gt;0,(#REF!*H1492),"-")</f>
        <v>-</v>
      </c>
      <c r="J1492" s="113">
        <v>441</v>
      </c>
      <c r="K1492" s="110" t="s">
        <v>129</v>
      </c>
      <c r="L1492" s="110" t="s">
        <v>6086</v>
      </c>
      <c r="M1492" s="110" t="s">
        <v>129</v>
      </c>
      <c r="N1492" s="110" t="s">
        <v>944</v>
      </c>
      <c r="O1492" s="110" t="s">
        <v>6159</v>
      </c>
      <c r="P1492" s="110" t="s">
        <v>4520</v>
      </c>
      <c r="Q1492" s="110" t="s">
        <v>96</v>
      </c>
      <c r="R1492" s="121">
        <v>0.2243</v>
      </c>
      <c r="S1492" s="113" t="e">
        <f t="shared" si="46"/>
        <v>#VALUE!</v>
      </c>
      <c r="T1492" s="113">
        <f t="shared" si="47"/>
        <v>0</v>
      </c>
    </row>
    <row r="1493" spans="1:20" s="109" customFormat="1" x14ac:dyDescent="0.2">
      <c r="A1493" s="116"/>
      <c r="B1493" s="111" t="s">
        <v>5299</v>
      </c>
      <c r="C1493" s="110" t="s">
        <v>6160</v>
      </c>
      <c r="D1493" s="110" t="s">
        <v>6161</v>
      </c>
      <c r="E1493" s="112" t="s">
        <v>6162</v>
      </c>
      <c r="F1493" s="111" t="s">
        <v>4518</v>
      </c>
      <c r="G1493" s="133">
        <v>29</v>
      </c>
      <c r="H1493" s="124"/>
      <c r="I1493" s="133" t="str">
        <f>IF(H1493&gt;0,(#REF!*H1493),"-")</f>
        <v>-</v>
      </c>
      <c r="J1493" s="113">
        <v>441</v>
      </c>
      <c r="K1493" s="110" t="s">
        <v>129</v>
      </c>
      <c r="L1493" s="110" t="s">
        <v>6086</v>
      </c>
      <c r="M1493" s="110" t="s">
        <v>129</v>
      </c>
      <c r="N1493" s="110" t="s">
        <v>944</v>
      </c>
      <c r="O1493" s="110" t="s">
        <v>6163</v>
      </c>
      <c r="P1493" s="110" t="s">
        <v>4520</v>
      </c>
      <c r="Q1493" s="110" t="s">
        <v>96</v>
      </c>
      <c r="R1493" s="121">
        <v>0.21199999999999999</v>
      </c>
      <c r="S1493" s="113" t="e">
        <f t="shared" si="46"/>
        <v>#VALUE!</v>
      </c>
      <c r="T1493" s="113">
        <f t="shared" si="47"/>
        <v>0</v>
      </c>
    </row>
    <row r="1494" spans="1:20" s="109" customFormat="1" x14ac:dyDescent="0.2">
      <c r="A1494" s="116"/>
      <c r="B1494" s="111" t="s">
        <v>1037</v>
      </c>
      <c r="C1494" s="110" t="s">
        <v>6164</v>
      </c>
      <c r="D1494" s="110" t="s">
        <v>6165</v>
      </c>
      <c r="E1494" s="112" t="s">
        <v>6166</v>
      </c>
      <c r="F1494" s="111" t="s">
        <v>4518</v>
      </c>
      <c r="G1494" s="133">
        <v>29</v>
      </c>
      <c r="H1494" s="124"/>
      <c r="I1494" s="133" t="str">
        <f>IF(H1494&gt;0,(#REF!*H1494),"-")</f>
        <v>-</v>
      </c>
      <c r="J1494" s="113">
        <v>441</v>
      </c>
      <c r="K1494" s="110" t="s">
        <v>129</v>
      </c>
      <c r="L1494" s="110" t="s">
        <v>6086</v>
      </c>
      <c r="M1494" s="110" t="s">
        <v>129</v>
      </c>
      <c r="N1494" s="110" t="s">
        <v>944</v>
      </c>
      <c r="O1494" s="110" t="s">
        <v>6167</v>
      </c>
      <c r="P1494" s="110" t="s">
        <v>4520</v>
      </c>
      <c r="Q1494" s="110" t="s">
        <v>96</v>
      </c>
      <c r="R1494" s="121">
        <v>0.23400000000000001</v>
      </c>
      <c r="S1494" s="113" t="e">
        <f t="shared" si="46"/>
        <v>#VALUE!</v>
      </c>
      <c r="T1494" s="113">
        <f t="shared" si="47"/>
        <v>0</v>
      </c>
    </row>
    <row r="1495" spans="1:20" s="109" customFormat="1" x14ac:dyDescent="0.2">
      <c r="A1495" s="116"/>
      <c r="B1495" s="111" t="s">
        <v>5299</v>
      </c>
      <c r="C1495" s="110" t="s">
        <v>6168</v>
      </c>
      <c r="D1495" s="110" t="s">
        <v>6169</v>
      </c>
      <c r="E1495" s="112" t="s">
        <v>6170</v>
      </c>
      <c r="F1495" s="111" t="s">
        <v>4518</v>
      </c>
      <c r="G1495" s="133">
        <v>29</v>
      </c>
      <c r="H1495" s="124"/>
      <c r="I1495" s="133" t="str">
        <f>IF(H1495&gt;0,(#REF!*H1495),"-")</f>
        <v>-</v>
      </c>
      <c r="J1495" s="113">
        <v>441</v>
      </c>
      <c r="K1495" s="110" t="s">
        <v>129</v>
      </c>
      <c r="L1495" s="110" t="s">
        <v>6086</v>
      </c>
      <c r="M1495" s="110" t="s">
        <v>129</v>
      </c>
      <c r="N1495" s="110" t="s">
        <v>944</v>
      </c>
      <c r="O1495" s="110" t="s">
        <v>6171</v>
      </c>
      <c r="P1495" s="110" t="s">
        <v>4520</v>
      </c>
      <c r="Q1495" s="110" t="s">
        <v>96</v>
      </c>
      <c r="R1495" s="121">
        <v>0.21690000000000001</v>
      </c>
      <c r="S1495" s="113" t="e">
        <f t="shared" si="46"/>
        <v>#VALUE!</v>
      </c>
      <c r="T1495" s="113">
        <f t="shared" si="47"/>
        <v>0</v>
      </c>
    </row>
    <row r="1496" spans="1:20" s="109" customFormat="1" x14ac:dyDescent="0.2">
      <c r="A1496" s="116"/>
      <c r="B1496" s="111" t="s">
        <v>1037</v>
      </c>
      <c r="C1496" s="110" t="s">
        <v>6172</v>
      </c>
      <c r="D1496" s="110" t="s">
        <v>6173</v>
      </c>
      <c r="E1496" s="112" t="s">
        <v>6174</v>
      </c>
      <c r="F1496" s="111" t="s">
        <v>4518</v>
      </c>
      <c r="G1496" s="133">
        <v>29</v>
      </c>
      <c r="H1496" s="124"/>
      <c r="I1496" s="133" t="str">
        <f>IF(H1496&gt;0,(#REF!*H1496),"-")</f>
        <v>-</v>
      </c>
      <c r="J1496" s="113">
        <v>441</v>
      </c>
      <c r="K1496" s="110" t="s">
        <v>129</v>
      </c>
      <c r="L1496" s="110" t="s">
        <v>6086</v>
      </c>
      <c r="M1496" s="110" t="s">
        <v>129</v>
      </c>
      <c r="N1496" s="110" t="s">
        <v>944</v>
      </c>
      <c r="O1496" s="110" t="s">
        <v>6175</v>
      </c>
      <c r="P1496" s="110" t="s">
        <v>4520</v>
      </c>
      <c r="Q1496" s="110" t="s">
        <v>96</v>
      </c>
      <c r="R1496" s="121">
        <v>0.20660000000000001</v>
      </c>
      <c r="S1496" s="113" t="e">
        <f t="shared" si="46"/>
        <v>#VALUE!</v>
      </c>
      <c r="T1496" s="113">
        <f t="shared" si="47"/>
        <v>0</v>
      </c>
    </row>
    <row r="1497" spans="1:20" s="109" customFormat="1" x14ac:dyDescent="0.2">
      <c r="A1497" s="116"/>
      <c r="B1497" s="111" t="s">
        <v>1037</v>
      </c>
      <c r="C1497" s="110" t="s">
        <v>6176</v>
      </c>
      <c r="D1497" s="110" t="s">
        <v>6177</v>
      </c>
      <c r="E1497" s="112" t="s">
        <v>6178</v>
      </c>
      <c r="F1497" s="111" t="s">
        <v>4518</v>
      </c>
      <c r="G1497" s="133">
        <v>29</v>
      </c>
      <c r="H1497" s="124"/>
      <c r="I1497" s="133" t="str">
        <f>IF(H1497&gt;0,(#REF!*H1497),"-")</f>
        <v>-</v>
      </c>
      <c r="J1497" s="113">
        <v>416</v>
      </c>
      <c r="K1497" s="110" t="s">
        <v>129</v>
      </c>
      <c r="L1497" s="110" t="s">
        <v>6086</v>
      </c>
      <c r="M1497" s="110" t="s">
        <v>129</v>
      </c>
      <c r="N1497" s="110" t="s">
        <v>944</v>
      </c>
      <c r="O1497" s="110" t="s">
        <v>6179</v>
      </c>
      <c r="P1497" s="110" t="s">
        <v>4520</v>
      </c>
      <c r="Q1497" s="110" t="s">
        <v>96</v>
      </c>
      <c r="R1497" s="121">
        <v>0.215</v>
      </c>
      <c r="S1497" s="113" t="e">
        <f t="shared" si="46"/>
        <v>#VALUE!</v>
      </c>
      <c r="T1497" s="113">
        <f t="shared" si="47"/>
        <v>0</v>
      </c>
    </row>
    <row r="1498" spans="1:20" s="109" customFormat="1" x14ac:dyDescent="0.2">
      <c r="A1498" s="116"/>
      <c r="B1498" s="111" t="s">
        <v>1037</v>
      </c>
      <c r="C1498" s="110" t="s">
        <v>6180</v>
      </c>
      <c r="D1498" s="110" t="s">
        <v>6181</v>
      </c>
      <c r="E1498" s="112" t="s">
        <v>6182</v>
      </c>
      <c r="F1498" s="111" t="s">
        <v>4518</v>
      </c>
      <c r="G1498" s="133">
        <v>29</v>
      </c>
      <c r="H1498" s="124"/>
      <c r="I1498" s="133" t="str">
        <f>IF(H1498&gt;0,(#REF!*H1498),"-")</f>
        <v>-</v>
      </c>
      <c r="J1498" s="113">
        <v>441</v>
      </c>
      <c r="K1498" s="110" t="s">
        <v>129</v>
      </c>
      <c r="L1498" s="110" t="s">
        <v>6086</v>
      </c>
      <c r="M1498" s="110" t="s">
        <v>129</v>
      </c>
      <c r="N1498" s="110" t="s">
        <v>944</v>
      </c>
      <c r="O1498" s="110" t="s">
        <v>6183</v>
      </c>
      <c r="P1498" s="110" t="s">
        <v>4520</v>
      </c>
      <c r="Q1498" s="110" t="s">
        <v>96</v>
      </c>
      <c r="R1498" s="121">
        <v>0.22</v>
      </c>
      <c r="S1498" s="113" t="e">
        <f t="shared" si="46"/>
        <v>#VALUE!</v>
      </c>
      <c r="T1498" s="113">
        <f t="shared" si="47"/>
        <v>0</v>
      </c>
    </row>
    <row r="1499" spans="1:20" s="109" customFormat="1" x14ac:dyDescent="0.2">
      <c r="A1499" s="116"/>
      <c r="B1499" s="111" t="s">
        <v>959</v>
      </c>
      <c r="C1499" s="110" t="s">
        <v>6184</v>
      </c>
      <c r="D1499" s="110" t="s">
        <v>6185</v>
      </c>
      <c r="E1499" s="112" t="s">
        <v>6186</v>
      </c>
      <c r="F1499" s="111" t="s">
        <v>4518</v>
      </c>
      <c r="G1499" s="133">
        <v>29</v>
      </c>
      <c r="H1499" s="124"/>
      <c r="I1499" s="133" t="str">
        <f>IF(H1499&gt;0,(#REF!*H1499),"-")</f>
        <v>-</v>
      </c>
      <c r="J1499" s="113">
        <v>446</v>
      </c>
      <c r="K1499" s="110" t="s">
        <v>129</v>
      </c>
      <c r="L1499" s="110" t="s">
        <v>6187</v>
      </c>
      <c r="M1499" s="110" t="s">
        <v>129</v>
      </c>
      <c r="N1499" s="110" t="s">
        <v>944</v>
      </c>
      <c r="O1499" s="110" t="s">
        <v>6188</v>
      </c>
      <c r="P1499" s="110" t="s">
        <v>4520</v>
      </c>
      <c r="Q1499" s="110" t="s">
        <v>96</v>
      </c>
      <c r="R1499" s="121">
        <v>0.23599999999999999</v>
      </c>
      <c r="S1499" s="113" t="e">
        <f t="shared" si="46"/>
        <v>#VALUE!</v>
      </c>
      <c r="T1499" s="113">
        <f t="shared" si="47"/>
        <v>0</v>
      </c>
    </row>
    <row r="1500" spans="1:20" s="109" customFormat="1" x14ac:dyDescent="0.2">
      <c r="A1500" s="116"/>
      <c r="B1500" s="111" t="s">
        <v>959</v>
      </c>
      <c r="C1500" s="110" t="s">
        <v>6189</v>
      </c>
      <c r="D1500" s="110" t="s">
        <v>6190</v>
      </c>
      <c r="E1500" s="112" t="s">
        <v>6191</v>
      </c>
      <c r="F1500" s="111" t="s">
        <v>4518</v>
      </c>
      <c r="G1500" s="133">
        <v>29</v>
      </c>
      <c r="H1500" s="124"/>
      <c r="I1500" s="133" t="str">
        <f>IF(H1500&gt;0,(#REF!*H1500),"-")</f>
        <v>-</v>
      </c>
      <c r="J1500" s="113">
        <v>441</v>
      </c>
      <c r="K1500" s="110" t="s">
        <v>129</v>
      </c>
      <c r="L1500" s="110" t="s">
        <v>6187</v>
      </c>
      <c r="M1500" s="110" t="s">
        <v>129</v>
      </c>
      <c r="N1500" s="110" t="s">
        <v>944</v>
      </c>
      <c r="O1500" s="110" t="s">
        <v>6192</v>
      </c>
      <c r="P1500" s="110" t="s">
        <v>4520</v>
      </c>
      <c r="Q1500" s="110" t="s">
        <v>96</v>
      </c>
      <c r="R1500" s="121">
        <v>0.23230000000000001</v>
      </c>
      <c r="S1500" s="113" t="e">
        <f t="shared" si="46"/>
        <v>#VALUE!</v>
      </c>
      <c r="T1500" s="113">
        <f t="shared" si="47"/>
        <v>0</v>
      </c>
    </row>
    <row r="1501" spans="1:20" s="109" customFormat="1" x14ac:dyDescent="0.2">
      <c r="A1501" s="116"/>
      <c r="B1501" s="111" t="s">
        <v>959</v>
      </c>
      <c r="C1501" s="110" t="s">
        <v>6193</v>
      </c>
      <c r="D1501" s="110" t="s">
        <v>6194</v>
      </c>
      <c r="E1501" s="112" t="s">
        <v>6195</v>
      </c>
      <c r="F1501" s="111" t="s">
        <v>4518</v>
      </c>
      <c r="G1501" s="133">
        <v>29</v>
      </c>
      <c r="H1501" s="124"/>
      <c r="I1501" s="133" t="str">
        <f>IF(H1501&gt;0,(#REF!*H1501),"-")</f>
        <v>-</v>
      </c>
      <c r="J1501" s="113">
        <v>441</v>
      </c>
      <c r="K1501" s="110" t="s">
        <v>129</v>
      </c>
      <c r="L1501" s="110" t="s">
        <v>6187</v>
      </c>
      <c r="M1501" s="110" t="s">
        <v>129</v>
      </c>
      <c r="N1501" s="110" t="s">
        <v>944</v>
      </c>
      <c r="O1501" s="110" t="s">
        <v>6196</v>
      </c>
      <c r="P1501" s="110" t="s">
        <v>4520</v>
      </c>
      <c r="Q1501" s="110" t="s">
        <v>96</v>
      </c>
      <c r="R1501" s="121">
        <v>0.23519999999999999</v>
      </c>
      <c r="S1501" s="113" t="e">
        <f t="shared" si="46"/>
        <v>#VALUE!</v>
      </c>
      <c r="T1501" s="113">
        <f t="shared" si="47"/>
        <v>0</v>
      </c>
    </row>
    <row r="1502" spans="1:20" s="109" customFormat="1" x14ac:dyDescent="0.2">
      <c r="A1502" s="116"/>
      <c r="B1502" s="111" t="s">
        <v>959</v>
      </c>
      <c r="C1502" s="110" t="s">
        <v>6197</v>
      </c>
      <c r="D1502" s="110" t="s">
        <v>6198</v>
      </c>
      <c r="E1502" s="112" t="s">
        <v>6199</v>
      </c>
      <c r="F1502" s="111" t="s">
        <v>4518</v>
      </c>
      <c r="G1502" s="133">
        <v>29</v>
      </c>
      <c r="H1502" s="124"/>
      <c r="I1502" s="133" t="str">
        <f>IF(H1502&gt;0,(#REF!*H1502),"-")</f>
        <v>-</v>
      </c>
      <c r="J1502" s="113">
        <v>441</v>
      </c>
      <c r="K1502" s="110" t="s">
        <v>129</v>
      </c>
      <c r="L1502" s="110" t="s">
        <v>6187</v>
      </c>
      <c r="M1502" s="110" t="s">
        <v>129</v>
      </c>
      <c r="N1502" s="110" t="s">
        <v>944</v>
      </c>
      <c r="O1502" s="110" t="s">
        <v>6200</v>
      </c>
      <c r="P1502" s="110" t="s">
        <v>4520</v>
      </c>
      <c r="Q1502" s="110" t="s">
        <v>96</v>
      </c>
      <c r="R1502" s="121">
        <v>0.22159999999999999</v>
      </c>
      <c r="S1502" s="113" t="e">
        <f t="shared" si="46"/>
        <v>#VALUE!</v>
      </c>
      <c r="T1502" s="113">
        <f t="shared" si="47"/>
        <v>0</v>
      </c>
    </row>
    <row r="1503" spans="1:20" s="109" customFormat="1" x14ac:dyDescent="0.2">
      <c r="A1503" s="116"/>
      <c r="B1503" s="111" t="s">
        <v>959</v>
      </c>
      <c r="C1503" s="110" t="s">
        <v>6201</v>
      </c>
      <c r="D1503" s="110" t="s">
        <v>6202</v>
      </c>
      <c r="E1503" s="112" t="s">
        <v>6203</v>
      </c>
      <c r="F1503" s="111" t="s">
        <v>4518</v>
      </c>
      <c r="G1503" s="133">
        <v>29</v>
      </c>
      <c r="H1503" s="124"/>
      <c r="I1503" s="133" t="str">
        <f>IF(H1503&gt;0,(#REF!*H1503),"-")</f>
        <v>-</v>
      </c>
      <c r="J1503" s="113">
        <v>410</v>
      </c>
      <c r="K1503" s="110" t="s">
        <v>129</v>
      </c>
      <c r="L1503" s="110" t="s">
        <v>6187</v>
      </c>
      <c r="M1503" s="110" t="s">
        <v>129</v>
      </c>
      <c r="N1503" s="110" t="s">
        <v>944</v>
      </c>
      <c r="O1503" s="110" t="s">
        <v>6204</v>
      </c>
      <c r="P1503" s="110" t="s">
        <v>4520</v>
      </c>
      <c r="Q1503" s="110" t="s">
        <v>96</v>
      </c>
      <c r="R1503" s="121">
        <v>0.22600000000000001</v>
      </c>
      <c r="S1503" s="113" t="e">
        <f t="shared" si="46"/>
        <v>#VALUE!</v>
      </c>
      <c r="T1503" s="113">
        <f t="shared" si="47"/>
        <v>0</v>
      </c>
    </row>
    <row r="1504" spans="1:20" s="109" customFormat="1" x14ac:dyDescent="0.2">
      <c r="A1504" s="116"/>
      <c r="B1504" s="111" t="s">
        <v>959</v>
      </c>
      <c r="C1504" s="110" t="s">
        <v>6205</v>
      </c>
      <c r="D1504" s="110" t="s">
        <v>6206</v>
      </c>
      <c r="E1504" s="112" t="s">
        <v>6207</v>
      </c>
      <c r="F1504" s="111" t="s">
        <v>4518</v>
      </c>
      <c r="G1504" s="133">
        <v>29</v>
      </c>
      <c r="H1504" s="124"/>
      <c r="I1504" s="133" t="str">
        <f>IF(H1504&gt;0,(#REF!*H1504),"-")</f>
        <v>-</v>
      </c>
      <c r="J1504" s="113">
        <v>441</v>
      </c>
      <c r="K1504" s="110" t="s">
        <v>129</v>
      </c>
      <c r="L1504" s="110" t="s">
        <v>6187</v>
      </c>
      <c r="M1504" s="110" t="s">
        <v>129</v>
      </c>
      <c r="N1504" s="110" t="s">
        <v>944</v>
      </c>
      <c r="O1504" s="110" t="s">
        <v>6208</v>
      </c>
      <c r="P1504" s="110" t="s">
        <v>4520</v>
      </c>
      <c r="Q1504" s="110" t="s">
        <v>96</v>
      </c>
      <c r="R1504" s="121">
        <v>0.21629999999999999</v>
      </c>
      <c r="S1504" s="113" t="e">
        <f t="shared" si="46"/>
        <v>#VALUE!</v>
      </c>
      <c r="T1504" s="113">
        <f t="shared" si="47"/>
        <v>0</v>
      </c>
    </row>
    <row r="1505" spans="1:20" s="109" customFormat="1" x14ac:dyDescent="0.2">
      <c r="A1505" s="116"/>
      <c r="B1505" s="111" t="s">
        <v>959</v>
      </c>
      <c r="C1505" s="110" t="s">
        <v>6209</v>
      </c>
      <c r="D1505" s="110" t="s">
        <v>6210</v>
      </c>
      <c r="E1505" s="112" t="s">
        <v>6211</v>
      </c>
      <c r="F1505" s="111" t="s">
        <v>4518</v>
      </c>
      <c r="G1505" s="133">
        <v>29</v>
      </c>
      <c r="H1505" s="124"/>
      <c r="I1505" s="133" t="str">
        <f>IF(H1505&gt;0,(#REF!*H1505),"-")</f>
        <v>-</v>
      </c>
      <c r="J1505" s="113">
        <v>441</v>
      </c>
      <c r="K1505" s="110" t="s">
        <v>129</v>
      </c>
      <c r="L1505" s="110" t="s">
        <v>6187</v>
      </c>
      <c r="M1505" s="110" t="s">
        <v>129</v>
      </c>
      <c r="N1505" s="110" t="s">
        <v>944</v>
      </c>
      <c r="O1505" s="110" t="s">
        <v>6212</v>
      </c>
      <c r="P1505" s="110" t="s">
        <v>4520</v>
      </c>
      <c r="Q1505" s="110" t="s">
        <v>96</v>
      </c>
      <c r="R1505" s="121">
        <v>0.21840000000000001</v>
      </c>
      <c r="S1505" s="113" t="e">
        <f t="shared" si="46"/>
        <v>#VALUE!</v>
      </c>
      <c r="T1505" s="113">
        <f t="shared" si="47"/>
        <v>0</v>
      </c>
    </row>
    <row r="1506" spans="1:20" s="109" customFormat="1" x14ac:dyDescent="0.2">
      <c r="A1506" s="116"/>
      <c r="B1506" s="111" t="s">
        <v>959</v>
      </c>
      <c r="C1506" s="110" t="s">
        <v>6213</v>
      </c>
      <c r="D1506" s="110" t="s">
        <v>6214</v>
      </c>
      <c r="E1506" s="112" t="s">
        <v>6215</v>
      </c>
      <c r="F1506" s="111" t="s">
        <v>4518</v>
      </c>
      <c r="G1506" s="133">
        <v>29</v>
      </c>
      <c r="H1506" s="124"/>
      <c r="I1506" s="133" t="str">
        <f>IF(H1506&gt;0,(#REF!*H1506),"-")</f>
        <v>-</v>
      </c>
      <c r="J1506" s="113">
        <v>441</v>
      </c>
      <c r="K1506" s="110" t="s">
        <v>129</v>
      </c>
      <c r="L1506" s="110" t="s">
        <v>6187</v>
      </c>
      <c r="M1506" s="110" t="s">
        <v>129</v>
      </c>
      <c r="N1506" s="110" t="s">
        <v>944</v>
      </c>
      <c r="O1506" s="110" t="s">
        <v>6216</v>
      </c>
      <c r="P1506" s="110" t="s">
        <v>4520</v>
      </c>
      <c r="Q1506" s="110" t="s">
        <v>96</v>
      </c>
      <c r="R1506" s="121">
        <v>0.2273</v>
      </c>
      <c r="S1506" s="113" t="e">
        <f t="shared" si="46"/>
        <v>#VALUE!</v>
      </c>
      <c r="T1506" s="113">
        <f t="shared" si="47"/>
        <v>0</v>
      </c>
    </row>
    <row r="1507" spans="1:20" s="109" customFormat="1" x14ac:dyDescent="0.2">
      <c r="A1507" s="116"/>
      <c r="B1507" s="111" t="s">
        <v>959</v>
      </c>
      <c r="C1507" s="110" t="s">
        <v>6217</v>
      </c>
      <c r="D1507" s="110" t="s">
        <v>6218</v>
      </c>
      <c r="E1507" s="112" t="s">
        <v>6219</v>
      </c>
      <c r="F1507" s="111" t="s">
        <v>4518</v>
      </c>
      <c r="G1507" s="133">
        <v>29</v>
      </c>
      <c r="H1507" s="124"/>
      <c r="I1507" s="133" t="str">
        <f>IF(H1507&gt;0,(#REF!*H1507),"-")</f>
        <v>-</v>
      </c>
      <c r="J1507" s="113">
        <v>441</v>
      </c>
      <c r="K1507" s="110" t="s">
        <v>129</v>
      </c>
      <c r="L1507" s="110" t="s">
        <v>6187</v>
      </c>
      <c r="M1507" s="110" t="s">
        <v>129</v>
      </c>
      <c r="N1507" s="110" t="s">
        <v>944</v>
      </c>
      <c r="O1507" s="110" t="s">
        <v>6220</v>
      </c>
      <c r="P1507" s="110" t="s">
        <v>4520</v>
      </c>
      <c r="Q1507" s="110" t="s">
        <v>96</v>
      </c>
      <c r="R1507" s="121">
        <v>0.224</v>
      </c>
      <c r="S1507" s="113" t="e">
        <f t="shared" si="46"/>
        <v>#VALUE!</v>
      </c>
      <c r="T1507" s="113">
        <f t="shared" si="47"/>
        <v>0</v>
      </c>
    </row>
    <row r="1508" spans="1:20" s="109" customFormat="1" x14ac:dyDescent="0.2">
      <c r="A1508" s="116"/>
      <c r="B1508" s="111" t="s">
        <v>959</v>
      </c>
      <c r="C1508" s="110" t="s">
        <v>6221</v>
      </c>
      <c r="D1508" s="110" t="s">
        <v>6222</v>
      </c>
      <c r="E1508" s="112" t="s">
        <v>6223</v>
      </c>
      <c r="F1508" s="111" t="s">
        <v>4518</v>
      </c>
      <c r="G1508" s="133">
        <v>29</v>
      </c>
      <c r="H1508" s="124"/>
      <c r="I1508" s="133" t="str">
        <f>IF(H1508&gt;0,(#REF!*H1508),"-")</f>
        <v>-</v>
      </c>
      <c r="J1508" s="113">
        <v>441</v>
      </c>
      <c r="K1508" s="110" t="s">
        <v>129</v>
      </c>
      <c r="L1508" s="110" t="s">
        <v>6187</v>
      </c>
      <c r="M1508" s="110" t="s">
        <v>129</v>
      </c>
      <c r="N1508" s="110" t="s">
        <v>944</v>
      </c>
      <c r="O1508" s="110" t="s">
        <v>6224</v>
      </c>
      <c r="P1508" s="110" t="s">
        <v>4520</v>
      </c>
      <c r="Q1508" s="110" t="s">
        <v>96</v>
      </c>
      <c r="R1508" s="121">
        <v>0.23200000000000001</v>
      </c>
      <c r="S1508" s="113" t="e">
        <f t="shared" si="46"/>
        <v>#VALUE!</v>
      </c>
      <c r="T1508" s="113">
        <f t="shared" si="47"/>
        <v>0</v>
      </c>
    </row>
    <row r="1509" spans="1:20" s="109" customFormat="1" x14ac:dyDescent="0.2">
      <c r="A1509" s="116"/>
      <c r="B1509" s="111" t="s">
        <v>959</v>
      </c>
      <c r="C1509" s="110" t="s">
        <v>6225</v>
      </c>
      <c r="D1509" s="110" t="s">
        <v>6226</v>
      </c>
      <c r="E1509" s="112" t="s">
        <v>6227</v>
      </c>
      <c r="F1509" s="111" t="s">
        <v>4518</v>
      </c>
      <c r="G1509" s="133">
        <v>29</v>
      </c>
      <c r="H1509" s="124"/>
      <c r="I1509" s="133" t="str">
        <f>IF(H1509&gt;0,(#REF!*H1509),"-")</f>
        <v>-</v>
      </c>
      <c r="J1509" s="113">
        <v>441</v>
      </c>
      <c r="K1509" s="110" t="s">
        <v>129</v>
      </c>
      <c r="L1509" s="110" t="s">
        <v>6187</v>
      </c>
      <c r="M1509" s="110" t="s">
        <v>129</v>
      </c>
      <c r="N1509" s="110" t="s">
        <v>944</v>
      </c>
      <c r="O1509" s="110" t="s">
        <v>6228</v>
      </c>
      <c r="P1509" s="110" t="s">
        <v>4520</v>
      </c>
      <c r="Q1509" s="110" t="s">
        <v>96</v>
      </c>
      <c r="R1509" s="121">
        <v>0.22220000000000001</v>
      </c>
      <c r="S1509" s="113" t="e">
        <f t="shared" si="46"/>
        <v>#VALUE!</v>
      </c>
      <c r="T1509" s="113">
        <f t="shared" si="47"/>
        <v>0</v>
      </c>
    </row>
    <row r="1510" spans="1:20" s="109" customFormat="1" x14ac:dyDescent="0.2">
      <c r="A1510" s="116"/>
      <c r="B1510" s="111" t="s">
        <v>959</v>
      </c>
      <c r="C1510" s="110" t="s">
        <v>6229</v>
      </c>
      <c r="D1510" s="110" t="s">
        <v>6230</v>
      </c>
      <c r="E1510" s="112" t="s">
        <v>6231</v>
      </c>
      <c r="F1510" s="111" t="s">
        <v>4518</v>
      </c>
      <c r="G1510" s="133">
        <v>29</v>
      </c>
      <c r="H1510" s="124"/>
      <c r="I1510" s="133" t="str">
        <f>IF(H1510&gt;0,(#REF!*H1510),"-")</f>
        <v>-</v>
      </c>
      <c r="J1510" s="113">
        <v>441</v>
      </c>
      <c r="K1510" s="110" t="s">
        <v>129</v>
      </c>
      <c r="L1510" s="110" t="s">
        <v>6187</v>
      </c>
      <c r="M1510" s="110" t="s">
        <v>129</v>
      </c>
      <c r="N1510" s="110" t="s">
        <v>944</v>
      </c>
      <c r="O1510" s="110" t="s">
        <v>6232</v>
      </c>
      <c r="P1510" s="110" t="s">
        <v>4520</v>
      </c>
      <c r="Q1510" s="110" t="s">
        <v>96</v>
      </c>
      <c r="R1510" s="121">
        <v>0.23100000000000001</v>
      </c>
      <c r="S1510" s="113" t="e">
        <f t="shared" si="46"/>
        <v>#VALUE!</v>
      </c>
      <c r="T1510" s="113">
        <f t="shared" si="47"/>
        <v>0</v>
      </c>
    </row>
    <row r="1511" spans="1:20" s="109" customFormat="1" x14ac:dyDescent="0.2">
      <c r="A1511" s="116"/>
      <c r="B1511" s="111" t="s">
        <v>959</v>
      </c>
      <c r="C1511" s="110" t="s">
        <v>6233</v>
      </c>
      <c r="D1511" s="110" t="s">
        <v>6234</v>
      </c>
      <c r="E1511" s="112" t="s">
        <v>6235</v>
      </c>
      <c r="F1511" s="111" t="s">
        <v>4518</v>
      </c>
      <c r="G1511" s="133">
        <v>29</v>
      </c>
      <c r="H1511" s="124"/>
      <c r="I1511" s="133" t="str">
        <f>IF(H1511&gt;0,(#REF!*H1511),"-")</f>
        <v>-</v>
      </c>
      <c r="J1511" s="113">
        <v>441</v>
      </c>
      <c r="K1511" s="110" t="s">
        <v>129</v>
      </c>
      <c r="L1511" s="110" t="s">
        <v>6187</v>
      </c>
      <c r="M1511" s="110" t="s">
        <v>129</v>
      </c>
      <c r="N1511" s="110" t="s">
        <v>944</v>
      </c>
      <c r="O1511" s="110" t="s">
        <v>6236</v>
      </c>
      <c r="P1511" s="110" t="s">
        <v>4520</v>
      </c>
      <c r="Q1511" s="110" t="s">
        <v>96</v>
      </c>
      <c r="R1511" s="121">
        <v>0.22620000000000001</v>
      </c>
      <c r="S1511" s="113" t="e">
        <f t="shared" si="46"/>
        <v>#VALUE!</v>
      </c>
      <c r="T1511" s="113">
        <f t="shared" si="47"/>
        <v>0</v>
      </c>
    </row>
    <row r="1512" spans="1:20" s="109" customFormat="1" x14ac:dyDescent="0.2">
      <c r="A1512" s="116"/>
      <c r="B1512" s="111" t="s">
        <v>959</v>
      </c>
      <c r="C1512" s="110" t="s">
        <v>6237</v>
      </c>
      <c r="D1512" s="110" t="s">
        <v>6238</v>
      </c>
      <c r="E1512" s="112" t="s">
        <v>6239</v>
      </c>
      <c r="F1512" s="111" t="s">
        <v>4518</v>
      </c>
      <c r="G1512" s="133">
        <v>29</v>
      </c>
      <c r="H1512" s="124"/>
      <c r="I1512" s="133" t="str">
        <f>IF(H1512&gt;0,(#REF!*H1512),"-")</f>
        <v>-</v>
      </c>
      <c r="J1512" s="113">
        <v>441</v>
      </c>
      <c r="K1512" s="110" t="s">
        <v>129</v>
      </c>
      <c r="L1512" s="110" t="s">
        <v>6187</v>
      </c>
      <c r="M1512" s="110" t="s">
        <v>129</v>
      </c>
      <c r="N1512" s="110" t="s">
        <v>944</v>
      </c>
      <c r="O1512" s="110" t="s">
        <v>6240</v>
      </c>
      <c r="P1512" s="110" t="s">
        <v>4520</v>
      </c>
      <c r="Q1512" s="110" t="s">
        <v>96</v>
      </c>
      <c r="R1512" s="121">
        <v>0.23100000000000001</v>
      </c>
      <c r="S1512" s="113" t="e">
        <f t="shared" si="46"/>
        <v>#VALUE!</v>
      </c>
      <c r="T1512" s="113">
        <f t="shared" si="47"/>
        <v>0</v>
      </c>
    </row>
    <row r="1513" spans="1:20" s="109" customFormat="1" x14ac:dyDescent="0.2">
      <c r="A1513" s="116"/>
      <c r="B1513" s="111" t="s">
        <v>959</v>
      </c>
      <c r="C1513" s="110" t="s">
        <v>6241</v>
      </c>
      <c r="D1513" s="110" t="s">
        <v>6242</v>
      </c>
      <c r="E1513" s="112" t="s">
        <v>6243</v>
      </c>
      <c r="F1513" s="111" t="s">
        <v>4518</v>
      </c>
      <c r="G1513" s="133">
        <v>29</v>
      </c>
      <c r="H1513" s="124"/>
      <c r="I1513" s="133" t="str">
        <f>IF(H1513&gt;0,(#REF!*H1513),"-")</f>
        <v>-</v>
      </c>
      <c r="J1513" s="113">
        <v>441</v>
      </c>
      <c r="K1513" s="110" t="s">
        <v>129</v>
      </c>
      <c r="L1513" s="110" t="s">
        <v>6187</v>
      </c>
      <c r="M1513" s="110" t="s">
        <v>129</v>
      </c>
      <c r="N1513" s="110" t="s">
        <v>944</v>
      </c>
      <c r="O1513" s="110" t="s">
        <v>6244</v>
      </c>
      <c r="P1513" s="110" t="s">
        <v>4520</v>
      </c>
      <c r="Q1513" s="110" t="s">
        <v>96</v>
      </c>
      <c r="R1513" s="121">
        <v>0.223</v>
      </c>
      <c r="S1513" s="113" t="e">
        <f t="shared" si="46"/>
        <v>#VALUE!</v>
      </c>
      <c r="T1513" s="113">
        <f t="shared" si="47"/>
        <v>0</v>
      </c>
    </row>
    <row r="1514" spans="1:20" s="109" customFormat="1" x14ac:dyDescent="0.2">
      <c r="A1514" s="116"/>
      <c r="B1514" s="111" t="s">
        <v>959</v>
      </c>
      <c r="C1514" s="110" t="s">
        <v>6245</v>
      </c>
      <c r="D1514" s="110" t="s">
        <v>6246</v>
      </c>
      <c r="E1514" s="112" t="s">
        <v>6247</v>
      </c>
      <c r="F1514" s="111" t="s">
        <v>4518</v>
      </c>
      <c r="G1514" s="133">
        <v>29</v>
      </c>
      <c r="H1514" s="124"/>
      <c r="I1514" s="133" t="str">
        <f>IF(H1514&gt;0,(#REF!*H1514),"-")</f>
        <v>-</v>
      </c>
      <c r="J1514" s="113">
        <v>441</v>
      </c>
      <c r="K1514" s="110" t="s">
        <v>129</v>
      </c>
      <c r="L1514" s="110" t="s">
        <v>6187</v>
      </c>
      <c r="M1514" s="110" t="s">
        <v>129</v>
      </c>
      <c r="N1514" s="110" t="s">
        <v>944</v>
      </c>
      <c r="O1514" s="110" t="s">
        <v>6248</v>
      </c>
      <c r="P1514" s="110" t="s">
        <v>4520</v>
      </c>
      <c r="Q1514" s="110" t="s">
        <v>96</v>
      </c>
      <c r="R1514" s="121">
        <v>0.215</v>
      </c>
      <c r="S1514" s="113" t="e">
        <f t="shared" si="46"/>
        <v>#VALUE!</v>
      </c>
      <c r="T1514" s="113">
        <f t="shared" si="47"/>
        <v>0</v>
      </c>
    </row>
    <row r="1515" spans="1:20" s="109" customFormat="1" x14ac:dyDescent="0.2">
      <c r="A1515" s="116"/>
      <c r="B1515" s="111" t="s">
        <v>959</v>
      </c>
      <c r="C1515" s="110" t="s">
        <v>6249</v>
      </c>
      <c r="D1515" s="110" t="s">
        <v>6250</v>
      </c>
      <c r="E1515" s="112" t="s">
        <v>6251</v>
      </c>
      <c r="F1515" s="111" t="s">
        <v>4518</v>
      </c>
      <c r="G1515" s="133">
        <v>29</v>
      </c>
      <c r="H1515" s="124"/>
      <c r="I1515" s="133" t="str">
        <f>IF(H1515&gt;0,(#REF!*H1515),"-")</f>
        <v>-</v>
      </c>
      <c r="J1515" s="113">
        <v>441</v>
      </c>
      <c r="K1515" s="110" t="s">
        <v>129</v>
      </c>
      <c r="L1515" s="110" t="s">
        <v>6187</v>
      </c>
      <c r="M1515" s="110" t="s">
        <v>129</v>
      </c>
      <c r="N1515" s="110" t="s">
        <v>944</v>
      </c>
      <c r="O1515" s="110" t="s">
        <v>6252</v>
      </c>
      <c r="P1515" s="110" t="s">
        <v>4520</v>
      </c>
      <c r="Q1515" s="110" t="s">
        <v>96</v>
      </c>
      <c r="R1515" s="121">
        <v>0.21260000000000001</v>
      </c>
      <c r="S1515" s="113" t="e">
        <f t="shared" si="46"/>
        <v>#VALUE!</v>
      </c>
      <c r="T1515" s="113">
        <f t="shared" si="47"/>
        <v>0</v>
      </c>
    </row>
    <row r="1516" spans="1:20" s="109" customFormat="1" x14ac:dyDescent="0.2">
      <c r="A1516" s="116"/>
      <c r="B1516" s="111" t="s">
        <v>959</v>
      </c>
      <c r="C1516" s="110" t="s">
        <v>6253</v>
      </c>
      <c r="D1516" s="110" t="s">
        <v>6254</v>
      </c>
      <c r="E1516" s="112" t="s">
        <v>6255</v>
      </c>
      <c r="F1516" s="111" t="s">
        <v>4518</v>
      </c>
      <c r="G1516" s="133">
        <v>29</v>
      </c>
      <c r="H1516" s="124"/>
      <c r="I1516" s="133" t="str">
        <f>IF(H1516&gt;0,(#REF!*H1516),"-")</f>
        <v>-</v>
      </c>
      <c r="J1516" s="113">
        <v>410</v>
      </c>
      <c r="K1516" s="110" t="s">
        <v>129</v>
      </c>
      <c r="L1516" s="110" t="s">
        <v>6187</v>
      </c>
      <c r="M1516" s="110" t="s">
        <v>129</v>
      </c>
      <c r="N1516" s="110" t="s">
        <v>944</v>
      </c>
      <c r="O1516" s="110" t="s">
        <v>6256</v>
      </c>
      <c r="P1516" s="110" t="s">
        <v>4520</v>
      </c>
      <c r="Q1516" s="110" t="s">
        <v>96</v>
      </c>
      <c r="R1516" s="121">
        <v>0.22889999999999999</v>
      </c>
      <c r="S1516" s="113" t="e">
        <f t="shared" si="46"/>
        <v>#VALUE!</v>
      </c>
      <c r="T1516" s="113">
        <f t="shared" si="47"/>
        <v>0</v>
      </c>
    </row>
    <row r="1517" spans="1:20" s="109" customFormat="1" x14ac:dyDescent="0.2">
      <c r="A1517" s="116"/>
      <c r="B1517" s="111" t="s">
        <v>959</v>
      </c>
      <c r="C1517" s="110" t="s">
        <v>6257</v>
      </c>
      <c r="D1517" s="110" t="s">
        <v>6258</v>
      </c>
      <c r="E1517" s="112" t="s">
        <v>6259</v>
      </c>
      <c r="F1517" s="111" t="s">
        <v>4518</v>
      </c>
      <c r="G1517" s="133">
        <v>29</v>
      </c>
      <c r="H1517" s="124"/>
      <c r="I1517" s="133" t="str">
        <f>IF(H1517&gt;0,(#REF!*H1517),"-")</f>
        <v>-</v>
      </c>
      <c r="J1517" s="113">
        <v>410</v>
      </c>
      <c r="K1517" s="110" t="s">
        <v>129</v>
      </c>
      <c r="L1517" s="110" t="s">
        <v>6187</v>
      </c>
      <c r="M1517" s="110" t="s">
        <v>129</v>
      </c>
      <c r="N1517" s="110" t="s">
        <v>944</v>
      </c>
      <c r="O1517" s="110" t="s">
        <v>6260</v>
      </c>
      <c r="P1517" s="110" t="s">
        <v>4520</v>
      </c>
      <c r="Q1517" s="110" t="s">
        <v>96</v>
      </c>
      <c r="R1517" s="121">
        <v>0.22889999999999999</v>
      </c>
      <c r="S1517" s="113" t="e">
        <f t="shared" si="46"/>
        <v>#VALUE!</v>
      </c>
      <c r="T1517" s="113">
        <f t="shared" si="47"/>
        <v>0</v>
      </c>
    </row>
    <row r="1518" spans="1:20" s="109" customFormat="1" x14ac:dyDescent="0.2">
      <c r="A1518" s="116"/>
      <c r="B1518" s="111" t="s">
        <v>959</v>
      </c>
      <c r="C1518" s="110" t="s">
        <v>6261</v>
      </c>
      <c r="D1518" s="110" t="s">
        <v>6262</v>
      </c>
      <c r="E1518" s="112" t="s">
        <v>6263</v>
      </c>
      <c r="F1518" s="111" t="s">
        <v>4518</v>
      </c>
      <c r="G1518" s="133">
        <v>29</v>
      </c>
      <c r="H1518" s="124"/>
      <c r="I1518" s="133" t="str">
        <f>IF(H1518&gt;0,(#REF!*H1518),"-")</f>
        <v>-</v>
      </c>
      <c r="J1518" s="113">
        <v>410</v>
      </c>
      <c r="K1518" s="110" t="s">
        <v>129</v>
      </c>
      <c r="L1518" s="110" t="s">
        <v>6187</v>
      </c>
      <c r="M1518" s="110" t="s">
        <v>129</v>
      </c>
      <c r="N1518" s="110" t="s">
        <v>944</v>
      </c>
      <c r="O1518" s="110" t="s">
        <v>6264</v>
      </c>
      <c r="P1518" s="110" t="s">
        <v>4520</v>
      </c>
      <c r="Q1518" s="110" t="s">
        <v>96</v>
      </c>
      <c r="R1518" s="121">
        <v>0.22889999999999999</v>
      </c>
      <c r="S1518" s="113" t="e">
        <f t="shared" si="46"/>
        <v>#VALUE!</v>
      </c>
      <c r="T1518" s="113">
        <f t="shared" si="47"/>
        <v>0</v>
      </c>
    </row>
    <row r="1519" spans="1:20" s="109" customFormat="1" x14ac:dyDescent="0.2">
      <c r="A1519" s="116"/>
      <c r="B1519" s="111" t="s">
        <v>959</v>
      </c>
      <c r="C1519" s="110" t="s">
        <v>6265</v>
      </c>
      <c r="D1519" s="110" t="s">
        <v>6266</v>
      </c>
      <c r="E1519" s="112" t="s">
        <v>6267</v>
      </c>
      <c r="F1519" s="111" t="s">
        <v>4518</v>
      </c>
      <c r="G1519" s="133">
        <v>29</v>
      </c>
      <c r="H1519" s="124"/>
      <c r="I1519" s="133" t="str">
        <f>IF(H1519&gt;0,(#REF!*H1519),"-")</f>
        <v>-</v>
      </c>
      <c r="J1519" s="113">
        <v>410</v>
      </c>
      <c r="K1519" s="110" t="s">
        <v>129</v>
      </c>
      <c r="L1519" s="110" t="s">
        <v>6187</v>
      </c>
      <c r="M1519" s="110" t="s">
        <v>129</v>
      </c>
      <c r="N1519" s="110" t="s">
        <v>944</v>
      </c>
      <c r="O1519" s="110" t="s">
        <v>6268</v>
      </c>
      <c r="P1519" s="110" t="s">
        <v>4520</v>
      </c>
      <c r="Q1519" s="110" t="s">
        <v>96</v>
      </c>
      <c r="R1519" s="121">
        <v>0.22889999999999999</v>
      </c>
      <c r="S1519" s="113" t="e">
        <f t="shared" si="46"/>
        <v>#VALUE!</v>
      </c>
      <c r="T1519" s="113">
        <f t="shared" si="47"/>
        <v>0</v>
      </c>
    </row>
    <row r="1520" spans="1:20" s="109" customFormat="1" x14ac:dyDescent="0.2">
      <c r="A1520" s="116"/>
      <c r="B1520" s="111" t="s">
        <v>959</v>
      </c>
      <c r="C1520" s="110" t="s">
        <v>6269</v>
      </c>
      <c r="D1520" s="110" t="s">
        <v>6270</v>
      </c>
      <c r="E1520" s="112" t="s">
        <v>6271</v>
      </c>
      <c r="F1520" s="111" t="s">
        <v>4518</v>
      </c>
      <c r="G1520" s="133">
        <v>29</v>
      </c>
      <c r="H1520" s="124"/>
      <c r="I1520" s="133" t="str">
        <f>IF(H1520&gt;0,(#REF!*H1520),"-")</f>
        <v>-</v>
      </c>
      <c r="J1520" s="113">
        <v>441</v>
      </c>
      <c r="K1520" s="110" t="s">
        <v>129</v>
      </c>
      <c r="L1520" s="110" t="s">
        <v>6187</v>
      </c>
      <c r="M1520" s="110" t="s">
        <v>129</v>
      </c>
      <c r="N1520" s="110" t="s">
        <v>944</v>
      </c>
      <c r="O1520" s="110" t="s">
        <v>6272</v>
      </c>
      <c r="P1520" s="110" t="s">
        <v>4520</v>
      </c>
      <c r="Q1520" s="110" t="s">
        <v>96</v>
      </c>
      <c r="R1520" s="121">
        <v>0.224</v>
      </c>
      <c r="S1520" s="113" t="e">
        <f t="shared" si="46"/>
        <v>#VALUE!</v>
      </c>
      <c r="T1520" s="113">
        <f t="shared" si="47"/>
        <v>0</v>
      </c>
    </row>
    <row r="1521" spans="1:20" s="109" customFormat="1" x14ac:dyDescent="0.2">
      <c r="A1521" s="116"/>
      <c r="B1521" s="111" t="s">
        <v>959</v>
      </c>
      <c r="C1521" s="110" t="s">
        <v>6273</v>
      </c>
      <c r="D1521" s="110" t="s">
        <v>6274</v>
      </c>
      <c r="E1521" s="112" t="s">
        <v>6275</v>
      </c>
      <c r="F1521" s="111" t="s">
        <v>4518</v>
      </c>
      <c r="G1521" s="133">
        <v>29</v>
      </c>
      <c r="H1521" s="124"/>
      <c r="I1521" s="133" t="str">
        <f>IF(H1521&gt;0,(#REF!*H1521),"-")</f>
        <v>-</v>
      </c>
      <c r="J1521" s="113">
        <v>441</v>
      </c>
      <c r="K1521" s="110" t="s">
        <v>129</v>
      </c>
      <c r="L1521" s="110" t="s">
        <v>6187</v>
      </c>
      <c r="M1521" s="110" t="s">
        <v>129</v>
      </c>
      <c r="N1521" s="110" t="s">
        <v>944</v>
      </c>
      <c r="O1521" s="110" t="s">
        <v>6276</v>
      </c>
      <c r="P1521" s="110" t="s">
        <v>4520</v>
      </c>
      <c r="Q1521" s="110" t="s">
        <v>96</v>
      </c>
      <c r="R1521" s="121">
        <v>0.23499999999999999</v>
      </c>
      <c r="S1521" s="113" t="e">
        <f t="shared" si="46"/>
        <v>#VALUE!</v>
      </c>
      <c r="T1521" s="113">
        <f t="shared" si="47"/>
        <v>0</v>
      </c>
    </row>
    <row r="1522" spans="1:20" s="109" customFormat="1" x14ac:dyDescent="0.2">
      <c r="A1522" s="116"/>
      <c r="B1522" s="111" t="s">
        <v>959</v>
      </c>
      <c r="C1522" s="110" t="s">
        <v>6277</v>
      </c>
      <c r="D1522" s="110" t="s">
        <v>6278</v>
      </c>
      <c r="E1522" s="112" t="s">
        <v>6279</v>
      </c>
      <c r="F1522" s="111" t="s">
        <v>4518</v>
      </c>
      <c r="G1522" s="133">
        <v>29</v>
      </c>
      <c r="H1522" s="124"/>
      <c r="I1522" s="133" t="str">
        <f>IF(H1522&gt;0,(#REF!*H1522),"-")</f>
        <v>-</v>
      </c>
      <c r="J1522" s="113">
        <v>441</v>
      </c>
      <c r="K1522" s="110" t="s">
        <v>129</v>
      </c>
      <c r="L1522" s="110" t="s">
        <v>6187</v>
      </c>
      <c r="M1522" s="110" t="s">
        <v>129</v>
      </c>
      <c r="N1522" s="110" t="s">
        <v>944</v>
      </c>
      <c r="O1522" s="110" t="s">
        <v>6280</v>
      </c>
      <c r="P1522" s="110" t="s">
        <v>4520</v>
      </c>
      <c r="Q1522" s="110" t="s">
        <v>96</v>
      </c>
      <c r="R1522" s="121">
        <v>0.221</v>
      </c>
      <c r="S1522" s="113" t="e">
        <f t="shared" si="46"/>
        <v>#VALUE!</v>
      </c>
      <c r="T1522" s="113">
        <f t="shared" si="47"/>
        <v>0</v>
      </c>
    </row>
    <row r="1523" spans="1:20" s="109" customFormat="1" x14ac:dyDescent="0.2">
      <c r="A1523" s="116"/>
      <c r="B1523" s="111" t="s">
        <v>959</v>
      </c>
      <c r="C1523" s="110" t="s">
        <v>6281</v>
      </c>
      <c r="D1523" s="110" t="s">
        <v>6282</v>
      </c>
      <c r="E1523" s="112" t="s">
        <v>6283</v>
      </c>
      <c r="F1523" s="111" t="s">
        <v>4518</v>
      </c>
      <c r="G1523" s="133">
        <v>29</v>
      </c>
      <c r="H1523" s="124"/>
      <c r="I1523" s="133" t="str">
        <f>IF(H1523&gt;0,(#REF!*H1523),"-")</f>
        <v>-</v>
      </c>
      <c r="J1523" s="113">
        <v>441</v>
      </c>
      <c r="K1523" s="110" t="s">
        <v>129</v>
      </c>
      <c r="L1523" s="110" t="s">
        <v>6187</v>
      </c>
      <c r="M1523" s="110" t="s">
        <v>129</v>
      </c>
      <c r="N1523" s="110" t="s">
        <v>944</v>
      </c>
      <c r="O1523" s="110" t="s">
        <v>6284</v>
      </c>
      <c r="P1523" s="110" t="s">
        <v>4520</v>
      </c>
      <c r="Q1523" s="110" t="s">
        <v>96</v>
      </c>
      <c r="R1523" s="121">
        <v>0.221</v>
      </c>
      <c r="S1523" s="113" t="e">
        <f t="shared" si="46"/>
        <v>#VALUE!</v>
      </c>
      <c r="T1523" s="113">
        <f t="shared" si="47"/>
        <v>0</v>
      </c>
    </row>
    <row r="1524" spans="1:20" s="109" customFormat="1" x14ac:dyDescent="0.2">
      <c r="A1524" s="116"/>
      <c r="B1524" s="111" t="s">
        <v>959</v>
      </c>
      <c r="C1524" s="110" t="s">
        <v>6285</v>
      </c>
      <c r="D1524" s="110" t="s">
        <v>6286</v>
      </c>
      <c r="E1524" s="112" t="s">
        <v>6287</v>
      </c>
      <c r="F1524" s="111" t="s">
        <v>4518</v>
      </c>
      <c r="G1524" s="133">
        <v>29</v>
      </c>
      <c r="H1524" s="124"/>
      <c r="I1524" s="133" t="str">
        <f>IF(H1524&gt;0,(#REF!*H1524),"-")</f>
        <v>-</v>
      </c>
      <c r="J1524" s="113">
        <v>441</v>
      </c>
      <c r="K1524" s="110" t="s">
        <v>129</v>
      </c>
      <c r="L1524" s="110" t="s">
        <v>6187</v>
      </c>
      <c r="M1524" s="110" t="s">
        <v>129</v>
      </c>
      <c r="N1524" s="110" t="s">
        <v>944</v>
      </c>
      <c r="O1524" s="110" t="s">
        <v>6288</v>
      </c>
      <c r="P1524" s="110" t="s">
        <v>4520</v>
      </c>
      <c r="Q1524" s="110" t="s">
        <v>96</v>
      </c>
      <c r="R1524" s="121">
        <v>0.2387</v>
      </c>
      <c r="S1524" s="113" t="e">
        <f t="shared" si="46"/>
        <v>#VALUE!</v>
      </c>
      <c r="T1524" s="113">
        <f t="shared" si="47"/>
        <v>0</v>
      </c>
    </row>
    <row r="1525" spans="1:20" s="109" customFormat="1" x14ac:dyDescent="0.2">
      <c r="A1525" s="116"/>
      <c r="B1525" s="111" t="s">
        <v>959</v>
      </c>
      <c r="C1525" s="110" t="s">
        <v>6289</v>
      </c>
      <c r="D1525" s="110" t="s">
        <v>6290</v>
      </c>
      <c r="E1525" s="112" t="s">
        <v>6291</v>
      </c>
      <c r="F1525" s="111" t="s">
        <v>4518</v>
      </c>
      <c r="G1525" s="133">
        <v>29</v>
      </c>
      <c r="H1525" s="124"/>
      <c r="I1525" s="133" t="str">
        <f>IF(H1525&gt;0,(#REF!*H1525),"-")</f>
        <v>-</v>
      </c>
      <c r="J1525" s="113">
        <v>441</v>
      </c>
      <c r="K1525" s="110" t="s">
        <v>129</v>
      </c>
      <c r="L1525" s="110" t="s">
        <v>6187</v>
      </c>
      <c r="M1525" s="110" t="s">
        <v>129</v>
      </c>
      <c r="N1525" s="110" t="s">
        <v>944</v>
      </c>
      <c r="O1525" s="110" t="s">
        <v>6292</v>
      </c>
      <c r="P1525" s="110" t="s">
        <v>4520</v>
      </c>
      <c r="Q1525" s="110" t="s">
        <v>96</v>
      </c>
      <c r="R1525" s="121">
        <v>0.2382</v>
      </c>
      <c r="S1525" s="113" t="e">
        <f t="shared" si="46"/>
        <v>#VALUE!</v>
      </c>
      <c r="T1525" s="113">
        <f t="shared" si="47"/>
        <v>0</v>
      </c>
    </row>
    <row r="1526" spans="1:20" s="109" customFormat="1" x14ac:dyDescent="0.2">
      <c r="A1526" s="116"/>
      <c r="B1526" s="111" t="s">
        <v>959</v>
      </c>
      <c r="C1526" s="110" t="s">
        <v>6293</v>
      </c>
      <c r="D1526" s="110" t="s">
        <v>6294</v>
      </c>
      <c r="E1526" s="112" t="s">
        <v>6295</v>
      </c>
      <c r="F1526" s="111" t="s">
        <v>4518</v>
      </c>
      <c r="G1526" s="133">
        <v>29</v>
      </c>
      <c r="H1526" s="124"/>
      <c r="I1526" s="133" t="str">
        <f>IF(H1526&gt;0,(#REF!*H1526),"-")</f>
        <v>-</v>
      </c>
      <c r="J1526" s="113">
        <v>441</v>
      </c>
      <c r="K1526" s="110" t="s">
        <v>129</v>
      </c>
      <c r="L1526" s="110" t="s">
        <v>6187</v>
      </c>
      <c r="M1526" s="110" t="s">
        <v>129</v>
      </c>
      <c r="N1526" s="110" t="s">
        <v>944</v>
      </c>
      <c r="O1526" s="110" t="s">
        <v>6296</v>
      </c>
      <c r="P1526" s="110" t="s">
        <v>4520</v>
      </c>
      <c r="Q1526" s="110" t="s">
        <v>96</v>
      </c>
      <c r="R1526" s="121">
        <v>0.221</v>
      </c>
      <c r="S1526" s="113" t="e">
        <f t="shared" si="46"/>
        <v>#VALUE!</v>
      </c>
      <c r="T1526" s="113">
        <f t="shared" si="47"/>
        <v>0</v>
      </c>
    </row>
    <row r="1527" spans="1:20" s="109" customFormat="1" x14ac:dyDescent="0.2">
      <c r="A1527" s="116"/>
      <c r="B1527" s="111" t="s">
        <v>959</v>
      </c>
      <c r="C1527" s="110" t="s">
        <v>6297</v>
      </c>
      <c r="D1527" s="110" t="s">
        <v>6298</v>
      </c>
      <c r="E1527" s="112" t="s">
        <v>6299</v>
      </c>
      <c r="F1527" s="111" t="s">
        <v>4518</v>
      </c>
      <c r="G1527" s="133">
        <v>29</v>
      </c>
      <c r="H1527" s="124"/>
      <c r="I1527" s="133" t="str">
        <f>IF(H1527&gt;0,(#REF!*H1527),"-")</f>
        <v>-</v>
      </c>
      <c r="J1527" s="113">
        <v>441</v>
      </c>
      <c r="K1527" s="110" t="s">
        <v>129</v>
      </c>
      <c r="L1527" s="110" t="s">
        <v>6187</v>
      </c>
      <c r="M1527" s="110" t="s">
        <v>129</v>
      </c>
      <c r="N1527" s="110" t="s">
        <v>944</v>
      </c>
      <c r="O1527" s="110" t="s">
        <v>6300</v>
      </c>
      <c r="P1527" s="110" t="s">
        <v>4520</v>
      </c>
      <c r="Q1527" s="110" t="s">
        <v>96</v>
      </c>
      <c r="R1527" s="121">
        <v>0.221</v>
      </c>
      <c r="S1527" s="113" t="e">
        <f t="shared" si="46"/>
        <v>#VALUE!</v>
      </c>
      <c r="T1527" s="113">
        <f t="shared" si="47"/>
        <v>0</v>
      </c>
    </row>
    <row r="1528" spans="1:20" s="109" customFormat="1" x14ac:dyDescent="0.2">
      <c r="A1528" s="116"/>
      <c r="B1528" s="111" t="s">
        <v>959</v>
      </c>
      <c r="C1528" s="110" t="s">
        <v>6301</v>
      </c>
      <c r="D1528" s="110" t="s">
        <v>6302</v>
      </c>
      <c r="E1528" s="112" t="s">
        <v>6303</v>
      </c>
      <c r="F1528" s="111" t="s">
        <v>4518</v>
      </c>
      <c r="G1528" s="133">
        <v>29</v>
      </c>
      <c r="H1528" s="124"/>
      <c r="I1528" s="133" t="str">
        <f>IF(H1528&gt;0,(#REF!*H1528),"-")</f>
        <v>-</v>
      </c>
      <c r="J1528" s="113">
        <v>441</v>
      </c>
      <c r="K1528" s="110" t="s">
        <v>129</v>
      </c>
      <c r="L1528" s="110" t="s">
        <v>6187</v>
      </c>
      <c r="M1528" s="110" t="s">
        <v>129</v>
      </c>
      <c r="N1528" s="110" t="s">
        <v>944</v>
      </c>
      <c r="O1528" s="110" t="s">
        <v>6304</v>
      </c>
      <c r="P1528" s="110" t="s">
        <v>4520</v>
      </c>
      <c r="Q1528" s="110" t="s">
        <v>96</v>
      </c>
      <c r="R1528" s="121">
        <v>0.2263</v>
      </c>
      <c r="S1528" s="113" t="e">
        <f t="shared" si="46"/>
        <v>#VALUE!</v>
      </c>
      <c r="T1528" s="113">
        <f t="shared" si="47"/>
        <v>0</v>
      </c>
    </row>
    <row r="1529" spans="1:20" s="109" customFormat="1" x14ac:dyDescent="0.2">
      <c r="A1529" s="116"/>
      <c r="B1529" s="111" t="s">
        <v>959</v>
      </c>
      <c r="C1529" s="110" t="s">
        <v>6305</v>
      </c>
      <c r="D1529" s="110" t="s">
        <v>6306</v>
      </c>
      <c r="E1529" s="112" t="s">
        <v>6307</v>
      </c>
      <c r="F1529" s="111" t="s">
        <v>4518</v>
      </c>
      <c r="G1529" s="133">
        <v>29</v>
      </c>
      <c r="H1529" s="124"/>
      <c r="I1529" s="133" t="str">
        <f>IF(H1529&gt;0,(#REF!*H1529),"-")</f>
        <v>-</v>
      </c>
      <c r="J1529" s="113">
        <v>441</v>
      </c>
      <c r="K1529" s="110" t="s">
        <v>129</v>
      </c>
      <c r="L1529" s="110" t="s">
        <v>6187</v>
      </c>
      <c r="M1529" s="110" t="s">
        <v>129</v>
      </c>
      <c r="N1529" s="110" t="s">
        <v>944</v>
      </c>
      <c r="O1529" s="110" t="s">
        <v>6308</v>
      </c>
      <c r="P1529" s="110" t="s">
        <v>4520</v>
      </c>
      <c r="Q1529" s="110" t="s">
        <v>96</v>
      </c>
      <c r="R1529" s="121">
        <v>0.221</v>
      </c>
      <c r="S1529" s="113" t="e">
        <f t="shared" si="46"/>
        <v>#VALUE!</v>
      </c>
      <c r="T1529" s="113">
        <f t="shared" si="47"/>
        <v>0</v>
      </c>
    </row>
    <row r="1530" spans="1:20" s="109" customFormat="1" x14ac:dyDescent="0.2">
      <c r="A1530" s="116"/>
      <c r="B1530" s="111" t="s">
        <v>959</v>
      </c>
      <c r="C1530" s="110" t="s">
        <v>6309</v>
      </c>
      <c r="D1530" s="110" t="s">
        <v>6310</v>
      </c>
      <c r="E1530" s="112" t="s">
        <v>6311</v>
      </c>
      <c r="F1530" s="111" t="s">
        <v>4518</v>
      </c>
      <c r="G1530" s="133">
        <v>29</v>
      </c>
      <c r="H1530" s="124"/>
      <c r="I1530" s="133" t="str">
        <f>IF(H1530&gt;0,(#REF!*H1530),"-")</f>
        <v>-</v>
      </c>
      <c r="J1530" s="113">
        <v>441</v>
      </c>
      <c r="K1530" s="110" t="s">
        <v>129</v>
      </c>
      <c r="L1530" s="110" t="s">
        <v>6187</v>
      </c>
      <c r="M1530" s="110" t="s">
        <v>129</v>
      </c>
      <c r="N1530" s="110" t="s">
        <v>944</v>
      </c>
      <c r="O1530" s="110" t="s">
        <v>6312</v>
      </c>
      <c r="P1530" s="110" t="s">
        <v>4520</v>
      </c>
      <c r="Q1530" s="110" t="s">
        <v>96</v>
      </c>
      <c r="R1530" s="121">
        <v>0.2268</v>
      </c>
      <c r="S1530" s="113" t="e">
        <f t="shared" si="46"/>
        <v>#VALUE!</v>
      </c>
      <c r="T1530" s="113">
        <f t="shared" si="47"/>
        <v>0</v>
      </c>
    </row>
    <row r="1531" spans="1:20" s="109" customFormat="1" x14ac:dyDescent="0.2">
      <c r="A1531" s="116"/>
      <c r="B1531" s="111" t="s">
        <v>959</v>
      </c>
      <c r="C1531" s="110" t="s">
        <v>6313</v>
      </c>
      <c r="D1531" s="110" t="s">
        <v>6314</v>
      </c>
      <c r="E1531" s="112" t="s">
        <v>6315</v>
      </c>
      <c r="F1531" s="111" t="s">
        <v>4518</v>
      </c>
      <c r="G1531" s="133">
        <v>29</v>
      </c>
      <c r="H1531" s="124"/>
      <c r="I1531" s="133" t="str">
        <f>IF(H1531&gt;0,(#REF!*H1531),"-")</f>
        <v>-</v>
      </c>
      <c r="J1531" s="113">
        <v>441</v>
      </c>
      <c r="K1531" s="110" t="s">
        <v>129</v>
      </c>
      <c r="L1531" s="110" t="s">
        <v>6187</v>
      </c>
      <c r="M1531" s="110" t="s">
        <v>129</v>
      </c>
      <c r="N1531" s="110" t="s">
        <v>944</v>
      </c>
      <c r="O1531" s="110" t="s">
        <v>6316</v>
      </c>
      <c r="P1531" s="110" t="s">
        <v>4520</v>
      </c>
      <c r="Q1531" s="110" t="s">
        <v>96</v>
      </c>
      <c r="R1531" s="121">
        <v>0.23200000000000001</v>
      </c>
      <c r="S1531" s="113" t="e">
        <f t="shared" si="46"/>
        <v>#VALUE!</v>
      </c>
      <c r="T1531" s="113">
        <f t="shared" si="47"/>
        <v>0</v>
      </c>
    </row>
    <row r="1532" spans="1:20" s="109" customFormat="1" x14ac:dyDescent="0.2">
      <c r="A1532" s="116"/>
      <c r="B1532" s="111" t="s">
        <v>959</v>
      </c>
      <c r="C1532" s="110" t="s">
        <v>6317</v>
      </c>
      <c r="D1532" s="110" t="s">
        <v>6318</v>
      </c>
      <c r="E1532" s="112" t="s">
        <v>6319</v>
      </c>
      <c r="F1532" s="111" t="s">
        <v>4518</v>
      </c>
      <c r="G1532" s="133">
        <v>29</v>
      </c>
      <c r="H1532" s="124"/>
      <c r="I1532" s="133" t="str">
        <f>IF(H1532&gt;0,(#REF!*H1532),"-")</f>
        <v>-</v>
      </c>
      <c r="J1532" s="113">
        <v>441</v>
      </c>
      <c r="K1532" s="110" t="s">
        <v>129</v>
      </c>
      <c r="L1532" s="110" t="s">
        <v>6187</v>
      </c>
      <c r="M1532" s="110" t="s">
        <v>129</v>
      </c>
      <c r="N1532" s="110" t="s">
        <v>944</v>
      </c>
      <c r="O1532" s="110" t="s">
        <v>6320</v>
      </c>
      <c r="P1532" s="110" t="s">
        <v>4520</v>
      </c>
      <c r="Q1532" s="110" t="s">
        <v>96</v>
      </c>
      <c r="R1532" s="121">
        <v>0.21299999999999999</v>
      </c>
      <c r="S1532" s="113" t="e">
        <f t="shared" si="46"/>
        <v>#VALUE!</v>
      </c>
      <c r="T1532" s="113">
        <f t="shared" si="47"/>
        <v>0</v>
      </c>
    </row>
    <row r="1533" spans="1:20" s="109" customFormat="1" x14ac:dyDescent="0.2">
      <c r="A1533" s="116"/>
      <c r="B1533" s="111" t="s">
        <v>959</v>
      </c>
      <c r="C1533" s="110" t="s">
        <v>6321</v>
      </c>
      <c r="D1533" s="110" t="s">
        <v>6322</v>
      </c>
      <c r="E1533" s="112" t="s">
        <v>6323</v>
      </c>
      <c r="F1533" s="111" t="s">
        <v>4518</v>
      </c>
      <c r="G1533" s="133">
        <v>29</v>
      </c>
      <c r="H1533" s="124"/>
      <c r="I1533" s="133" t="str">
        <f>IF(H1533&gt;0,(#REF!*H1533),"-")</f>
        <v>-</v>
      </c>
      <c r="J1533" s="113">
        <v>441</v>
      </c>
      <c r="K1533" s="110" t="s">
        <v>129</v>
      </c>
      <c r="L1533" s="110" t="s">
        <v>6187</v>
      </c>
      <c r="M1533" s="110" t="s">
        <v>129</v>
      </c>
      <c r="N1533" s="110" t="s">
        <v>944</v>
      </c>
      <c r="O1533" s="110" t="s">
        <v>6324</v>
      </c>
      <c r="P1533" s="110" t="s">
        <v>4520</v>
      </c>
      <c r="Q1533" s="110" t="s">
        <v>96</v>
      </c>
      <c r="R1533" s="121">
        <v>0.22900000000000001</v>
      </c>
      <c r="S1533" s="113" t="e">
        <f t="shared" si="46"/>
        <v>#VALUE!</v>
      </c>
      <c r="T1533" s="113">
        <f t="shared" si="47"/>
        <v>0</v>
      </c>
    </row>
    <row r="1534" spans="1:20" s="109" customFormat="1" x14ac:dyDescent="0.2">
      <c r="A1534" s="116"/>
      <c r="B1534" s="111" t="s">
        <v>959</v>
      </c>
      <c r="C1534" s="110" t="s">
        <v>6325</v>
      </c>
      <c r="D1534" s="110" t="s">
        <v>6326</v>
      </c>
      <c r="E1534" s="112" t="s">
        <v>6327</v>
      </c>
      <c r="F1534" s="111" t="s">
        <v>4518</v>
      </c>
      <c r="G1534" s="133">
        <v>29</v>
      </c>
      <c r="H1534" s="124"/>
      <c r="I1534" s="133" t="str">
        <f>IF(H1534&gt;0,(#REF!*H1534),"-")</f>
        <v>-</v>
      </c>
      <c r="J1534" s="113">
        <v>441</v>
      </c>
      <c r="K1534" s="110" t="s">
        <v>129</v>
      </c>
      <c r="L1534" s="110" t="s">
        <v>6187</v>
      </c>
      <c r="M1534" s="110" t="s">
        <v>129</v>
      </c>
      <c r="N1534" s="110" t="s">
        <v>944</v>
      </c>
      <c r="O1534" s="110" t="s">
        <v>6328</v>
      </c>
      <c r="P1534" s="110" t="s">
        <v>4520</v>
      </c>
      <c r="Q1534" s="110" t="s">
        <v>96</v>
      </c>
      <c r="R1534" s="121">
        <v>0.23400000000000001</v>
      </c>
      <c r="S1534" s="113" t="e">
        <f t="shared" si="46"/>
        <v>#VALUE!</v>
      </c>
      <c r="T1534" s="113">
        <f t="shared" si="47"/>
        <v>0</v>
      </c>
    </row>
    <row r="1535" spans="1:20" s="109" customFormat="1" x14ac:dyDescent="0.2">
      <c r="A1535" s="116"/>
      <c r="B1535" s="111" t="s">
        <v>959</v>
      </c>
      <c r="C1535" s="110" t="s">
        <v>6329</v>
      </c>
      <c r="D1535" s="110" t="s">
        <v>6330</v>
      </c>
      <c r="E1535" s="112" t="s">
        <v>6331</v>
      </c>
      <c r="F1535" s="111" t="s">
        <v>4518</v>
      </c>
      <c r="G1535" s="133">
        <v>29</v>
      </c>
      <c r="H1535" s="124"/>
      <c r="I1535" s="133" t="str">
        <f>IF(H1535&gt;0,(#REF!*H1535),"-")</f>
        <v>-</v>
      </c>
      <c r="J1535" s="113">
        <v>441</v>
      </c>
      <c r="K1535" s="110" t="s">
        <v>129</v>
      </c>
      <c r="L1535" s="110" t="s">
        <v>6187</v>
      </c>
      <c r="M1535" s="110" t="s">
        <v>129</v>
      </c>
      <c r="N1535" s="110" t="s">
        <v>944</v>
      </c>
      <c r="O1535" s="110" t="s">
        <v>6332</v>
      </c>
      <c r="P1535" s="110" t="s">
        <v>4520</v>
      </c>
      <c r="Q1535" s="110" t="s">
        <v>96</v>
      </c>
      <c r="R1535" s="121">
        <v>0.23219999999999999</v>
      </c>
      <c r="S1535" s="113" t="e">
        <f t="shared" si="46"/>
        <v>#VALUE!</v>
      </c>
      <c r="T1535" s="113">
        <f t="shared" si="47"/>
        <v>0</v>
      </c>
    </row>
    <row r="1536" spans="1:20" s="109" customFormat="1" x14ac:dyDescent="0.2">
      <c r="A1536" s="116"/>
      <c r="B1536" s="111" t="s">
        <v>959</v>
      </c>
      <c r="C1536" s="110" t="s">
        <v>6333</v>
      </c>
      <c r="D1536" s="110" t="s">
        <v>6334</v>
      </c>
      <c r="E1536" s="112" t="s">
        <v>6335</v>
      </c>
      <c r="F1536" s="111" t="s">
        <v>4518</v>
      </c>
      <c r="G1536" s="133">
        <v>29</v>
      </c>
      <c r="H1536" s="124"/>
      <c r="I1536" s="133" t="str">
        <f>IF(H1536&gt;0,(#REF!*H1536),"-")</f>
        <v>-</v>
      </c>
      <c r="J1536" s="113">
        <v>441</v>
      </c>
      <c r="K1536" s="110" t="s">
        <v>129</v>
      </c>
      <c r="L1536" s="110" t="s">
        <v>6187</v>
      </c>
      <c r="M1536" s="110" t="s">
        <v>129</v>
      </c>
      <c r="N1536" s="110" t="s">
        <v>944</v>
      </c>
      <c r="O1536" s="110" t="s">
        <v>6336</v>
      </c>
      <c r="P1536" s="110" t="s">
        <v>4520</v>
      </c>
      <c r="Q1536" s="110" t="s">
        <v>96</v>
      </c>
      <c r="R1536" s="121">
        <v>0.22500000000000001</v>
      </c>
      <c r="S1536" s="113" t="e">
        <f t="shared" si="46"/>
        <v>#VALUE!</v>
      </c>
      <c r="T1536" s="113">
        <f t="shared" si="47"/>
        <v>0</v>
      </c>
    </row>
    <row r="1537" spans="1:20" s="109" customFormat="1" x14ac:dyDescent="0.2">
      <c r="A1537" s="116"/>
      <c r="B1537" s="111" t="s">
        <v>959</v>
      </c>
      <c r="C1537" s="110" t="s">
        <v>6337</v>
      </c>
      <c r="D1537" s="110" t="s">
        <v>6338</v>
      </c>
      <c r="E1537" s="112" t="s">
        <v>6339</v>
      </c>
      <c r="F1537" s="111" t="s">
        <v>4518</v>
      </c>
      <c r="G1537" s="133">
        <v>29</v>
      </c>
      <c r="H1537" s="124"/>
      <c r="I1537" s="133" t="str">
        <f>IF(H1537&gt;0,(#REF!*H1537),"-")</f>
        <v>-</v>
      </c>
      <c r="J1537" s="113">
        <v>441</v>
      </c>
      <c r="K1537" s="110" t="s">
        <v>129</v>
      </c>
      <c r="L1537" s="110" t="s">
        <v>6187</v>
      </c>
      <c r="M1537" s="110" t="s">
        <v>129</v>
      </c>
      <c r="N1537" s="110" t="s">
        <v>944</v>
      </c>
      <c r="O1537" s="110" t="s">
        <v>6340</v>
      </c>
      <c r="P1537" s="110" t="s">
        <v>4520</v>
      </c>
      <c r="Q1537" s="110" t="s">
        <v>96</v>
      </c>
      <c r="R1537" s="121">
        <v>0.24299999999999999</v>
      </c>
      <c r="S1537" s="113" t="e">
        <f t="shared" si="46"/>
        <v>#VALUE!</v>
      </c>
      <c r="T1537" s="113">
        <f t="shared" si="47"/>
        <v>0</v>
      </c>
    </row>
    <row r="1538" spans="1:20" s="109" customFormat="1" x14ac:dyDescent="0.2">
      <c r="A1538" s="116"/>
      <c r="B1538" s="111" t="s">
        <v>959</v>
      </c>
      <c r="C1538" s="110" t="s">
        <v>6341</v>
      </c>
      <c r="D1538" s="110" t="s">
        <v>6342</v>
      </c>
      <c r="E1538" s="112" t="s">
        <v>6343</v>
      </c>
      <c r="F1538" s="111" t="s">
        <v>4518</v>
      </c>
      <c r="G1538" s="133">
        <v>29</v>
      </c>
      <c r="H1538" s="124"/>
      <c r="I1538" s="133" t="str">
        <f>IF(H1538&gt;0,(#REF!*H1538),"-")</f>
        <v>-</v>
      </c>
      <c r="J1538" s="113">
        <v>441</v>
      </c>
      <c r="K1538" s="110" t="s">
        <v>129</v>
      </c>
      <c r="L1538" s="110" t="s">
        <v>6187</v>
      </c>
      <c r="M1538" s="110" t="s">
        <v>129</v>
      </c>
      <c r="N1538" s="110" t="s">
        <v>944</v>
      </c>
      <c r="O1538" s="110" t="s">
        <v>6344</v>
      </c>
      <c r="P1538" s="110" t="s">
        <v>4520</v>
      </c>
      <c r="Q1538" s="110" t="s">
        <v>96</v>
      </c>
      <c r="R1538" s="121">
        <v>0.24010000000000001</v>
      </c>
      <c r="S1538" s="113" t="e">
        <f t="shared" ref="S1538:S1601" si="48">Q1538*H1538</f>
        <v>#VALUE!</v>
      </c>
      <c r="T1538" s="113">
        <f t="shared" ref="T1538:T1601" si="49">R1538*H1538</f>
        <v>0</v>
      </c>
    </row>
    <row r="1539" spans="1:20" s="109" customFormat="1" x14ac:dyDescent="0.2">
      <c r="A1539" s="116"/>
      <c r="B1539" s="111" t="s">
        <v>959</v>
      </c>
      <c r="C1539" s="110" t="s">
        <v>6345</v>
      </c>
      <c r="D1539" s="110" t="s">
        <v>6346</v>
      </c>
      <c r="E1539" s="112" t="s">
        <v>6347</v>
      </c>
      <c r="F1539" s="111" t="s">
        <v>4518</v>
      </c>
      <c r="G1539" s="133">
        <v>29</v>
      </c>
      <c r="H1539" s="124"/>
      <c r="I1539" s="133" t="str">
        <f>IF(H1539&gt;0,(#REF!*H1539),"-")</f>
        <v>-</v>
      </c>
      <c r="J1539" s="113">
        <v>441</v>
      </c>
      <c r="K1539" s="110" t="s">
        <v>129</v>
      </c>
      <c r="L1539" s="110" t="s">
        <v>6187</v>
      </c>
      <c r="M1539" s="110" t="s">
        <v>129</v>
      </c>
      <c r="N1539" s="110" t="s">
        <v>944</v>
      </c>
      <c r="O1539" s="110" t="s">
        <v>6348</v>
      </c>
      <c r="P1539" s="110" t="s">
        <v>4520</v>
      </c>
      <c r="Q1539" s="110" t="s">
        <v>96</v>
      </c>
      <c r="R1539" s="121">
        <v>0.23300000000000001</v>
      </c>
      <c r="S1539" s="113" t="e">
        <f t="shared" si="48"/>
        <v>#VALUE!</v>
      </c>
      <c r="T1539" s="113">
        <f t="shared" si="49"/>
        <v>0</v>
      </c>
    </row>
    <row r="1540" spans="1:20" s="109" customFormat="1" x14ac:dyDescent="0.2">
      <c r="A1540" s="116"/>
      <c r="B1540" s="111" t="s">
        <v>959</v>
      </c>
      <c r="C1540" s="110" t="s">
        <v>6349</v>
      </c>
      <c r="D1540" s="110" t="s">
        <v>6350</v>
      </c>
      <c r="E1540" s="112" t="s">
        <v>6351</v>
      </c>
      <c r="F1540" s="111" t="s">
        <v>4518</v>
      </c>
      <c r="G1540" s="133">
        <v>29</v>
      </c>
      <c r="H1540" s="124"/>
      <c r="I1540" s="133" t="str">
        <f>IF(H1540&gt;0,(#REF!*H1540),"-")</f>
        <v>-</v>
      </c>
      <c r="J1540" s="113">
        <v>441</v>
      </c>
      <c r="K1540" s="110" t="s">
        <v>129</v>
      </c>
      <c r="L1540" s="110" t="s">
        <v>6187</v>
      </c>
      <c r="M1540" s="110" t="s">
        <v>129</v>
      </c>
      <c r="N1540" s="110" t="s">
        <v>944</v>
      </c>
      <c r="O1540" s="110" t="s">
        <v>6352</v>
      </c>
      <c r="P1540" s="110" t="s">
        <v>4520</v>
      </c>
      <c r="Q1540" s="110" t="s">
        <v>96</v>
      </c>
      <c r="R1540" s="121">
        <v>0.23599999999999999</v>
      </c>
      <c r="S1540" s="113" t="e">
        <f t="shared" si="48"/>
        <v>#VALUE!</v>
      </c>
      <c r="T1540" s="113">
        <f t="shared" si="49"/>
        <v>0</v>
      </c>
    </row>
    <row r="1541" spans="1:20" s="109" customFormat="1" x14ac:dyDescent="0.2">
      <c r="A1541" s="116"/>
      <c r="B1541" s="111" t="s">
        <v>959</v>
      </c>
      <c r="C1541" s="110" t="s">
        <v>6353</v>
      </c>
      <c r="D1541" s="110" t="s">
        <v>6354</v>
      </c>
      <c r="E1541" s="112" t="s">
        <v>6355</v>
      </c>
      <c r="F1541" s="111" t="s">
        <v>4518</v>
      </c>
      <c r="G1541" s="133">
        <v>29</v>
      </c>
      <c r="H1541" s="124"/>
      <c r="I1541" s="133" t="str">
        <f>IF(H1541&gt;0,(#REF!*H1541),"-")</f>
        <v>-</v>
      </c>
      <c r="J1541" s="113">
        <v>441</v>
      </c>
      <c r="K1541" s="110" t="s">
        <v>129</v>
      </c>
      <c r="L1541" s="110" t="s">
        <v>6187</v>
      </c>
      <c r="M1541" s="110" t="s">
        <v>129</v>
      </c>
      <c r="N1541" s="110" t="s">
        <v>944</v>
      </c>
      <c r="O1541" s="110" t="s">
        <v>6356</v>
      </c>
      <c r="P1541" s="110" t="s">
        <v>4520</v>
      </c>
      <c r="Q1541" s="110" t="s">
        <v>96</v>
      </c>
      <c r="R1541" s="121">
        <v>0.24</v>
      </c>
      <c r="S1541" s="113" t="e">
        <f t="shared" si="48"/>
        <v>#VALUE!</v>
      </c>
      <c r="T1541" s="113">
        <f t="shared" si="49"/>
        <v>0</v>
      </c>
    </row>
    <row r="1542" spans="1:20" s="109" customFormat="1" x14ac:dyDescent="0.2">
      <c r="A1542" s="116"/>
      <c r="B1542" s="111" t="s">
        <v>959</v>
      </c>
      <c r="C1542" s="110" t="s">
        <v>6357</v>
      </c>
      <c r="D1542" s="110" t="s">
        <v>6358</v>
      </c>
      <c r="E1542" s="112" t="s">
        <v>6359</v>
      </c>
      <c r="F1542" s="111" t="s">
        <v>4518</v>
      </c>
      <c r="G1542" s="133">
        <v>29</v>
      </c>
      <c r="H1542" s="124"/>
      <c r="I1542" s="133" t="str">
        <f>IF(H1542&gt;0,(#REF!*H1542),"-")</f>
        <v>-</v>
      </c>
      <c r="J1542" s="113">
        <v>441</v>
      </c>
      <c r="K1542" s="110" t="s">
        <v>129</v>
      </c>
      <c r="L1542" s="110" t="s">
        <v>6187</v>
      </c>
      <c r="M1542" s="110" t="s">
        <v>129</v>
      </c>
      <c r="N1542" s="110" t="s">
        <v>944</v>
      </c>
      <c r="O1542" s="110" t="s">
        <v>6360</v>
      </c>
      <c r="P1542" s="110" t="s">
        <v>4520</v>
      </c>
      <c r="Q1542" s="110" t="s">
        <v>96</v>
      </c>
      <c r="R1542" s="121">
        <v>0.23519999999999999</v>
      </c>
      <c r="S1542" s="113" t="e">
        <f t="shared" si="48"/>
        <v>#VALUE!</v>
      </c>
      <c r="T1542" s="113">
        <f t="shared" si="49"/>
        <v>0</v>
      </c>
    </row>
    <row r="1543" spans="1:20" s="109" customFormat="1" x14ac:dyDescent="0.2">
      <c r="A1543" s="116"/>
      <c r="B1543" s="111" t="s">
        <v>959</v>
      </c>
      <c r="C1543" s="110" t="s">
        <v>6361</v>
      </c>
      <c r="D1543" s="110" t="s">
        <v>6362</v>
      </c>
      <c r="E1543" s="112" t="s">
        <v>6363</v>
      </c>
      <c r="F1543" s="111" t="s">
        <v>4518</v>
      </c>
      <c r="G1543" s="133">
        <v>29</v>
      </c>
      <c r="H1543" s="124"/>
      <c r="I1543" s="133" t="str">
        <f>IF(H1543&gt;0,(#REF!*H1543),"-")</f>
        <v>-</v>
      </c>
      <c r="J1543" s="113">
        <v>441</v>
      </c>
      <c r="K1543" s="110" t="s">
        <v>129</v>
      </c>
      <c r="L1543" s="110" t="s">
        <v>6187</v>
      </c>
      <c r="M1543" s="110" t="s">
        <v>129</v>
      </c>
      <c r="N1543" s="110" t="s">
        <v>944</v>
      </c>
      <c r="O1543" s="110" t="s">
        <v>6364</v>
      </c>
      <c r="P1543" s="110" t="s">
        <v>4520</v>
      </c>
      <c r="Q1543" s="110" t="s">
        <v>96</v>
      </c>
      <c r="R1543" s="121">
        <v>0.222</v>
      </c>
      <c r="S1543" s="113" t="e">
        <f t="shared" si="48"/>
        <v>#VALUE!</v>
      </c>
      <c r="T1543" s="113">
        <f t="shared" si="49"/>
        <v>0</v>
      </c>
    </row>
    <row r="1544" spans="1:20" s="109" customFormat="1" x14ac:dyDescent="0.2">
      <c r="A1544" s="116"/>
      <c r="B1544" s="111" t="s">
        <v>959</v>
      </c>
      <c r="C1544" s="110" t="s">
        <v>6365</v>
      </c>
      <c r="D1544" s="110" t="s">
        <v>6366</v>
      </c>
      <c r="E1544" s="112" t="s">
        <v>6367</v>
      </c>
      <c r="F1544" s="111" t="s">
        <v>4518</v>
      </c>
      <c r="G1544" s="133">
        <v>29</v>
      </c>
      <c r="H1544" s="124"/>
      <c r="I1544" s="133" t="str">
        <f>IF(H1544&gt;0,(#REF!*H1544),"-")</f>
        <v>-</v>
      </c>
      <c r="J1544" s="113">
        <v>441</v>
      </c>
      <c r="K1544" s="110" t="s">
        <v>129</v>
      </c>
      <c r="L1544" s="110" t="s">
        <v>6187</v>
      </c>
      <c r="M1544" s="110" t="s">
        <v>129</v>
      </c>
      <c r="N1544" s="110" t="s">
        <v>944</v>
      </c>
      <c r="O1544" s="110" t="s">
        <v>6368</v>
      </c>
      <c r="P1544" s="110" t="s">
        <v>4520</v>
      </c>
      <c r="Q1544" s="110" t="s">
        <v>96</v>
      </c>
      <c r="R1544" s="121">
        <v>0.24399999999999999</v>
      </c>
      <c r="S1544" s="113" t="e">
        <f t="shared" si="48"/>
        <v>#VALUE!</v>
      </c>
      <c r="T1544" s="113">
        <f t="shared" si="49"/>
        <v>0</v>
      </c>
    </row>
    <row r="1545" spans="1:20" s="109" customFormat="1" x14ac:dyDescent="0.2">
      <c r="A1545" s="116"/>
      <c r="B1545" s="111" t="s">
        <v>959</v>
      </c>
      <c r="C1545" s="110" t="s">
        <v>6369</v>
      </c>
      <c r="D1545" s="110" t="s">
        <v>6370</v>
      </c>
      <c r="E1545" s="112" t="s">
        <v>6371</v>
      </c>
      <c r="F1545" s="111" t="s">
        <v>4518</v>
      </c>
      <c r="G1545" s="133">
        <v>29</v>
      </c>
      <c r="H1545" s="124"/>
      <c r="I1545" s="133" t="str">
        <f>IF(H1545&gt;0,(#REF!*H1545),"-")</f>
        <v>-</v>
      </c>
      <c r="J1545" s="113">
        <v>441</v>
      </c>
      <c r="K1545" s="110" t="s">
        <v>129</v>
      </c>
      <c r="L1545" s="110" t="s">
        <v>6187</v>
      </c>
      <c r="M1545" s="110" t="s">
        <v>129</v>
      </c>
      <c r="N1545" s="110" t="s">
        <v>944</v>
      </c>
      <c r="O1545" s="110" t="s">
        <v>6372</v>
      </c>
      <c r="P1545" s="110" t="s">
        <v>4520</v>
      </c>
      <c r="Q1545" s="110" t="s">
        <v>96</v>
      </c>
      <c r="R1545" s="121">
        <v>0.20760000000000001</v>
      </c>
      <c r="S1545" s="113" t="e">
        <f t="shared" si="48"/>
        <v>#VALUE!</v>
      </c>
      <c r="T1545" s="113">
        <f t="shared" si="49"/>
        <v>0</v>
      </c>
    </row>
    <row r="1546" spans="1:20" s="109" customFormat="1" x14ac:dyDescent="0.2">
      <c r="A1546" s="116"/>
      <c r="B1546" s="111" t="s">
        <v>959</v>
      </c>
      <c r="C1546" s="110" t="s">
        <v>6373</v>
      </c>
      <c r="D1546" s="110" t="s">
        <v>6374</v>
      </c>
      <c r="E1546" s="112" t="s">
        <v>6375</v>
      </c>
      <c r="F1546" s="111" t="s">
        <v>4518</v>
      </c>
      <c r="G1546" s="133">
        <v>29</v>
      </c>
      <c r="H1546" s="124"/>
      <c r="I1546" s="133" t="str">
        <f>IF(H1546&gt;0,(#REF!*H1546),"-")</f>
        <v>-</v>
      </c>
      <c r="J1546" s="113">
        <v>441</v>
      </c>
      <c r="K1546" s="110" t="s">
        <v>129</v>
      </c>
      <c r="L1546" s="110" t="s">
        <v>6187</v>
      </c>
      <c r="M1546" s="110" t="s">
        <v>129</v>
      </c>
      <c r="N1546" s="110" t="s">
        <v>944</v>
      </c>
      <c r="O1546" s="110" t="s">
        <v>6376</v>
      </c>
      <c r="P1546" s="110" t="s">
        <v>4520</v>
      </c>
      <c r="Q1546" s="110" t="s">
        <v>96</v>
      </c>
      <c r="R1546" s="121">
        <v>0.24</v>
      </c>
      <c r="S1546" s="113" t="e">
        <f t="shared" si="48"/>
        <v>#VALUE!</v>
      </c>
      <c r="T1546" s="113">
        <f t="shared" si="49"/>
        <v>0</v>
      </c>
    </row>
    <row r="1547" spans="1:20" s="109" customFormat="1" x14ac:dyDescent="0.2">
      <c r="A1547" s="116"/>
      <c r="B1547" s="111" t="s">
        <v>959</v>
      </c>
      <c r="C1547" s="110" t="s">
        <v>6377</v>
      </c>
      <c r="D1547" s="110" t="s">
        <v>6378</v>
      </c>
      <c r="E1547" s="112" t="s">
        <v>6379</v>
      </c>
      <c r="F1547" s="111" t="s">
        <v>4518</v>
      </c>
      <c r="G1547" s="133">
        <v>29</v>
      </c>
      <c r="H1547" s="124"/>
      <c r="I1547" s="133" t="str">
        <f>IF(H1547&gt;0,(#REF!*H1547),"-")</f>
        <v>-</v>
      </c>
      <c r="J1547" s="113">
        <v>441</v>
      </c>
      <c r="K1547" s="110" t="s">
        <v>129</v>
      </c>
      <c r="L1547" s="110" t="s">
        <v>6187</v>
      </c>
      <c r="M1547" s="110" t="s">
        <v>129</v>
      </c>
      <c r="N1547" s="110" t="s">
        <v>944</v>
      </c>
      <c r="O1547" s="110" t="s">
        <v>6380</v>
      </c>
      <c r="P1547" s="110" t="s">
        <v>4520</v>
      </c>
      <c r="Q1547" s="110" t="s">
        <v>96</v>
      </c>
      <c r="R1547" s="121">
        <v>0.21299999999999999</v>
      </c>
      <c r="S1547" s="113" t="e">
        <f t="shared" si="48"/>
        <v>#VALUE!</v>
      </c>
      <c r="T1547" s="113">
        <f t="shared" si="49"/>
        <v>0</v>
      </c>
    </row>
    <row r="1548" spans="1:20" s="109" customFormat="1" x14ac:dyDescent="0.2">
      <c r="A1548" s="116"/>
      <c r="B1548" s="111" t="s">
        <v>959</v>
      </c>
      <c r="C1548" s="110" t="s">
        <v>6381</v>
      </c>
      <c r="D1548" s="110" t="s">
        <v>6382</v>
      </c>
      <c r="E1548" s="112" t="s">
        <v>6383</v>
      </c>
      <c r="F1548" s="111" t="s">
        <v>4518</v>
      </c>
      <c r="G1548" s="133">
        <v>29</v>
      </c>
      <c r="H1548" s="124"/>
      <c r="I1548" s="133" t="str">
        <f>IF(H1548&gt;0,(#REF!*H1548),"-")</f>
        <v>-</v>
      </c>
      <c r="J1548" s="113">
        <v>441</v>
      </c>
      <c r="K1548" s="110" t="s">
        <v>129</v>
      </c>
      <c r="L1548" s="110" t="s">
        <v>6187</v>
      </c>
      <c r="M1548" s="110" t="s">
        <v>129</v>
      </c>
      <c r="N1548" s="110" t="s">
        <v>944</v>
      </c>
      <c r="O1548" s="110" t="s">
        <v>6384</v>
      </c>
      <c r="P1548" s="110" t="s">
        <v>4520</v>
      </c>
      <c r="Q1548" s="110" t="s">
        <v>96</v>
      </c>
      <c r="R1548" s="121">
        <v>0.22500000000000001</v>
      </c>
      <c r="S1548" s="113" t="e">
        <f t="shared" si="48"/>
        <v>#VALUE!</v>
      </c>
      <c r="T1548" s="113">
        <f t="shared" si="49"/>
        <v>0</v>
      </c>
    </row>
    <row r="1549" spans="1:20" s="109" customFormat="1" x14ac:dyDescent="0.2">
      <c r="A1549" s="116"/>
      <c r="B1549" s="111" t="s">
        <v>959</v>
      </c>
      <c r="C1549" s="110" t="s">
        <v>6385</v>
      </c>
      <c r="D1549" s="110" t="s">
        <v>6386</v>
      </c>
      <c r="E1549" s="112" t="s">
        <v>6387</v>
      </c>
      <c r="F1549" s="111" t="s">
        <v>4518</v>
      </c>
      <c r="G1549" s="133">
        <v>29</v>
      </c>
      <c r="H1549" s="124"/>
      <c r="I1549" s="133" t="str">
        <f>IF(H1549&gt;0,(#REF!*H1549),"-")</f>
        <v>-</v>
      </c>
      <c r="J1549" s="113">
        <v>441</v>
      </c>
      <c r="K1549" s="110" t="s">
        <v>129</v>
      </c>
      <c r="L1549" s="110" t="s">
        <v>6187</v>
      </c>
      <c r="M1549" s="110" t="s">
        <v>129</v>
      </c>
      <c r="N1549" s="110" t="s">
        <v>944</v>
      </c>
      <c r="O1549" s="110" t="s">
        <v>6388</v>
      </c>
      <c r="P1549" s="110" t="s">
        <v>4520</v>
      </c>
      <c r="Q1549" s="110" t="s">
        <v>96</v>
      </c>
      <c r="R1549" s="121">
        <v>0.23139999999999999</v>
      </c>
      <c r="S1549" s="113" t="e">
        <f t="shared" si="48"/>
        <v>#VALUE!</v>
      </c>
      <c r="T1549" s="113">
        <f t="shared" si="49"/>
        <v>0</v>
      </c>
    </row>
    <row r="1550" spans="1:20" s="109" customFormat="1" x14ac:dyDescent="0.2">
      <c r="A1550" s="116"/>
      <c r="B1550" s="111" t="s">
        <v>959</v>
      </c>
      <c r="C1550" s="110" t="s">
        <v>6389</v>
      </c>
      <c r="D1550" s="110" t="s">
        <v>6390</v>
      </c>
      <c r="E1550" s="112" t="s">
        <v>6391</v>
      </c>
      <c r="F1550" s="111" t="s">
        <v>4518</v>
      </c>
      <c r="G1550" s="133">
        <v>29</v>
      </c>
      <c r="H1550" s="124"/>
      <c r="I1550" s="133" t="str">
        <f>IF(H1550&gt;0,(#REF!*H1550),"-")</f>
        <v>-</v>
      </c>
      <c r="J1550" s="113">
        <v>441</v>
      </c>
      <c r="K1550" s="110" t="s">
        <v>129</v>
      </c>
      <c r="L1550" s="110" t="s">
        <v>6187</v>
      </c>
      <c r="M1550" s="110" t="s">
        <v>129</v>
      </c>
      <c r="N1550" s="110" t="s">
        <v>944</v>
      </c>
      <c r="O1550" s="110" t="s">
        <v>6392</v>
      </c>
      <c r="P1550" s="110" t="s">
        <v>4520</v>
      </c>
      <c r="Q1550" s="110" t="s">
        <v>96</v>
      </c>
      <c r="R1550" s="121">
        <v>0.248</v>
      </c>
      <c r="S1550" s="113" t="e">
        <f t="shared" si="48"/>
        <v>#VALUE!</v>
      </c>
      <c r="T1550" s="113">
        <f t="shared" si="49"/>
        <v>0</v>
      </c>
    </row>
    <row r="1551" spans="1:20" s="109" customFormat="1" x14ac:dyDescent="0.2">
      <c r="A1551" s="116"/>
      <c r="B1551" s="111" t="s">
        <v>959</v>
      </c>
      <c r="C1551" s="110" t="s">
        <v>6393</v>
      </c>
      <c r="D1551" s="110" t="s">
        <v>6394</v>
      </c>
      <c r="E1551" s="112" t="s">
        <v>6395</v>
      </c>
      <c r="F1551" s="111" t="s">
        <v>4518</v>
      </c>
      <c r="G1551" s="133">
        <v>29</v>
      </c>
      <c r="H1551" s="124"/>
      <c r="I1551" s="133" t="str">
        <f>IF(H1551&gt;0,(#REF!*H1551),"-")</f>
        <v>-</v>
      </c>
      <c r="J1551" s="113">
        <v>441</v>
      </c>
      <c r="K1551" s="110" t="s">
        <v>129</v>
      </c>
      <c r="L1551" s="110" t="s">
        <v>6187</v>
      </c>
      <c r="M1551" s="110" t="s">
        <v>129</v>
      </c>
      <c r="N1551" s="110" t="s">
        <v>944</v>
      </c>
      <c r="O1551" s="110" t="s">
        <v>6396</v>
      </c>
      <c r="P1551" s="110" t="s">
        <v>4520</v>
      </c>
      <c r="Q1551" s="110" t="s">
        <v>96</v>
      </c>
      <c r="R1551" s="121">
        <v>0.21299999999999999</v>
      </c>
      <c r="S1551" s="113" t="e">
        <f t="shared" si="48"/>
        <v>#VALUE!</v>
      </c>
      <c r="T1551" s="113">
        <f t="shared" si="49"/>
        <v>0</v>
      </c>
    </row>
    <row r="1552" spans="1:20" s="109" customFormat="1" x14ac:dyDescent="0.2">
      <c r="A1552" s="116"/>
      <c r="B1552" s="111" t="s">
        <v>959</v>
      </c>
      <c r="C1552" s="110" t="s">
        <v>6397</v>
      </c>
      <c r="D1552" s="110" t="s">
        <v>6398</v>
      </c>
      <c r="E1552" s="112" t="s">
        <v>6399</v>
      </c>
      <c r="F1552" s="111" t="s">
        <v>4518</v>
      </c>
      <c r="G1552" s="133">
        <v>29</v>
      </c>
      <c r="H1552" s="124"/>
      <c r="I1552" s="133" t="str">
        <f>IF(H1552&gt;0,(#REF!*H1552),"-")</f>
        <v>-</v>
      </c>
      <c r="J1552" s="113">
        <v>441</v>
      </c>
      <c r="K1552" s="110" t="s">
        <v>129</v>
      </c>
      <c r="L1552" s="110" t="s">
        <v>6187</v>
      </c>
      <c r="M1552" s="110" t="s">
        <v>129</v>
      </c>
      <c r="N1552" s="110" t="s">
        <v>944</v>
      </c>
      <c r="O1552" s="110" t="s">
        <v>6400</v>
      </c>
      <c r="P1552" s="110" t="s">
        <v>4520</v>
      </c>
      <c r="Q1552" s="110" t="s">
        <v>96</v>
      </c>
      <c r="R1552" s="121">
        <v>0.24010000000000001</v>
      </c>
      <c r="S1552" s="113" t="e">
        <f t="shared" si="48"/>
        <v>#VALUE!</v>
      </c>
      <c r="T1552" s="113">
        <f t="shared" si="49"/>
        <v>0</v>
      </c>
    </row>
    <row r="1553" spans="1:20" s="109" customFormat="1" x14ac:dyDescent="0.2">
      <c r="A1553" s="116"/>
      <c r="B1553" s="111" t="s">
        <v>959</v>
      </c>
      <c r="C1553" s="110" t="s">
        <v>6401</v>
      </c>
      <c r="D1553" s="110" t="s">
        <v>6402</v>
      </c>
      <c r="E1553" s="112" t="s">
        <v>6403</v>
      </c>
      <c r="F1553" s="111" t="s">
        <v>4518</v>
      </c>
      <c r="G1553" s="133">
        <v>29</v>
      </c>
      <c r="H1553" s="124"/>
      <c r="I1553" s="133" t="str">
        <f>IF(H1553&gt;0,(#REF!*H1553),"-")</f>
        <v>-</v>
      </c>
      <c r="J1553" s="113">
        <v>441</v>
      </c>
      <c r="K1553" s="110" t="s">
        <v>129</v>
      </c>
      <c r="L1553" s="110" t="s">
        <v>6187</v>
      </c>
      <c r="M1553" s="110" t="s">
        <v>129</v>
      </c>
      <c r="N1553" s="110" t="s">
        <v>944</v>
      </c>
      <c r="O1553" s="110" t="s">
        <v>6404</v>
      </c>
      <c r="P1553" s="110" t="s">
        <v>4520</v>
      </c>
      <c r="Q1553" s="110" t="s">
        <v>96</v>
      </c>
      <c r="R1553" s="121">
        <v>0.217</v>
      </c>
      <c r="S1553" s="113" t="e">
        <f t="shared" si="48"/>
        <v>#VALUE!</v>
      </c>
      <c r="T1553" s="113">
        <f t="shared" si="49"/>
        <v>0</v>
      </c>
    </row>
    <row r="1554" spans="1:20" s="109" customFormat="1" x14ac:dyDescent="0.2">
      <c r="A1554" s="116"/>
      <c r="B1554" s="111" t="s">
        <v>959</v>
      </c>
      <c r="C1554" s="110" t="s">
        <v>6405</v>
      </c>
      <c r="D1554" s="110" t="s">
        <v>6406</v>
      </c>
      <c r="E1554" s="112" t="s">
        <v>6407</v>
      </c>
      <c r="F1554" s="111" t="s">
        <v>4518</v>
      </c>
      <c r="G1554" s="133">
        <v>29</v>
      </c>
      <c r="H1554" s="124"/>
      <c r="I1554" s="133" t="str">
        <f>IF(H1554&gt;0,(#REF!*H1554),"-")</f>
        <v>-</v>
      </c>
      <c r="J1554" s="113">
        <v>441</v>
      </c>
      <c r="K1554" s="110" t="s">
        <v>129</v>
      </c>
      <c r="L1554" s="110" t="s">
        <v>6187</v>
      </c>
      <c r="M1554" s="110" t="s">
        <v>129</v>
      </c>
      <c r="N1554" s="110" t="s">
        <v>944</v>
      </c>
      <c r="O1554" s="110" t="s">
        <v>6408</v>
      </c>
      <c r="P1554" s="110" t="s">
        <v>4520</v>
      </c>
      <c r="Q1554" s="110" t="s">
        <v>96</v>
      </c>
      <c r="R1554" s="121">
        <v>0.24160000000000001</v>
      </c>
      <c r="S1554" s="113" t="e">
        <f t="shared" si="48"/>
        <v>#VALUE!</v>
      </c>
      <c r="T1554" s="113">
        <f t="shared" si="49"/>
        <v>0</v>
      </c>
    </row>
    <row r="1555" spans="1:20" s="109" customFormat="1" x14ac:dyDescent="0.2">
      <c r="A1555" s="116"/>
      <c r="B1555" s="111" t="s">
        <v>959</v>
      </c>
      <c r="C1555" s="110" t="s">
        <v>6409</v>
      </c>
      <c r="D1555" s="110" t="s">
        <v>6410</v>
      </c>
      <c r="E1555" s="112" t="s">
        <v>6411</v>
      </c>
      <c r="F1555" s="111" t="s">
        <v>4518</v>
      </c>
      <c r="G1555" s="133">
        <v>29</v>
      </c>
      <c r="H1555" s="124"/>
      <c r="I1555" s="133" t="str">
        <f>IF(H1555&gt;0,(#REF!*H1555),"-")</f>
        <v>-</v>
      </c>
      <c r="J1555" s="113">
        <v>441</v>
      </c>
      <c r="K1555" s="110" t="s">
        <v>129</v>
      </c>
      <c r="L1555" s="110" t="s">
        <v>6187</v>
      </c>
      <c r="M1555" s="110" t="s">
        <v>129</v>
      </c>
      <c r="N1555" s="110" t="s">
        <v>944</v>
      </c>
      <c r="O1555" s="110" t="s">
        <v>6412</v>
      </c>
      <c r="P1555" s="110" t="s">
        <v>4520</v>
      </c>
      <c r="Q1555" s="110" t="s">
        <v>96</v>
      </c>
      <c r="R1555" s="121">
        <v>0.216</v>
      </c>
      <c r="S1555" s="113" t="e">
        <f t="shared" si="48"/>
        <v>#VALUE!</v>
      </c>
      <c r="T1555" s="113">
        <f t="shared" si="49"/>
        <v>0</v>
      </c>
    </row>
    <row r="1556" spans="1:20" s="109" customFormat="1" x14ac:dyDescent="0.2">
      <c r="A1556" s="116"/>
      <c r="B1556" s="111" t="s">
        <v>959</v>
      </c>
      <c r="C1556" s="110" t="s">
        <v>6413</v>
      </c>
      <c r="D1556" s="110" t="s">
        <v>6414</v>
      </c>
      <c r="E1556" s="112" t="s">
        <v>6415</v>
      </c>
      <c r="F1556" s="111" t="s">
        <v>4518</v>
      </c>
      <c r="G1556" s="133">
        <v>29</v>
      </c>
      <c r="H1556" s="124"/>
      <c r="I1556" s="133" t="str">
        <f>IF(H1556&gt;0,(#REF!*H1556),"-")</f>
        <v>-</v>
      </c>
      <c r="J1556" s="113">
        <v>441</v>
      </c>
      <c r="K1556" s="110" t="s">
        <v>129</v>
      </c>
      <c r="L1556" s="110" t="s">
        <v>6187</v>
      </c>
      <c r="M1556" s="110" t="s">
        <v>129</v>
      </c>
      <c r="N1556" s="110" t="s">
        <v>944</v>
      </c>
      <c r="O1556" s="110" t="s">
        <v>6416</v>
      </c>
      <c r="P1556" s="110" t="s">
        <v>4520</v>
      </c>
      <c r="Q1556" s="110" t="s">
        <v>96</v>
      </c>
      <c r="R1556" s="121">
        <v>0.23100000000000001</v>
      </c>
      <c r="S1556" s="113" t="e">
        <f t="shared" si="48"/>
        <v>#VALUE!</v>
      </c>
      <c r="T1556" s="113">
        <f t="shared" si="49"/>
        <v>0</v>
      </c>
    </row>
    <row r="1557" spans="1:20" s="109" customFormat="1" x14ac:dyDescent="0.2">
      <c r="A1557" s="116"/>
      <c r="B1557" s="111" t="s">
        <v>959</v>
      </c>
      <c r="C1557" s="110" t="s">
        <v>6417</v>
      </c>
      <c r="D1557" s="110" t="s">
        <v>6418</v>
      </c>
      <c r="E1557" s="112" t="s">
        <v>6419</v>
      </c>
      <c r="F1557" s="111" t="s">
        <v>4518</v>
      </c>
      <c r="G1557" s="133">
        <v>29</v>
      </c>
      <c r="H1557" s="124"/>
      <c r="I1557" s="133" t="str">
        <f>IF(H1557&gt;0,(#REF!*H1557),"-")</f>
        <v>-</v>
      </c>
      <c r="J1557" s="113">
        <v>441</v>
      </c>
      <c r="K1557" s="110" t="s">
        <v>129</v>
      </c>
      <c r="L1557" s="110" t="s">
        <v>6187</v>
      </c>
      <c r="M1557" s="110" t="s">
        <v>129</v>
      </c>
      <c r="N1557" s="110" t="s">
        <v>944</v>
      </c>
      <c r="O1557" s="110" t="s">
        <v>6420</v>
      </c>
      <c r="P1557" s="110" t="s">
        <v>4520</v>
      </c>
      <c r="Q1557" s="110" t="s">
        <v>96</v>
      </c>
      <c r="R1557" s="121">
        <v>0.21299999999999999</v>
      </c>
      <c r="S1557" s="113" t="e">
        <f t="shared" si="48"/>
        <v>#VALUE!</v>
      </c>
      <c r="T1557" s="113">
        <f t="shared" si="49"/>
        <v>0</v>
      </c>
    </row>
    <row r="1558" spans="1:20" s="109" customFormat="1" x14ac:dyDescent="0.2">
      <c r="A1558" s="116"/>
      <c r="B1558" s="111" t="s">
        <v>959</v>
      </c>
      <c r="C1558" s="110" t="s">
        <v>6421</v>
      </c>
      <c r="D1558" s="110" t="s">
        <v>6422</v>
      </c>
      <c r="E1558" s="112" t="s">
        <v>6423</v>
      </c>
      <c r="F1558" s="111" t="s">
        <v>4518</v>
      </c>
      <c r="G1558" s="133">
        <v>29</v>
      </c>
      <c r="H1558" s="124"/>
      <c r="I1558" s="133" t="str">
        <f>IF(H1558&gt;0,(#REF!*H1558),"-")</f>
        <v>-</v>
      </c>
      <c r="J1558" s="113">
        <v>441</v>
      </c>
      <c r="K1558" s="110" t="s">
        <v>129</v>
      </c>
      <c r="L1558" s="110" t="s">
        <v>6187</v>
      </c>
      <c r="M1558" s="110" t="s">
        <v>129</v>
      </c>
      <c r="N1558" s="110" t="s">
        <v>944</v>
      </c>
      <c r="O1558" s="110" t="s">
        <v>6424</v>
      </c>
      <c r="P1558" s="110" t="s">
        <v>4520</v>
      </c>
      <c r="Q1558" s="110" t="s">
        <v>96</v>
      </c>
      <c r="R1558" s="121">
        <v>0.219</v>
      </c>
      <c r="S1558" s="113" t="e">
        <f t="shared" si="48"/>
        <v>#VALUE!</v>
      </c>
      <c r="T1558" s="113">
        <f t="shared" si="49"/>
        <v>0</v>
      </c>
    </row>
    <row r="1559" spans="1:20" s="109" customFormat="1" x14ac:dyDescent="0.2">
      <c r="A1559" s="116"/>
      <c r="B1559" s="111" t="s">
        <v>959</v>
      </c>
      <c r="C1559" s="110" t="s">
        <v>6425</v>
      </c>
      <c r="D1559" s="110" t="s">
        <v>6426</v>
      </c>
      <c r="E1559" s="112" t="s">
        <v>6427</v>
      </c>
      <c r="F1559" s="111" t="s">
        <v>4518</v>
      </c>
      <c r="G1559" s="133">
        <v>29</v>
      </c>
      <c r="H1559" s="124"/>
      <c r="I1559" s="133" t="str">
        <f>IF(H1559&gt;0,(#REF!*H1559),"-")</f>
        <v>-</v>
      </c>
      <c r="J1559" s="113">
        <v>441</v>
      </c>
      <c r="K1559" s="110" t="s">
        <v>129</v>
      </c>
      <c r="L1559" s="110" t="s">
        <v>6187</v>
      </c>
      <c r="M1559" s="110" t="s">
        <v>129</v>
      </c>
      <c r="N1559" s="110" t="s">
        <v>944</v>
      </c>
      <c r="O1559" s="110" t="s">
        <v>6428</v>
      </c>
      <c r="P1559" s="110" t="s">
        <v>4520</v>
      </c>
      <c r="Q1559" s="110" t="s">
        <v>96</v>
      </c>
      <c r="R1559" s="121">
        <v>0.2235</v>
      </c>
      <c r="S1559" s="113" t="e">
        <f t="shared" si="48"/>
        <v>#VALUE!</v>
      </c>
      <c r="T1559" s="113">
        <f t="shared" si="49"/>
        <v>0</v>
      </c>
    </row>
    <row r="1560" spans="1:20" s="109" customFormat="1" x14ac:dyDescent="0.2">
      <c r="A1560" s="116"/>
      <c r="B1560" s="111" t="s">
        <v>959</v>
      </c>
      <c r="C1560" s="110" t="s">
        <v>6429</v>
      </c>
      <c r="D1560" s="110" t="s">
        <v>6430</v>
      </c>
      <c r="E1560" s="112" t="s">
        <v>6431</v>
      </c>
      <c r="F1560" s="111" t="s">
        <v>4518</v>
      </c>
      <c r="G1560" s="133">
        <v>29</v>
      </c>
      <c r="H1560" s="124"/>
      <c r="I1560" s="133" t="str">
        <f>IF(H1560&gt;0,(#REF!*H1560),"-")</f>
        <v>-</v>
      </c>
      <c r="J1560" s="113">
        <v>441</v>
      </c>
      <c r="K1560" s="110" t="s">
        <v>129</v>
      </c>
      <c r="L1560" s="110" t="s">
        <v>6187</v>
      </c>
      <c r="M1560" s="110" t="s">
        <v>129</v>
      </c>
      <c r="N1560" s="110" t="s">
        <v>944</v>
      </c>
      <c r="O1560" s="110" t="s">
        <v>6432</v>
      </c>
      <c r="P1560" s="110" t="s">
        <v>4520</v>
      </c>
      <c r="Q1560" s="110" t="s">
        <v>96</v>
      </c>
      <c r="R1560" s="121">
        <v>0.223</v>
      </c>
      <c r="S1560" s="113" t="e">
        <f t="shared" si="48"/>
        <v>#VALUE!</v>
      </c>
      <c r="T1560" s="113">
        <f t="shared" si="49"/>
        <v>0</v>
      </c>
    </row>
    <row r="1561" spans="1:20" s="109" customFormat="1" x14ac:dyDescent="0.2">
      <c r="A1561" s="116"/>
      <c r="B1561" s="111" t="s">
        <v>959</v>
      </c>
      <c r="C1561" s="110" t="s">
        <v>6433</v>
      </c>
      <c r="D1561" s="110" t="s">
        <v>6434</v>
      </c>
      <c r="E1561" s="112" t="s">
        <v>6435</v>
      </c>
      <c r="F1561" s="111" t="s">
        <v>4518</v>
      </c>
      <c r="G1561" s="133">
        <v>29</v>
      </c>
      <c r="H1561" s="124"/>
      <c r="I1561" s="133" t="str">
        <f>IF(H1561&gt;0,(#REF!*H1561),"-")</f>
        <v>-</v>
      </c>
      <c r="J1561" s="113">
        <v>441</v>
      </c>
      <c r="K1561" s="110" t="s">
        <v>129</v>
      </c>
      <c r="L1561" s="110" t="s">
        <v>6187</v>
      </c>
      <c r="M1561" s="110" t="s">
        <v>129</v>
      </c>
      <c r="N1561" s="110" t="s">
        <v>944</v>
      </c>
      <c r="O1561" s="110" t="s">
        <v>6436</v>
      </c>
      <c r="P1561" s="110" t="s">
        <v>4520</v>
      </c>
      <c r="Q1561" s="110" t="s">
        <v>96</v>
      </c>
      <c r="R1561" s="121">
        <v>0.22559999999999999</v>
      </c>
      <c r="S1561" s="113" t="e">
        <f t="shared" si="48"/>
        <v>#VALUE!</v>
      </c>
      <c r="T1561" s="113">
        <f t="shared" si="49"/>
        <v>0</v>
      </c>
    </row>
    <row r="1562" spans="1:20" s="109" customFormat="1" x14ac:dyDescent="0.2">
      <c r="A1562" s="116"/>
      <c r="B1562" s="111" t="s">
        <v>959</v>
      </c>
      <c r="C1562" s="110" t="s">
        <v>6437</v>
      </c>
      <c r="D1562" s="110" t="s">
        <v>6438</v>
      </c>
      <c r="E1562" s="112" t="s">
        <v>6439</v>
      </c>
      <c r="F1562" s="111" t="s">
        <v>4518</v>
      </c>
      <c r="G1562" s="133">
        <v>29</v>
      </c>
      <c r="H1562" s="124"/>
      <c r="I1562" s="133" t="str">
        <f>IF(H1562&gt;0,(#REF!*H1562),"-")</f>
        <v>-</v>
      </c>
      <c r="J1562" s="113">
        <v>441</v>
      </c>
      <c r="K1562" s="110" t="s">
        <v>129</v>
      </c>
      <c r="L1562" s="110" t="s">
        <v>6187</v>
      </c>
      <c r="M1562" s="110" t="s">
        <v>129</v>
      </c>
      <c r="N1562" s="110" t="s">
        <v>944</v>
      </c>
      <c r="O1562" s="110" t="s">
        <v>6440</v>
      </c>
      <c r="P1562" s="110" t="s">
        <v>4520</v>
      </c>
      <c r="Q1562" s="110" t="s">
        <v>96</v>
      </c>
      <c r="R1562" s="121">
        <v>0.23899999999999999</v>
      </c>
      <c r="S1562" s="113" t="e">
        <f t="shared" si="48"/>
        <v>#VALUE!</v>
      </c>
      <c r="T1562" s="113">
        <f t="shared" si="49"/>
        <v>0</v>
      </c>
    </row>
    <row r="1563" spans="1:20" s="109" customFormat="1" x14ac:dyDescent="0.2">
      <c r="A1563" s="116"/>
      <c r="B1563" s="111" t="s">
        <v>959</v>
      </c>
      <c r="C1563" s="110" t="s">
        <v>6441</v>
      </c>
      <c r="D1563" s="110" t="s">
        <v>6442</v>
      </c>
      <c r="E1563" s="112" t="s">
        <v>6443</v>
      </c>
      <c r="F1563" s="111" t="s">
        <v>4518</v>
      </c>
      <c r="G1563" s="133">
        <v>29</v>
      </c>
      <c r="H1563" s="124"/>
      <c r="I1563" s="133" t="str">
        <f>IF(H1563&gt;0,(#REF!*H1563),"-")</f>
        <v>-</v>
      </c>
      <c r="J1563" s="113">
        <v>441</v>
      </c>
      <c r="K1563" s="110" t="s">
        <v>129</v>
      </c>
      <c r="L1563" s="110" t="s">
        <v>6187</v>
      </c>
      <c r="M1563" s="110" t="s">
        <v>129</v>
      </c>
      <c r="N1563" s="110" t="s">
        <v>944</v>
      </c>
      <c r="O1563" s="110" t="s">
        <v>6444</v>
      </c>
      <c r="P1563" s="110" t="s">
        <v>4520</v>
      </c>
      <c r="Q1563" s="110" t="s">
        <v>96</v>
      </c>
      <c r="R1563" s="121">
        <v>0.22</v>
      </c>
      <c r="S1563" s="113" t="e">
        <f t="shared" si="48"/>
        <v>#VALUE!</v>
      </c>
      <c r="T1563" s="113">
        <f t="shared" si="49"/>
        <v>0</v>
      </c>
    </row>
    <row r="1564" spans="1:20" s="109" customFormat="1" x14ac:dyDescent="0.2">
      <c r="A1564" s="116"/>
      <c r="B1564" s="111" t="s">
        <v>959</v>
      </c>
      <c r="C1564" s="110" t="s">
        <v>6445</v>
      </c>
      <c r="D1564" s="110" t="s">
        <v>6446</v>
      </c>
      <c r="E1564" s="112" t="s">
        <v>6447</v>
      </c>
      <c r="F1564" s="111" t="s">
        <v>4518</v>
      </c>
      <c r="G1564" s="133">
        <v>29</v>
      </c>
      <c r="H1564" s="124"/>
      <c r="I1564" s="133" t="str">
        <f>IF(H1564&gt;0,(#REF!*H1564),"-")</f>
        <v>-</v>
      </c>
      <c r="J1564" s="113">
        <v>441</v>
      </c>
      <c r="K1564" s="110" t="s">
        <v>129</v>
      </c>
      <c r="L1564" s="110" t="s">
        <v>6187</v>
      </c>
      <c r="M1564" s="110" t="s">
        <v>129</v>
      </c>
      <c r="N1564" s="110" t="s">
        <v>944</v>
      </c>
      <c r="O1564" s="110" t="s">
        <v>6448</v>
      </c>
      <c r="P1564" s="110" t="s">
        <v>4520</v>
      </c>
      <c r="Q1564" s="110" t="s">
        <v>96</v>
      </c>
      <c r="R1564" s="121">
        <v>0.21299999999999999</v>
      </c>
      <c r="S1564" s="113" t="e">
        <f t="shared" si="48"/>
        <v>#VALUE!</v>
      </c>
      <c r="T1564" s="113">
        <f t="shared" si="49"/>
        <v>0</v>
      </c>
    </row>
    <row r="1565" spans="1:20" s="109" customFormat="1" x14ac:dyDescent="0.2">
      <c r="A1565" s="116"/>
      <c r="B1565" s="111" t="s">
        <v>959</v>
      </c>
      <c r="C1565" s="110" t="s">
        <v>6449</v>
      </c>
      <c r="D1565" s="110" t="s">
        <v>6450</v>
      </c>
      <c r="E1565" s="112" t="s">
        <v>6451</v>
      </c>
      <c r="F1565" s="111" t="s">
        <v>4518</v>
      </c>
      <c r="G1565" s="133">
        <v>29</v>
      </c>
      <c r="H1565" s="124"/>
      <c r="I1565" s="133" t="str">
        <f>IF(H1565&gt;0,(#REF!*H1565),"-")</f>
        <v>-</v>
      </c>
      <c r="J1565" s="113">
        <v>441</v>
      </c>
      <c r="K1565" s="110" t="s">
        <v>129</v>
      </c>
      <c r="L1565" s="110" t="s">
        <v>6187</v>
      </c>
      <c r="M1565" s="110" t="s">
        <v>129</v>
      </c>
      <c r="N1565" s="110" t="s">
        <v>944</v>
      </c>
      <c r="O1565" s="110" t="s">
        <v>6452</v>
      </c>
      <c r="P1565" s="110" t="s">
        <v>4520</v>
      </c>
      <c r="Q1565" s="110" t="s">
        <v>96</v>
      </c>
      <c r="R1565" s="121">
        <v>0.22800000000000001</v>
      </c>
      <c r="S1565" s="113" t="e">
        <f t="shared" si="48"/>
        <v>#VALUE!</v>
      </c>
      <c r="T1565" s="113">
        <f t="shared" si="49"/>
        <v>0</v>
      </c>
    </row>
    <row r="1566" spans="1:20" s="109" customFormat="1" x14ac:dyDescent="0.2">
      <c r="A1566" s="116"/>
      <c r="B1566" s="111" t="s">
        <v>959</v>
      </c>
      <c r="C1566" s="110" t="s">
        <v>6453</v>
      </c>
      <c r="D1566" s="110" t="s">
        <v>6454</v>
      </c>
      <c r="E1566" s="112" t="s">
        <v>6455</v>
      </c>
      <c r="F1566" s="111" t="s">
        <v>4518</v>
      </c>
      <c r="G1566" s="133">
        <v>29</v>
      </c>
      <c r="H1566" s="124"/>
      <c r="I1566" s="133" t="str">
        <f>IF(H1566&gt;0,(#REF!*H1566),"-")</f>
        <v>-</v>
      </c>
      <c r="J1566" s="113">
        <v>441</v>
      </c>
      <c r="K1566" s="110" t="s">
        <v>129</v>
      </c>
      <c r="L1566" s="110" t="s">
        <v>6187</v>
      </c>
      <c r="M1566" s="110" t="s">
        <v>129</v>
      </c>
      <c r="N1566" s="110" t="s">
        <v>944</v>
      </c>
      <c r="O1566" s="110" t="s">
        <v>6456</v>
      </c>
      <c r="P1566" s="110" t="s">
        <v>4520</v>
      </c>
      <c r="Q1566" s="110" t="s">
        <v>96</v>
      </c>
      <c r="R1566" s="121">
        <v>0.23200000000000001</v>
      </c>
      <c r="S1566" s="113" t="e">
        <f t="shared" si="48"/>
        <v>#VALUE!</v>
      </c>
      <c r="T1566" s="113">
        <f t="shared" si="49"/>
        <v>0</v>
      </c>
    </row>
    <row r="1567" spans="1:20" s="109" customFormat="1" x14ac:dyDescent="0.2">
      <c r="A1567" s="116"/>
      <c r="B1567" s="111" t="s">
        <v>959</v>
      </c>
      <c r="C1567" s="110" t="s">
        <v>6457</v>
      </c>
      <c r="D1567" s="110" t="s">
        <v>6458</v>
      </c>
      <c r="E1567" s="112" t="s">
        <v>6459</v>
      </c>
      <c r="F1567" s="111" t="s">
        <v>4518</v>
      </c>
      <c r="G1567" s="133">
        <v>29</v>
      </c>
      <c r="H1567" s="124"/>
      <c r="I1567" s="133" t="str">
        <f>IF(H1567&gt;0,(#REF!*H1567),"-")</f>
        <v>-</v>
      </c>
      <c r="J1567" s="113">
        <v>441</v>
      </c>
      <c r="K1567" s="110" t="s">
        <v>129</v>
      </c>
      <c r="L1567" s="110" t="s">
        <v>6187</v>
      </c>
      <c r="M1567" s="110" t="s">
        <v>129</v>
      </c>
      <c r="N1567" s="110" t="s">
        <v>944</v>
      </c>
      <c r="O1567" s="110" t="s">
        <v>6460</v>
      </c>
      <c r="P1567" s="110" t="s">
        <v>4520</v>
      </c>
      <c r="Q1567" s="110" t="s">
        <v>96</v>
      </c>
      <c r="R1567" s="121">
        <v>0.23350000000000001</v>
      </c>
      <c r="S1567" s="113" t="e">
        <f t="shared" si="48"/>
        <v>#VALUE!</v>
      </c>
      <c r="T1567" s="113">
        <f t="shared" si="49"/>
        <v>0</v>
      </c>
    </row>
    <row r="1568" spans="1:20" s="109" customFormat="1" x14ac:dyDescent="0.2">
      <c r="A1568" s="116"/>
      <c r="B1568" s="111" t="s">
        <v>959</v>
      </c>
      <c r="C1568" s="110" t="s">
        <v>6461</v>
      </c>
      <c r="D1568" s="110" t="s">
        <v>6462</v>
      </c>
      <c r="E1568" s="112" t="s">
        <v>6463</v>
      </c>
      <c r="F1568" s="111" t="s">
        <v>4518</v>
      </c>
      <c r="G1568" s="133">
        <v>29</v>
      </c>
      <c r="H1568" s="124"/>
      <c r="I1568" s="133" t="str">
        <f>IF(H1568&gt;0,(#REF!*H1568),"-")</f>
        <v>-</v>
      </c>
      <c r="J1568" s="113">
        <v>441</v>
      </c>
      <c r="K1568" s="110" t="s">
        <v>129</v>
      </c>
      <c r="L1568" s="110" t="s">
        <v>6187</v>
      </c>
      <c r="M1568" s="110" t="s">
        <v>129</v>
      </c>
      <c r="N1568" s="110" t="s">
        <v>944</v>
      </c>
      <c r="O1568" s="110" t="s">
        <v>6464</v>
      </c>
      <c r="P1568" s="110" t="s">
        <v>4520</v>
      </c>
      <c r="Q1568" s="110" t="s">
        <v>96</v>
      </c>
      <c r="R1568" s="121">
        <v>0.23100000000000001</v>
      </c>
      <c r="S1568" s="113" t="e">
        <f t="shared" si="48"/>
        <v>#VALUE!</v>
      </c>
      <c r="T1568" s="113">
        <f t="shared" si="49"/>
        <v>0</v>
      </c>
    </row>
    <row r="1569" spans="1:20" s="109" customFormat="1" x14ac:dyDescent="0.2">
      <c r="A1569" s="116"/>
      <c r="B1569" s="111" t="s">
        <v>959</v>
      </c>
      <c r="C1569" s="110" t="s">
        <v>6465</v>
      </c>
      <c r="D1569" s="110" t="s">
        <v>6466</v>
      </c>
      <c r="E1569" s="112" t="s">
        <v>6467</v>
      </c>
      <c r="F1569" s="111" t="s">
        <v>4518</v>
      </c>
      <c r="G1569" s="133">
        <v>29</v>
      </c>
      <c r="H1569" s="124"/>
      <c r="I1569" s="133" t="str">
        <f>IF(H1569&gt;0,(#REF!*H1569),"-")</f>
        <v>-</v>
      </c>
      <c r="J1569" s="113">
        <v>441</v>
      </c>
      <c r="K1569" s="110" t="s">
        <v>129</v>
      </c>
      <c r="L1569" s="110" t="s">
        <v>6187</v>
      </c>
      <c r="M1569" s="110" t="s">
        <v>129</v>
      </c>
      <c r="N1569" s="110" t="s">
        <v>944</v>
      </c>
      <c r="O1569" s="110" t="s">
        <v>6468</v>
      </c>
      <c r="P1569" s="110" t="s">
        <v>4520</v>
      </c>
      <c r="Q1569" s="110" t="s">
        <v>96</v>
      </c>
      <c r="R1569" s="121">
        <v>0.23519999999999999</v>
      </c>
      <c r="S1569" s="113" t="e">
        <f t="shared" si="48"/>
        <v>#VALUE!</v>
      </c>
      <c r="T1569" s="113">
        <f t="shared" si="49"/>
        <v>0</v>
      </c>
    </row>
    <row r="1570" spans="1:20" s="109" customFormat="1" x14ac:dyDescent="0.2">
      <c r="A1570" s="116"/>
      <c r="B1570" s="111" t="s">
        <v>959</v>
      </c>
      <c r="C1570" s="110" t="s">
        <v>6469</v>
      </c>
      <c r="D1570" s="110" t="s">
        <v>6470</v>
      </c>
      <c r="E1570" s="112" t="s">
        <v>6471</v>
      </c>
      <c r="F1570" s="111" t="s">
        <v>4518</v>
      </c>
      <c r="G1570" s="133">
        <v>29</v>
      </c>
      <c r="H1570" s="124"/>
      <c r="I1570" s="133" t="str">
        <f>IF(H1570&gt;0,(#REF!*H1570),"-")</f>
        <v>-</v>
      </c>
      <c r="J1570" s="113">
        <v>441</v>
      </c>
      <c r="K1570" s="110" t="s">
        <v>129</v>
      </c>
      <c r="L1570" s="110" t="s">
        <v>6187</v>
      </c>
      <c r="M1570" s="110" t="s">
        <v>129</v>
      </c>
      <c r="N1570" s="110" t="s">
        <v>944</v>
      </c>
      <c r="O1570" s="110" t="s">
        <v>6472</v>
      </c>
      <c r="P1570" s="110" t="s">
        <v>4520</v>
      </c>
      <c r="Q1570" s="110" t="s">
        <v>96</v>
      </c>
      <c r="R1570" s="121">
        <v>0.22800000000000001</v>
      </c>
      <c r="S1570" s="113" t="e">
        <f t="shared" si="48"/>
        <v>#VALUE!</v>
      </c>
      <c r="T1570" s="113">
        <f t="shared" si="49"/>
        <v>0</v>
      </c>
    </row>
    <row r="1571" spans="1:20" s="109" customFormat="1" x14ac:dyDescent="0.2">
      <c r="A1571" s="116"/>
      <c r="B1571" s="111" t="s">
        <v>959</v>
      </c>
      <c r="C1571" s="110" t="s">
        <v>6473</v>
      </c>
      <c r="D1571" s="110" t="s">
        <v>6474</v>
      </c>
      <c r="E1571" s="112" t="s">
        <v>6475</v>
      </c>
      <c r="F1571" s="111" t="s">
        <v>4518</v>
      </c>
      <c r="G1571" s="133">
        <v>29</v>
      </c>
      <c r="H1571" s="124"/>
      <c r="I1571" s="133" t="str">
        <f>IF(H1571&gt;0,(#REF!*H1571),"-")</f>
        <v>-</v>
      </c>
      <c r="J1571" s="113">
        <v>441</v>
      </c>
      <c r="K1571" s="110" t="s">
        <v>129</v>
      </c>
      <c r="L1571" s="110" t="s">
        <v>6187</v>
      </c>
      <c r="M1571" s="110" t="s">
        <v>129</v>
      </c>
      <c r="N1571" s="110" t="s">
        <v>944</v>
      </c>
      <c r="O1571" s="110" t="s">
        <v>6476</v>
      </c>
      <c r="P1571" s="110" t="s">
        <v>4520</v>
      </c>
      <c r="Q1571" s="110" t="s">
        <v>96</v>
      </c>
      <c r="R1571" s="121">
        <v>0.24199999999999999</v>
      </c>
      <c r="S1571" s="113" t="e">
        <f t="shared" si="48"/>
        <v>#VALUE!</v>
      </c>
      <c r="T1571" s="113">
        <f t="shared" si="49"/>
        <v>0</v>
      </c>
    </row>
    <row r="1572" spans="1:20" s="109" customFormat="1" x14ac:dyDescent="0.2">
      <c r="A1572" s="116"/>
      <c r="B1572" s="111" t="s">
        <v>959</v>
      </c>
      <c r="C1572" s="110" t="s">
        <v>6477</v>
      </c>
      <c r="D1572" s="110" t="s">
        <v>6478</v>
      </c>
      <c r="E1572" s="112" t="s">
        <v>6479</v>
      </c>
      <c r="F1572" s="111" t="s">
        <v>4518</v>
      </c>
      <c r="G1572" s="133">
        <v>29</v>
      </c>
      <c r="H1572" s="124"/>
      <c r="I1572" s="133" t="str">
        <f>IF(H1572&gt;0,(#REF!*H1572),"-")</f>
        <v>-</v>
      </c>
      <c r="J1572" s="113">
        <v>441</v>
      </c>
      <c r="K1572" s="110" t="s">
        <v>129</v>
      </c>
      <c r="L1572" s="110" t="s">
        <v>6187</v>
      </c>
      <c r="M1572" s="110" t="s">
        <v>129</v>
      </c>
      <c r="N1572" s="110" t="s">
        <v>944</v>
      </c>
      <c r="O1572" s="110" t="s">
        <v>6480</v>
      </c>
      <c r="P1572" s="110" t="s">
        <v>4520</v>
      </c>
      <c r="Q1572" s="110" t="s">
        <v>96</v>
      </c>
      <c r="R1572" s="121">
        <v>0.21249999999999999</v>
      </c>
      <c r="S1572" s="113" t="e">
        <f t="shared" si="48"/>
        <v>#VALUE!</v>
      </c>
      <c r="T1572" s="113">
        <f t="shared" si="49"/>
        <v>0</v>
      </c>
    </row>
    <row r="1573" spans="1:20" s="109" customFormat="1" x14ac:dyDescent="0.2">
      <c r="A1573" s="116"/>
      <c r="B1573" s="111" t="s">
        <v>959</v>
      </c>
      <c r="C1573" s="110" t="s">
        <v>6481</v>
      </c>
      <c r="D1573" s="110" t="s">
        <v>6482</v>
      </c>
      <c r="E1573" s="112" t="s">
        <v>6483</v>
      </c>
      <c r="F1573" s="111" t="s">
        <v>4518</v>
      </c>
      <c r="G1573" s="133">
        <v>29</v>
      </c>
      <c r="H1573" s="124"/>
      <c r="I1573" s="133" t="str">
        <f>IF(H1573&gt;0,(#REF!*H1573),"-")</f>
        <v>-</v>
      </c>
      <c r="J1573" s="113">
        <v>441</v>
      </c>
      <c r="K1573" s="110" t="s">
        <v>129</v>
      </c>
      <c r="L1573" s="110" t="s">
        <v>6187</v>
      </c>
      <c r="M1573" s="110" t="s">
        <v>129</v>
      </c>
      <c r="N1573" s="110" t="s">
        <v>944</v>
      </c>
      <c r="O1573" s="110" t="s">
        <v>6484</v>
      </c>
      <c r="P1573" s="110" t="s">
        <v>4520</v>
      </c>
      <c r="Q1573" s="110" t="s">
        <v>96</v>
      </c>
      <c r="R1573" s="121">
        <v>0.21210000000000001</v>
      </c>
      <c r="S1573" s="113" t="e">
        <f t="shared" si="48"/>
        <v>#VALUE!</v>
      </c>
      <c r="T1573" s="113">
        <f t="shared" si="49"/>
        <v>0</v>
      </c>
    </row>
    <row r="1574" spans="1:20" s="109" customFormat="1" x14ac:dyDescent="0.2">
      <c r="A1574" s="116"/>
      <c r="B1574" s="111" t="s">
        <v>959</v>
      </c>
      <c r="C1574" s="110" t="s">
        <v>6485</v>
      </c>
      <c r="D1574" s="110" t="s">
        <v>6486</v>
      </c>
      <c r="E1574" s="112" t="s">
        <v>6487</v>
      </c>
      <c r="F1574" s="111" t="s">
        <v>4518</v>
      </c>
      <c r="G1574" s="133">
        <v>29</v>
      </c>
      <c r="H1574" s="124"/>
      <c r="I1574" s="133" t="str">
        <f>IF(H1574&gt;0,(#REF!*H1574),"-")</f>
        <v>-</v>
      </c>
      <c r="J1574" s="113">
        <v>441</v>
      </c>
      <c r="K1574" s="110" t="s">
        <v>129</v>
      </c>
      <c r="L1574" s="110" t="s">
        <v>6187</v>
      </c>
      <c r="M1574" s="110" t="s">
        <v>129</v>
      </c>
      <c r="N1574" s="110" t="s">
        <v>944</v>
      </c>
      <c r="O1574" s="110" t="s">
        <v>6488</v>
      </c>
      <c r="P1574" s="110" t="s">
        <v>4520</v>
      </c>
      <c r="Q1574" s="110" t="s">
        <v>96</v>
      </c>
      <c r="R1574" s="121">
        <v>0.219</v>
      </c>
      <c r="S1574" s="113" t="e">
        <f t="shared" si="48"/>
        <v>#VALUE!</v>
      </c>
      <c r="T1574" s="113">
        <f t="shared" si="49"/>
        <v>0</v>
      </c>
    </row>
    <row r="1575" spans="1:20" s="109" customFormat="1" x14ac:dyDescent="0.2">
      <c r="A1575" s="116"/>
      <c r="B1575" s="111" t="s">
        <v>959</v>
      </c>
      <c r="C1575" s="110" t="s">
        <v>6489</v>
      </c>
      <c r="D1575" s="110" t="s">
        <v>6490</v>
      </c>
      <c r="E1575" s="112" t="s">
        <v>6491</v>
      </c>
      <c r="F1575" s="111" t="s">
        <v>4518</v>
      </c>
      <c r="G1575" s="133">
        <v>29</v>
      </c>
      <c r="H1575" s="124"/>
      <c r="I1575" s="133" t="str">
        <f>IF(H1575&gt;0,(#REF!*H1575),"-")</f>
        <v>-</v>
      </c>
      <c r="J1575" s="113">
        <v>441</v>
      </c>
      <c r="K1575" s="110" t="s">
        <v>129</v>
      </c>
      <c r="L1575" s="110" t="s">
        <v>6187</v>
      </c>
      <c r="M1575" s="110" t="s">
        <v>129</v>
      </c>
      <c r="N1575" s="110" t="s">
        <v>944</v>
      </c>
      <c r="O1575" s="110" t="s">
        <v>6492</v>
      </c>
      <c r="P1575" s="110" t="s">
        <v>4520</v>
      </c>
      <c r="Q1575" s="110" t="s">
        <v>96</v>
      </c>
      <c r="R1575" s="121">
        <v>0.21</v>
      </c>
      <c r="S1575" s="113" t="e">
        <f t="shared" si="48"/>
        <v>#VALUE!</v>
      </c>
      <c r="T1575" s="113">
        <f t="shared" si="49"/>
        <v>0</v>
      </c>
    </row>
    <row r="1576" spans="1:20" s="109" customFormat="1" x14ac:dyDescent="0.2">
      <c r="A1576" s="116"/>
      <c r="B1576" s="111" t="s">
        <v>959</v>
      </c>
      <c r="C1576" s="110" t="s">
        <v>6493</v>
      </c>
      <c r="D1576" s="110" t="s">
        <v>6494</v>
      </c>
      <c r="E1576" s="112" t="s">
        <v>6495</v>
      </c>
      <c r="F1576" s="111" t="s">
        <v>4518</v>
      </c>
      <c r="G1576" s="133">
        <v>29</v>
      </c>
      <c r="H1576" s="124"/>
      <c r="I1576" s="133" t="str">
        <f>IF(H1576&gt;0,(#REF!*H1576),"-")</f>
        <v>-</v>
      </c>
      <c r="J1576" s="113">
        <v>441</v>
      </c>
      <c r="K1576" s="110" t="s">
        <v>129</v>
      </c>
      <c r="L1576" s="110" t="s">
        <v>6187</v>
      </c>
      <c r="M1576" s="110" t="s">
        <v>129</v>
      </c>
      <c r="N1576" s="110" t="s">
        <v>944</v>
      </c>
      <c r="O1576" s="110" t="s">
        <v>6496</v>
      </c>
      <c r="P1576" s="110" t="s">
        <v>4520</v>
      </c>
      <c r="Q1576" s="110" t="s">
        <v>96</v>
      </c>
      <c r="R1576" s="121">
        <v>0.22239999999999999</v>
      </c>
      <c r="S1576" s="113" t="e">
        <f t="shared" si="48"/>
        <v>#VALUE!</v>
      </c>
      <c r="T1576" s="113">
        <f t="shared" si="49"/>
        <v>0</v>
      </c>
    </row>
    <row r="1577" spans="1:20" s="109" customFormat="1" x14ac:dyDescent="0.2">
      <c r="A1577" s="116"/>
      <c r="B1577" s="111" t="s">
        <v>289</v>
      </c>
      <c r="C1577" s="110" t="s">
        <v>6497</v>
      </c>
      <c r="D1577" s="110" t="s">
        <v>6498</v>
      </c>
      <c r="E1577" s="112" t="s">
        <v>6499</v>
      </c>
      <c r="F1577" s="111" t="s">
        <v>4518</v>
      </c>
      <c r="G1577" s="133">
        <v>29</v>
      </c>
      <c r="H1577" s="124"/>
      <c r="I1577" s="133" t="str">
        <f>IF(H1577&gt;0,(#REF!*H1577),"-")</f>
        <v>-</v>
      </c>
      <c r="J1577" s="113">
        <v>315</v>
      </c>
      <c r="K1577" s="110" t="s">
        <v>129</v>
      </c>
      <c r="L1577" s="110" t="s">
        <v>6500</v>
      </c>
      <c r="M1577" s="110" t="s">
        <v>129</v>
      </c>
      <c r="N1577" s="110" t="s">
        <v>944</v>
      </c>
      <c r="O1577" s="110" t="s">
        <v>6501</v>
      </c>
      <c r="P1577" s="110" t="s">
        <v>4520</v>
      </c>
      <c r="Q1577" s="110" t="s">
        <v>96</v>
      </c>
      <c r="R1577" s="121">
        <v>0.16789999999999999</v>
      </c>
      <c r="S1577" s="113" t="e">
        <f t="shared" si="48"/>
        <v>#VALUE!</v>
      </c>
      <c r="T1577" s="113">
        <f t="shared" si="49"/>
        <v>0</v>
      </c>
    </row>
    <row r="1578" spans="1:20" s="109" customFormat="1" x14ac:dyDescent="0.2">
      <c r="A1578" s="116"/>
      <c r="B1578" s="111" t="s">
        <v>5299</v>
      </c>
      <c r="C1578" s="110" t="s">
        <v>6502</v>
      </c>
      <c r="D1578" s="110" t="s">
        <v>6503</v>
      </c>
      <c r="E1578" s="112" t="s">
        <v>6504</v>
      </c>
      <c r="F1578" s="111" t="s">
        <v>4518</v>
      </c>
      <c r="G1578" s="133">
        <v>29</v>
      </c>
      <c r="H1578" s="124"/>
      <c r="I1578" s="133" t="str">
        <f>IF(H1578&gt;0,(#REF!*H1578),"-")</f>
        <v>-</v>
      </c>
      <c r="J1578" s="113">
        <v>334</v>
      </c>
      <c r="K1578" s="110" t="s">
        <v>129</v>
      </c>
      <c r="L1578" s="110" t="s">
        <v>6500</v>
      </c>
      <c r="M1578" s="110" t="s">
        <v>129</v>
      </c>
      <c r="N1578" s="110" t="s">
        <v>944</v>
      </c>
      <c r="O1578" s="110" t="s">
        <v>6505</v>
      </c>
      <c r="P1578" s="110" t="s">
        <v>4520</v>
      </c>
      <c r="Q1578" s="110" t="s">
        <v>96</v>
      </c>
      <c r="R1578" s="121">
        <v>0.17280000000000001</v>
      </c>
      <c r="S1578" s="113" t="e">
        <f t="shared" si="48"/>
        <v>#VALUE!</v>
      </c>
      <c r="T1578" s="113">
        <f t="shared" si="49"/>
        <v>0</v>
      </c>
    </row>
    <row r="1579" spans="1:20" s="109" customFormat="1" x14ac:dyDescent="0.2">
      <c r="A1579" s="116"/>
      <c r="B1579" s="111" t="s">
        <v>289</v>
      </c>
      <c r="C1579" s="110" t="s">
        <v>6506</v>
      </c>
      <c r="D1579" s="110" t="s">
        <v>6507</v>
      </c>
      <c r="E1579" s="112" t="s">
        <v>6508</v>
      </c>
      <c r="F1579" s="111" t="s">
        <v>4518</v>
      </c>
      <c r="G1579" s="133">
        <v>29</v>
      </c>
      <c r="H1579" s="124"/>
      <c r="I1579" s="133" t="str">
        <f>IF(H1579&gt;0,(#REF!*H1579),"-")</f>
        <v>-</v>
      </c>
      <c r="J1579" s="113">
        <v>315</v>
      </c>
      <c r="K1579" s="110" t="s">
        <v>129</v>
      </c>
      <c r="L1579" s="110" t="s">
        <v>6500</v>
      </c>
      <c r="M1579" s="110" t="s">
        <v>129</v>
      </c>
      <c r="N1579" s="110" t="s">
        <v>944</v>
      </c>
      <c r="O1579" s="110" t="s">
        <v>6509</v>
      </c>
      <c r="P1579" s="110" t="s">
        <v>4520</v>
      </c>
      <c r="Q1579" s="110" t="s">
        <v>96</v>
      </c>
      <c r="R1579" s="121">
        <v>0.17080000000000001</v>
      </c>
      <c r="S1579" s="113" t="e">
        <f t="shared" si="48"/>
        <v>#VALUE!</v>
      </c>
      <c r="T1579" s="113">
        <f t="shared" si="49"/>
        <v>0</v>
      </c>
    </row>
    <row r="1580" spans="1:20" s="109" customFormat="1" x14ac:dyDescent="0.2">
      <c r="A1580" s="116"/>
      <c r="B1580" s="111" t="s">
        <v>1037</v>
      </c>
      <c r="C1580" s="110" t="s">
        <v>6510</v>
      </c>
      <c r="D1580" s="110" t="s">
        <v>6511</v>
      </c>
      <c r="E1580" s="112" t="s">
        <v>6512</v>
      </c>
      <c r="F1580" s="111" t="s">
        <v>4518</v>
      </c>
      <c r="G1580" s="133">
        <v>29</v>
      </c>
      <c r="H1580" s="124"/>
      <c r="I1580" s="133" t="str">
        <f>IF(H1580&gt;0,(#REF!*H1580),"-")</f>
        <v>-</v>
      </c>
      <c r="J1580" s="113">
        <v>315</v>
      </c>
      <c r="K1580" s="110" t="s">
        <v>129</v>
      </c>
      <c r="L1580" s="110" t="s">
        <v>6500</v>
      </c>
      <c r="M1580" s="110" t="s">
        <v>129</v>
      </c>
      <c r="N1580" s="110" t="s">
        <v>944</v>
      </c>
      <c r="O1580" s="110" t="s">
        <v>6513</v>
      </c>
      <c r="P1580" s="110" t="s">
        <v>4520</v>
      </c>
      <c r="Q1580" s="110" t="s">
        <v>96</v>
      </c>
      <c r="R1580" s="121">
        <v>0.1714</v>
      </c>
      <c r="S1580" s="113" t="e">
        <f t="shared" si="48"/>
        <v>#VALUE!</v>
      </c>
      <c r="T1580" s="113">
        <f t="shared" si="49"/>
        <v>0</v>
      </c>
    </row>
    <row r="1581" spans="1:20" s="109" customFormat="1" x14ac:dyDescent="0.2">
      <c r="A1581" s="116"/>
      <c r="B1581" s="111" t="s">
        <v>5299</v>
      </c>
      <c r="C1581" s="110" t="s">
        <v>6514</v>
      </c>
      <c r="D1581" s="110" t="s">
        <v>6515</v>
      </c>
      <c r="E1581" s="112" t="s">
        <v>6516</v>
      </c>
      <c r="F1581" s="111" t="s">
        <v>4518</v>
      </c>
      <c r="G1581" s="133">
        <v>29</v>
      </c>
      <c r="H1581" s="124"/>
      <c r="I1581" s="133" t="str">
        <f>IF(H1581&gt;0,(#REF!*H1581),"-")</f>
        <v>-</v>
      </c>
      <c r="J1581" s="113">
        <v>334</v>
      </c>
      <c r="K1581" s="110" t="s">
        <v>129</v>
      </c>
      <c r="L1581" s="110" t="s">
        <v>6500</v>
      </c>
      <c r="M1581" s="110" t="s">
        <v>129</v>
      </c>
      <c r="N1581" s="110" t="s">
        <v>944</v>
      </c>
      <c r="O1581" s="110" t="s">
        <v>6517</v>
      </c>
      <c r="P1581" s="110" t="s">
        <v>4520</v>
      </c>
      <c r="Q1581" s="110" t="s">
        <v>96</v>
      </c>
      <c r="R1581" s="121">
        <v>0.1721</v>
      </c>
      <c r="S1581" s="113" t="e">
        <f t="shared" si="48"/>
        <v>#VALUE!</v>
      </c>
      <c r="T1581" s="113">
        <f t="shared" si="49"/>
        <v>0</v>
      </c>
    </row>
    <row r="1582" spans="1:20" s="109" customFormat="1" x14ac:dyDescent="0.2">
      <c r="A1582" s="116"/>
      <c r="B1582" s="111" t="s">
        <v>5299</v>
      </c>
      <c r="C1582" s="110" t="s">
        <v>6518</v>
      </c>
      <c r="D1582" s="110" t="s">
        <v>6519</v>
      </c>
      <c r="E1582" s="112" t="s">
        <v>6520</v>
      </c>
      <c r="F1582" s="111" t="s">
        <v>4518</v>
      </c>
      <c r="G1582" s="133">
        <v>29</v>
      </c>
      <c r="H1582" s="124"/>
      <c r="I1582" s="133" t="str">
        <f>IF(H1582&gt;0,(#REF!*H1582),"-")</f>
        <v>-</v>
      </c>
      <c r="J1582" s="113">
        <v>315</v>
      </c>
      <c r="K1582" s="110" t="s">
        <v>129</v>
      </c>
      <c r="L1582" s="110" t="s">
        <v>6500</v>
      </c>
      <c r="M1582" s="110" t="s">
        <v>129</v>
      </c>
      <c r="N1582" s="110" t="s">
        <v>944</v>
      </c>
      <c r="O1582" s="110" t="s">
        <v>6521</v>
      </c>
      <c r="P1582" s="110" t="s">
        <v>4520</v>
      </c>
      <c r="Q1582" s="110" t="s">
        <v>96</v>
      </c>
      <c r="R1582" s="121">
        <v>0.17150000000000001</v>
      </c>
      <c r="S1582" s="113" t="e">
        <f t="shared" si="48"/>
        <v>#VALUE!</v>
      </c>
      <c r="T1582" s="113">
        <f t="shared" si="49"/>
        <v>0</v>
      </c>
    </row>
    <row r="1583" spans="1:20" s="109" customFormat="1" x14ac:dyDescent="0.2">
      <c r="A1583" s="116"/>
      <c r="B1583" s="111" t="s">
        <v>1037</v>
      </c>
      <c r="C1583" s="110" t="s">
        <v>6522</v>
      </c>
      <c r="D1583" s="110" t="s">
        <v>6523</v>
      </c>
      <c r="E1583" s="112" t="s">
        <v>6524</v>
      </c>
      <c r="F1583" s="111" t="s">
        <v>4518</v>
      </c>
      <c r="G1583" s="133">
        <v>29</v>
      </c>
      <c r="H1583" s="124"/>
      <c r="I1583" s="133" t="str">
        <f>IF(H1583&gt;0,(#REF!*H1583),"-")</f>
        <v>-</v>
      </c>
      <c r="J1583" s="113">
        <v>334</v>
      </c>
      <c r="K1583" s="110" t="s">
        <v>129</v>
      </c>
      <c r="L1583" s="110" t="s">
        <v>6500</v>
      </c>
      <c r="M1583" s="110" t="s">
        <v>129</v>
      </c>
      <c r="N1583" s="110" t="s">
        <v>944</v>
      </c>
      <c r="O1583" s="110" t="s">
        <v>6525</v>
      </c>
      <c r="P1583" s="110" t="s">
        <v>4520</v>
      </c>
      <c r="Q1583" s="110" t="s">
        <v>96</v>
      </c>
      <c r="R1583" s="121">
        <v>0.17130000000000001</v>
      </c>
      <c r="S1583" s="113" t="e">
        <f t="shared" si="48"/>
        <v>#VALUE!</v>
      </c>
      <c r="T1583" s="113">
        <f t="shared" si="49"/>
        <v>0</v>
      </c>
    </row>
    <row r="1584" spans="1:20" s="109" customFormat="1" x14ac:dyDescent="0.2">
      <c r="A1584" s="116"/>
      <c r="B1584" s="111" t="s">
        <v>1037</v>
      </c>
      <c r="C1584" s="110" t="s">
        <v>6526</v>
      </c>
      <c r="D1584" s="110" t="s">
        <v>6527</v>
      </c>
      <c r="E1584" s="112" t="s">
        <v>6528</v>
      </c>
      <c r="F1584" s="111" t="s">
        <v>4518</v>
      </c>
      <c r="G1584" s="133">
        <v>29</v>
      </c>
      <c r="H1584" s="124"/>
      <c r="I1584" s="133" t="str">
        <f>IF(H1584&gt;0,(#REF!*H1584),"-")</f>
        <v>-</v>
      </c>
      <c r="J1584" s="113">
        <v>315</v>
      </c>
      <c r="K1584" s="110" t="s">
        <v>129</v>
      </c>
      <c r="L1584" s="110" t="s">
        <v>6500</v>
      </c>
      <c r="M1584" s="110" t="s">
        <v>129</v>
      </c>
      <c r="N1584" s="110" t="s">
        <v>944</v>
      </c>
      <c r="O1584" s="110" t="s">
        <v>6529</v>
      </c>
      <c r="P1584" s="110" t="s">
        <v>4520</v>
      </c>
      <c r="Q1584" s="110" t="s">
        <v>96</v>
      </c>
      <c r="R1584" s="121">
        <v>0.17199999999999999</v>
      </c>
      <c r="S1584" s="113" t="e">
        <f t="shared" si="48"/>
        <v>#VALUE!</v>
      </c>
      <c r="T1584" s="113">
        <f t="shared" si="49"/>
        <v>0</v>
      </c>
    </row>
    <row r="1585" spans="1:20" s="109" customFormat="1" x14ac:dyDescent="0.2">
      <c r="A1585" s="116"/>
      <c r="B1585" s="111" t="s">
        <v>289</v>
      </c>
      <c r="C1585" s="110" t="s">
        <v>6530</v>
      </c>
      <c r="D1585" s="110" t="s">
        <v>6531</v>
      </c>
      <c r="E1585" s="112" t="s">
        <v>6532</v>
      </c>
      <c r="F1585" s="111" t="s">
        <v>4518</v>
      </c>
      <c r="G1585" s="133">
        <v>29</v>
      </c>
      <c r="H1585" s="124"/>
      <c r="I1585" s="133" t="str">
        <f>IF(H1585&gt;0,(#REF!*H1585),"-")</f>
        <v>-</v>
      </c>
      <c r="J1585" s="113">
        <v>315</v>
      </c>
      <c r="K1585" s="110" t="s">
        <v>129</v>
      </c>
      <c r="L1585" s="110" t="s">
        <v>6500</v>
      </c>
      <c r="M1585" s="110" t="s">
        <v>129</v>
      </c>
      <c r="N1585" s="110" t="s">
        <v>944</v>
      </c>
      <c r="O1585" s="110" t="s">
        <v>6533</v>
      </c>
      <c r="P1585" s="110" t="s">
        <v>4520</v>
      </c>
      <c r="Q1585" s="110" t="s">
        <v>96</v>
      </c>
      <c r="R1585" s="121">
        <v>0.16450000000000001</v>
      </c>
      <c r="S1585" s="113" t="e">
        <f t="shared" si="48"/>
        <v>#VALUE!</v>
      </c>
      <c r="T1585" s="113">
        <f t="shared" si="49"/>
        <v>0</v>
      </c>
    </row>
    <row r="1586" spans="1:20" s="109" customFormat="1" x14ac:dyDescent="0.2">
      <c r="A1586" s="116"/>
      <c r="B1586" s="111" t="s">
        <v>1037</v>
      </c>
      <c r="C1586" s="110" t="s">
        <v>6534</v>
      </c>
      <c r="D1586" s="110" t="s">
        <v>6535</v>
      </c>
      <c r="E1586" s="112" t="s">
        <v>6536</v>
      </c>
      <c r="F1586" s="111" t="s">
        <v>4518</v>
      </c>
      <c r="G1586" s="133">
        <v>29</v>
      </c>
      <c r="H1586" s="124"/>
      <c r="I1586" s="133" t="str">
        <f>IF(H1586&gt;0,(#REF!*H1586),"-")</f>
        <v>-</v>
      </c>
      <c r="J1586" s="113">
        <v>315</v>
      </c>
      <c r="K1586" s="110" t="s">
        <v>129</v>
      </c>
      <c r="L1586" s="110" t="s">
        <v>6500</v>
      </c>
      <c r="M1586" s="110" t="s">
        <v>129</v>
      </c>
      <c r="N1586" s="110" t="s">
        <v>944</v>
      </c>
      <c r="O1586" s="110" t="s">
        <v>6537</v>
      </c>
      <c r="P1586" s="110" t="s">
        <v>4520</v>
      </c>
      <c r="Q1586" s="110" t="s">
        <v>96</v>
      </c>
      <c r="R1586" s="121">
        <v>0.17280000000000001</v>
      </c>
      <c r="S1586" s="113" t="e">
        <f t="shared" si="48"/>
        <v>#VALUE!</v>
      </c>
      <c r="T1586" s="113">
        <f t="shared" si="49"/>
        <v>0</v>
      </c>
    </row>
    <row r="1587" spans="1:20" s="109" customFormat="1" x14ac:dyDescent="0.2">
      <c r="A1587" s="116"/>
      <c r="B1587" s="111" t="s">
        <v>1037</v>
      </c>
      <c r="C1587" s="110" t="s">
        <v>6538</v>
      </c>
      <c r="D1587" s="110" t="s">
        <v>6539</v>
      </c>
      <c r="E1587" s="112" t="s">
        <v>6540</v>
      </c>
      <c r="F1587" s="111" t="s">
        <v>4518</v>
      </c>
      <c r="G1587" s="133">
        <v>29</v>
      </c>
      <c r="H1587" s="124"/>
      <c r="I1587" s="133" t="str">
        <f>IF(H1587&gt;0,(#REF!*H1587),"-")</f>
        <v>-</v>
      </c>
      <c r="J1587" s="113">
        <v>315</v>
      </c>
      <c r="K1587" s="110" t="s">
        <v>129</v>
      </c>
      <c r="L1587" s="110" t="s">
        <v>6500</v>
      </c>
      <c r="M1587" s="110" t="s">
        <v>129</v>
      </c>
      <c r="N1587" s="110" t="s">
        <v>944</v>
      </c>
      <c r="O1587" s="110" t="s">
        <v>6541</v>
      </c>
      <c r="P1587" s="110" t="s">
        <v>4520</v>
      </c>
      <c r="Q1587" s="110" t="s">
        <v>96</v>
      </c>
      <c r="R1587" s="121">
        <v>0.1706</v>
      </c>
      <c r="S1587" s="113" t="e">
        <f t="shared" si="48"/>
        <v>#VALUE!</v>
      </c>
      <c r="T1587" s="113">
        <f t="shared" si="49"/>
        <v>0</v>
      </c>
    </row>
    <row r="1588" spans="1:20" s="109" customFormat="1" x14ac:dyDescent="0.2">
      <c r="A1588" s="116"/>
      <c r="B1588" s="111" t="s">
        <v>1037</v>
      </c>
      <c r="C1588" s="110" t="s">
        <v>6542</v>
      </c>
      <c r="D1588" s="110" t="s">
        <v>6543</v>
      </c>
      <c r="E1588" s="112" t="s">
        <v>6544</v>
      </c>
      <c r="F1588" s="111" t="s">
        <v>4518</v>
      </c>
      <c r="G1588" s="133">
        <v>29</v>
      </c>
      <c r="H1588" s="124"/>
      <c r="I1588" s="133" t="str">
        <f>IF(H1588&gt;0,(#REF!*H1588),"-")</f>
        <v>-</v>
      </c>
      <c r="J1588" s="113">
        <v>315</v>
      </c>
      <c r="K1588" s="110" t="s">
        <v>129</v>
      </c>
      <c r="L1588" s="110" t="s">
        <v>6500</v>
      </c>
      <c r="M1588" s="110" t="s">
        <v>129</v>
      </c>
      <c r="N1588" s="110" t="s">
        <v>944</v>
      </c>
      <c r="O1588" s="110" t="s">
        <v>6545</v>
      </c>
      <c r="P1588" s="110" t="s">
        <v>4520</v>
      </c>
      <c r="Q1588" s="110" t="s">
        <v>96</v>
      </c>
      <c r="R1588" s="121">
        <v>0.1678</v>
      </c>
      <c r="S1588" s="113" t="e">
        <f t="shared" si="48"/>
        <v>#VALUE!</v>
      </c>
      <c r="T1588" s="113">
        <f t="shared" si="49"/>
        <v>0</v>
      </c>
    </row>
    <row r="1589" spans="1:20" s="109" customFormat="1" x14ac:dyDescent="0.2">
      <c r="A1589" s="116"/>
      <c r="B1589" s="111" t="s">
        <v>1037</v>
      </c>
      <c r="C1589" s="110" t="s">
        <v>6546</v>
      </c>
      <c r="D1589" s="110" t="s">
        <v>6547</v>
      </c>
      <c r="E1589" s="112" t="s">
        <v>6548</v>
      </c>
      <c r="F1589" s="111" t="s">
        <v>4518</v>
      </c>
      <c r="G1589" s="133">
        <v>29</v>
      </c>
      <c r="H1589" s="124"/>
      <c r="I1589" s="133" t="str">
        <f>IF(H1589&gt;0,(#REF!*H1589),"-")</f>
        <v>-</v>
      </c>
      <c r="J1589" s="113">
        <v>315</v>
      </c>
      <c r="K1589" s="110" t="s">
        <v>129</v>
      </c>
      <c r="L1589" s="110" t="s">
        <v>6500</v>
      </c>
      <c r="M1589" s="110" t="s">
        <v>129</v>
      </c>
      <c r="N1589" s="110" t="s">
        <v>944</v>
      </c>
      <c r="O1589" s="110" t="s">
        <v>6549</v>
      </c>
      <c r="P1589" s="110" t="s">
        <v>4520</v>
      </c>
      <c r="Q1589" s="110" t="s">
        <v>96</v>
      </c>
      <c r="R1589" s="121">
        <v>0.17</v>
      </c>
      <c r="S1589" s="113" t="e">
        <f t="shared" si="48"/>
        <v>#VALUE!</v>
      </c>
      <c r="T1589" s="113">
        <f t="shared" si="49"/>
        <v>0</v>
      </c>
    </row>
    <row r="1590" spans="1:20" s="109" customFormat="1" x14ac:dyDescent="0.2">
      <c r="A1590" s="116"/>
      <c r="B1590" s="111" t="s">
        <v>5299</v>
      </c>
      <c r="C1590" s="110" t="s">
        <v>6550</v>
      </c>
      <c r="D1590" s="110" t="s">
        <v>6551</v>
      </c>
      <c r="E1590" s="112" t="s">
        <v>6552</v>
      </c>
      <c r="F1590" s="111" t="s">
        <v>4518</v>
      </c>
      <c r="G1590" s="133">
        <v>29</v>
      </c>
      <c r="H1590" s="124"/>
      <c r="I1590" s="133" t="str">
        <f>IF(H1590&gt;0,(#REF!*H1590),"-")</f>
        <v>-</v>
      </c>
      <c r="J1590" s="113">
        <v>315</v>
      </c>
      <c r="K1590" s="110" t="s">
        <v>129</v>
      </c>
      <c r="L1590" s="110" t="s">
        <v>6500</v>
      </c>
      <c r="M1590" s="110" t="s">
        <v>129</v>
      </c>
      <c r="N1590" s="110" t="s">
        <v>944</v>
      </c>
      <c r="O1590" s="110" t="s">
        <v>6553</v>
      </c>
      <c r="P1590" s="110" t="s">
        <v>4520</v>
      </c>
      <c r="Q1590" s="110" t="s">
        <v>96</v>
      </c>
      <c r="R1590" s="121">
        <v>0.17449999999999999</v>
      </c>
      <c r="S1590" s="113" t="e">
        <f t="shared" si="48"/>
        <v>#VALUE!</v>
      </c>
      <c r="T1590" s="113">
        <f t="shared" si="49"/>
        <v>0</v>
      </c>
    </row>
    <row r="1591" spans="1:20" s="109" customFormat="1" x14ac:dyDescent="0.2">
      <c r="A1591" s="116"/>
      <c r="B1591" s="111" t="s">
        <v>1037</v>
      </c>
      <c r="C1591" s="110" t="s">
        <v>6554</v>
      </c>
      <c r="D1591" s="110" t="s">
        <v>6555</v>
      </c>
      <c r="E1591" s="112" t="s">
        <v>6556</v>
      </c>
      <c r="F1591" s="111" t="s">
        <v>4518</v>
      </c>
      <c r="G1591" s="133">
        <v>29</v>
      </c>
      <c r="H1591" s="124"/>
      <c r="I1591" s="133" t="str">
        <f>IF(H1591&gt;0,(#REF!*H1591),"-")</f>
        <v>-</v>
      </c>
      <c r="J1591" s="113">
        <v>315</v>
      </c>
      <c r="K1591" s="110" t="s">
        <v>129</v>
      </c>
      <c r="L1591" s="110" t="s">
        <v>6500</v>
      </c>
      <c r="M1591" s="110" t="s">
        <v>129</v>
      </c>
      <c r="N1591" s="110" t="s">
        <v>944</v>
      </c>
      <c r="O1591" s="110" t="s">
        <v>6557</v>
      </c>
      <c r="P1591" s="110" t="s">
        <v>4520</v>
      </c>
      <c r="Q1591" s="110" t="s">
        <v>96</v>
      </c>
      <c r="R1591" s="121">
        <v>0.16800000000000001</v>
      </c>
      <c r="S1591" s="113" t="e">
        <f t="shared" si="48"/>
        <v>#VALUE!</v>
      </c>
      <c r="T1591" s="113">
        <f t="shared" si="49"/>
        <v>0</v>
      </c>
    </row>
    <row r="1592" spans="1:20" s="109" customFormat="1" x14ac:dyDescent="0.2">
      <c r="A1592" s="116"/>
      <c r="B1592" s="111" t="s">
        <v>1037</v>
      </c>
      <c r="C1592" s="110" t="s">
        <v>6558</v>
      </c>
      <c r="D1592" s="110" t="s">
        <v>6559</v>
      </c>
      <c r="E1592" s="112" t="s">
        <v>6560</v>
      </c>
      <c r="F1592" s="111" t="s">
        <v>4518</v>
      </c>
      <c r="G1592" s="133">
        <v>29</v>
      </c>
      <c r="H1592" s="124"/>
      <c r="I1592" s="133" t="str">
        <f>IF(H1592&gt;0,(#REF!*H1592),"-")</f>
        <v>-</v>
      </c>
      <c r="J1592" s="113">
        <v>441</v>
      </c>
      <c r="K1592" s="110" t="s">
        <v>129</v>
      </c>
      <c r="L1592" s="110" t="s">
        <v>6500</v>
      </c>
      <c r="M1592" s="110" t="s">
        <v>129</v>
      </c>
      <c r="N1592" s="110" t="s">
        <v>944</v>
      </c>
      <c r="O1592" s="110" t="s">
        <v>6561</v>
      </c>
      <c r="P1592" s="110" t="s">
        <v>4520</v>
      </c>
      <c r="Q1592" s="110" t="s">
        <v>96</v>
      </c>
      <c r="R1592" s="121">
        <v>0.1704</v>
      </c>
      <c r="S1592" s="113" t="e">
        <f t="shared" si="48"/>
        <v>#VALUE!</v>
      </c>
      <c r="T1592" s="113">
        <f t="shared" si="49"/>
        <v>0</v>
      </c>
    </row>
    <row r="1593" spans="1:20" s="109" customFormat="1" x14ac:dyDescent="0.2">
      <c r="A1593" s="116"/>
      <c r="B1593" s="111" t="s">
        <v>289</v>
      </c>
      <c r="C1593" s="110" t="s">
        <v>6562</v>
      </c>
      <c r="D1593" s="110" t="s">
        <v>6563</v>
      </c>
      <c r="E1593" s="112" t="s">
        <v>6564</v>
      </c>
      <c r="F1593" s="111" t="s">
        <v>4518</v>
      </c>
      <c r="G1593" s="133">
        <v>29</v>
      </c>
      <c r="H1593" s="124"/>
      <c r="I1593" s="133" t="str">
        <f>IF(H1593&gt;0,(#REF!*H1593),"-")</f>
        <v>-</v>
      </c>
      <c r="J1593" s="113">
        <v>334</v>
      </c>
      <c r="K1593" s="110" t="s">
        <v>129</v>
      </c>
      <c r="L1593" s="110" t="s">
        <v>6500</v>
      </c>
      <c r="M1593" s="110" t="s">
        <v>129</v>
      </c>
      <c r="N1593" s="110" t="s">
        <v>944</v>
      </c>
      <c r="O1593" s="110" t="s">
        <v>6565</v>
      </c>
      <c r="P1593" s="110" t="s">
        <v>4520</v>
      </c>
      <c r="Q1593" s="110" t="s">
        <v>96</v>
      </c>
      <c r="R1593" s="121">
        <v>0.1719</v>
      </c>
      <c r="S1593" s="113" t="e">
        <f t="shared" si="48"/>
        <v>#VALUE!</v>
      </c>
      <c r="T1593" s="113">
        <f t="shared" si="49"/>
        <v>0</v>
      </c>
    </row>
    <row r="1594" spans="1:20" s="109" customFormat="1" x14ac:dyDescent="0.2">
      <c r="A1594" s="116"/>
      <c r="B1594" s="111" t="s">
        <v>1037</v>
      </c>
      <c r="C1594" s="110" t="s">
        <v>6566</v>
      </c>
      <c r="D1594" s="110" t="s">
        <v>6567</v>
      </c>
      <c r="E1594" s="112" t="s">
        <v>6568</v>
      </c>
      <c r="F1594" s="111" t="s">
        <v>4518</v>
      </c>
      <c r="G1594" s="133">
        <v>29</v>
      </c>
      <c r="H1594" s="124"/>
      <c r="I1594" s="133" t="str">
        <f>IF(H1594&gt;0,(#REF!*H1594),"-")</f>
        <v>-</v>
      </c>
      <c r="J1594" s="113">
        <v>315</v>
      </c>
      <c r="K1594" s="110" t="s">
        <v>129</v>
      </c>
      <c r="L1594" s="110" t="s">
        <v>6500</v>
      </c>
      <c r="M1594" s="110" t="s">
        <v>129</v>
      </c>
      <c r="N1594" s="110" t="s">
        <v>944</v>
      </c>
      <c r="O1594" s="110" t="s">
        <v>6569</v>
      </c>
      <c r="P1594" s="110" t="s">
        <v>4520</v>
      </c>
      <c r="Q1594" s="110" t="s">
        <v>96</v>
      </c>
      <c r="R1594" s="121">
        <v>0.1739</v>
      </c>
      <c r="S1594" s="113" t="e">
        <f t="shared" si="48"/>
        <v>#VALUE!</v>
      </c>
      <c r="T1594" s="113">
        <f t="shared" si="49"/>
        <v>0</v>
      </c>
    </row>
    <row r="1595" spans="1:20" s="109" customFormat="1" x14ac:dyDescent="0.2">
      <c r="A1595" s="116"/>
      <c r="B1595" s="111" t="s">
        <v>1037</v>
      </c>
      <c r="C1595" s="110" t="s">
        <v>6570</v>
      </c>
      <c r="D1595" s="110" t="s">
        <v>6571</v>
      </c>
      <c r="E1595" s="112" t="s">
        <v>6572</v>
      </c>
      <c r="F1595" s="111" t="s">
        <v>4518</v>
      </c>
      <c r="G1595" s="133">
        <v>29</v>
      </c>
      <c r="H1595" s="124"/>
      <c r="I1595" s="133" t="str">
        <f>IF(H1595&gt;0,(#REF!*H1595),"-")</f>
        <v>-</v>
      </c>
      <c r="J1595" s="113">
        <v>315</v>
      </c>
      <c r="K1595" s="110" t="s">
        <v>129</v>
      </c>
      <c r="L1595" s="110" t="s">
        <v>6500</v>
      </c>
      <c r="M1595" s="110" t="s">
        <v>129</v>
      </c>
      <c r="N1595" s="110" t="s">
        <v>944</v>
      </c>
      <c r="O1595" s="110" t="s">
        <v>6573</v>
      </c>
      <c r="P1595" s="110" t="s">
        <v>4520</v>
      </c>
      <c r="Q1595" s="110" t="s">
        <v>96</v>
      </c>
      <c r="R1595" s="121">
        <v>0.1694</v>
      </c>
      <c r="S1595" s="113" t="e">
        <f t="shared" si="48"/>
        <v>#VALUE!</v>
      </c>
      <c r="T1595" s="113">
        <f t="shared" si="49"/>
        <v>0</v>
      </c>
    </row>
    <row r="1596" spans="1:20" s="109" customFormat="1" x14ac:dyDescent="0.2">
      <c r="A1596" s="116"/>
      <c r="B1596" s="111" t="s">
        <v>1037</v>
      </c>
      <c r="C1596" s="110" t="s">
        <v>6574</v>
      </c>
      <c r="D1596" s="110" t="s">
        <v>6575</v>
      </c>
      <c r="E1596" s="112" t="s">
        <v>6576</v>
      </c>
      <c r="F1596" s="111" t="s">
        <v>4518</v>
      </c>
      <c r="G1596" s="133">
        <v>29</v>
      </c>
      <c r="H1596" s="124"/>
      <c r="I1596" s="133" t="str">
        <f>IF(H1596&gt;0,(#REF!*H1596),"-")</f>
        <v>-</v>
      </c>
      <c r="J1596" s="113">
        <v>315</v>
      </c>
      <c r="K1596" s="110" t="s">
        <v>129</v>
      </c>
      <c r="L1596" s="110" t="s">
        <v>6500</v>
      </c>
      <c r="M1596" s="110" t="s">
        <v>129</v>
      </c>
      <c r="N1596" s="110" t="s">
        <v>944</v>
      </c>
      <c r="O1596" s="110" t="s">
        <v>6577</v>
      </c>
      <c r="P1596" s="110" t="s">
        <v>4520</v>
      </c>
      <c r="Q1596" s="110" t="s">
        <v>96</v>
      </c>
      <c r="R1596" s="121">
        <v>0.1726</v>
      </c>
      <c r="S1596" s="113" t="e">
        <f t="shared" si="48"/>
        <v>#VALUE!</v>
      </c>
      <c r="T1596" s="113">
        <f t="shared" si="49"/>
        <v>0</v>
      </c>
    </row>
    <row r="1597" spans="1:20" s="109" customFormat="1" x14ac:dyDescent="0.2">
      <c r="A1597" s="116"/>
      <c r="B1597" s="111" t="s">
        <v>5299</v>
      </c>
      <c r="C1597" s="110" t="s">
        <v>6578</v>
      </c>
      <c r="D1597" s="110" t="s">
        <v>6579</v>
      </c>
      <c r="E1597" s="112" t="s">
        <v>6580</v>
      </c>
      <c r="F1597" s="111" t="s">
        <v>4518</v>
      </c>
      <c r="G1597" s="133">
        <v>29</v>
      </c>
      <c r="H1597" s="124"/>
      <c r="I1597" s="133" t="str">
        <f>IF(H1597&gt;0,(#REF!*H1597),"-")</f>
        <v>-</v>
      </c>
      <c r="J1597" s="113">
        <v>315</v>
      </c>
      <c r="K1597" s="110" t="s">
        <v>129</v>
      </c>
      <c r="L1597" s="110" t="s">
        <v>6500</v>
      </c>
      <c r="M1597" s="110" t="s">
        <v>129</v>
      </c>
      <c r="N1597" s="110" t="s">
        <v>944</v>
      </c>
      <c r="O1597" s="110" t="s">
        <v>6581</v>
      </c>
      <c r="P1597" s="110" t="s">
        <v>4520</v>
      </c>
      <c r="Q1597" s="110" t="s">
        <v>96</v>
      </c>
      <c r="R1597" s="121">
        <v>0.17449999999999999</v>
      </c>
      <c r="S1597" s="113" t="e">
        <f t="shared" si="48"/>
        <v>#VALUE!</v>
      </c>
      <c r="T1597" s="113">
        <f t="shared" si="49"/>
        <v>0</v>
      </c>
    </row>
    <row r="1598" spans="1:20" s="109" customFormat="1" x14ac:dyDescent="0.2">
      <c r="A1598" s="116"/>
      <c r="B1598" s="111" t="s">
        <v>1037</v>
      </c>
      <c r="C1598" s="110" t="s">
        <v>6582</v>
      </c>
      <c r="D1598" s="110" t="s">
        <v>6583</v>
      </c>
      <c r="E1598" s="112" t="s">
        <v>6584</v>
      </c>
      <c r="F1598" s="111" t="s">
        <v>4518</v>
      </c>
      <c r="G1598" s="133">
        <v>29</v>
      </c>
      <c r="H1598" s="124"/>
      <c r="I1598" s="133" t="str">
        <f>IF(H1598&gt;0,(#REF!*H1598),"-")</f>
        <v>-</v>
      </c>
      <c r="J1598" s="113">
        <v>315</v>
      </c>
      <c r="K1598" s="110" t="s">
        <v>129</v>
      </c>
      <c r="L1598" s="110" t="s">
        <v>6500</v>
      </c>
      <c r="M1598" s="110" t="s">
        <v>129</v>
      </c>
      <c r="N1598" s="110" t="s">
        <v>944</v>
      </c>
      <c r="O1598" s="110" t="s">
        <v>6585</v>
      </c>
      <c r="P1598" s="110" t="s">
        <v>4520</v>
      </c>
      <c r="Q1598" s="110" t="s">
        <v>96</v>
      </c>
      <c r="R1598" s="121">
        <v>0.17299999999999999</v>
      </c>
      <c r="S1598" s="113" t="e">
        <f t="shared" si="48"/>
        <v>#VALUE!</v>
      </c>
      <c r="T1598" s="113">
        <f t="shared" si="49"/>
        <v>0</v>
      </c>
    </row>
    <row r="1599" spans="1:20" s="109" customFormat="1" x14ac:dyDescent="0.2">
      <c r="A1599" s="116"/>
      <c r="B1599" s="111" t="s">
        <v>289</v>
      </c>
      <c r="C1599" s="110" t="s">
        <v>6586</v>
      </c>
      <c r="D1599" s="110" t="s">
        <v>6587</v>
      </c>
      <c r="E1599" s="112" t="s">
        <v>6588</v>
      </c>
      <c r="F1599" s="111" t="s">
        <v>4518</v>
      </c>
      <c r="G1599" s="133">
        <v>29</v>
      </c>
      <c r="H1599" s="124"/>
      <c r="I1599" s="133" t="str">
        <f>IF(H1599&gt;0,(#REF!*H1599),"-")</f>
        <v>-</v>
      </c>
      <c r="J1599" s="113">
        <v>334</v>
      </c>
      <c r="K1599" s="110" t="s">
        <v>129</v>
      </c>
      <c r="L1599" s="110" t="s">
        <v>6500</v>
      </c>
      <c r="M1599" s="110" t="s">
        <v>129</v>
      </c>
      <c r="N1599" s="110" t="s">
        <v>944</v>
      </c>
      <c r="O1599" s="110" t="s">
        <v>6589</v>
      </c>
      <c r="P1599" s="110" t="s">
        <v>4520</v>
      </c>
      <c r="Q1599" s="110" t="s">
        <v>96</v>
      </c>
      <c r="R1599" s="121">
        <v>0.17169999999999999</v>
      </c>
      <c r="S1599" s="113" t="e">
        <f t="shared" si="48"/>
        <v>#VALUE!</v>
      </c>
      <c r="T1599" s="113">
        <f t="shared" si="49"/>
        <v>0</v>
      </c>
    </row>
    <row r="1600" spans="1:20" s="109" customFormat="1" x14ac:dyDescent="0.2">
      <c r="A1600" s="116"/>
      <c r="B1600" s="111" t="s">
        <v>5299</v>
      </c>
      <c r="C1600" s="110" t="s">
        <v>6590</v>
      </c>
      <c r="D1600" s="110" t="s">
        <v>6591</v>
      </c>
      <c r="E1600" s="112" t="s">
        <v>6592</v>
      </c>
      <c r="F1600" s="111" t="s">
        <v>4518</v>
      </c>
      <c r="G1600" s="133">
        <v>29</v>
      </c>
      <c r="H1600" s="124"/>
      <c r="I1600" s="133" t="str">
        <f>IF(H1600&gt;0,(#REF!*H1600),"-")</f>
        <v>-</v>
      </c>
      <c r="J1600" s="113">
        <v>315</v>
      </c>
      <c r="K1600" s="110" t="s">
        <v>129</v>
      </c>
      <c r="L1600" s="110" t="s">
        <v>6500</v>
      </c>
      <c r="M1600" s="110" t="s">
        <v>129</v>
      </c>
      <c r="N1600" s="110" t="s">
        <v>944</v>
      </c>
      <c r="O1600" s="110" t="s">
        <v>6593</v>
      </c>
      <c r="P1600" s="110" t="s">
        <v>4520</v>
      </c>
      <c r="Q1600" s="110" t="s">
        <v>96</v>
      </c>
      <c r="R1600" s="121">
        <v>0.17100000000000001</v>
      </c>
      <c r="S1600" s="113" t="e">
        <f t="shared" si="48"/>
        <v>#VALUE!</v>
      </c>
      <c r="T1600" s="113">
        <f t="shared" si="49"/>
        <v>0</v>
      </c>
    </row>
    <row r="1601" spans="1:20" s="109" customFormat="1" x14ac:dyDescent="0.2">
      <c r="A1601" s="116"/>
      <c r="B1601" s="111" t="s">
        <v>1037</v>
      </c>
      <c r="C1601" s="110" t="s">
        <v>6594</v>
      </c>
      <c r="D1601" s="110" t="s">
        <v>6595</v>
      </c>
      <c r="E1601" s="112" t="s">
        <v>6596</v>
      </c>
      <c r="F1601" s="111" t="s">
        <v>4518</v>
      </c>
      <c r="G1601" s="133">
        <v>29</v>
      </c>
      <c r="H1601" s="124"/>
      <c r="I1601" s="133" t="str">
        <f>IF(H1601&gt;0,(#REF!*H1601),"-")</f>
        <v>-</v>
      </c>
      <c r="J1601" s="113">
        <v>315</v>
      </c>
      <c r="K1601" s="110" t="s">
        <v>129</v>
      </c>
      <c r="L1601" s="110" t="s">
        <v>6500</v>
      </c>
      <c r="M1601" s="110" t="s">
        <v>129</v>
      </c>
      <c r="N1601" s="110" t="s">
        <v>944</v>
      </c>
      <c r="O1601" s="110" t="s">
        <v>6597</v>
      </c>
      <c r="P1601" s="110" t="s">
        <v>4520</v>
      </c>
      <c r="Q1601" s="110" t="s">
        <v>96</v>
      </c>
      <c r="R1601" s="121">
        <v>0.17499999999999999</v>
      </c>
      <c r="S1601" s="113" t="e">
        <f t="shared" si="48"/>
        <v>#VALUE!</v>
      </c>
      <c r="T1601" s="113">
        <f t="shared" si="49"/>
        <v>0</v>
      </c>
    </row>
    <row r="1602" spans="1:20" s="109" customFormat="1" x14ac:dyDescent="0.2">
      <c r="A1602" s="116"/>
      <c r="B1602" s="111" t="s">
        <v>1037</v>
      </c>
      <c r="C1602" s="110" t="s">
        <v>6598</v>
      </c>
      <c r="D1602" s="110" t="s">
        <v>6599</v>
      </c>
      <c r="E1602" s="112" t="s">
        <v>6600</v>
      </c>
      <c r="F1602" s="111" t="s">
        <v>4518</v>
      </c>
      <c r="G1602" s="133">
        <v>29</v>
      </c>
      <c r="H1602" s="124"/>
      <c r="I1602" s="133" t="str">
        <f>IF(H1602&gt;0,(#REF!*H1602),"-")</f>
        <v>-</v>
      </c>
      <c r="J1602" s="113">
        <v>315</v>
      </c>
      <c r="K1602" s="110" t="s">
        <v>129</v>
      </c>
      <c r="L1602" s="110" t="s">
        <v>6500</v>
      </c>
      <c r="M1602" s="110" t="s">
        <v>129</v>
      </c>
      <c r="N1602" s="110" t="s">
        <v>944</v>
      </c>
      <c r="O1602" s="110" t="s">
        <v>6601</v>
      </c>
      <c r="P1602" s="110" t="s">
        <v>4520</v>
      </c>
      <c r="Q1602" s="110" t="s">
        <v>96</v>
      </c>
      <c r="R1602" s="121">
        <v>0.17249999999999999</v>
      </c>
      <c r="S1602" s="113" t="e">
        <f t="shared" ref="S1602:S1665" si="50">Q1602*H1602</f>
        <v>#VALUE!</v>
      </c>
      <c r="T1602" s="113">
        <f t="shared" ref="T1602:T1665" si="51">R1602*H1602</f>
        <v>0</v>
      </c>
    </row>
    <row r="1603" spans="1:20" s="109" customFormat="1" x14ac:dyDescent="0.2">
      <c r="A1603" s="116"/>
      <c r="B1603" s="111" t="s">
        <v>1037</v>
      </c>
      <c r="C1603" s="110" t="s">
        <v>6602</v>
      </c>
      <c r="D1603" s="110" t="s">
        <v>6603</v>
      </c>
      <c r="E1603" s="112" t="s">
        <v>6604</v>
      </c>
      <c r="F1603" s="111" t="s">
        <v>4518</v>
      </c>
      <c r="G1603" s="133">
        <v>29</v>
      </c>
      <c r="H1603" s="124"/>
      <c r="I1603" s="133" t="str">
        <f>IF(H1603&gt;0,(#REF!*H1603),"-")</f>
        <v>-</v>
      </c>
      <c r="J1603" s="113">
        <v>315</v>
      </c>
      <c r="K1603" s="110" t="s">
        <v>129</v>
      </c>
      <c r="L1603" s="110" t="s">
        <v>6500</v>
      </c>
      <c r="M1603" s="110" t="s">
        <v>129</v>
      </c>
      <c r="N1603" s="110" t="s">
        <v>944</v>
      </c>
      <c r="O1603" s="110" t="s">
        <v>6605</v>
      </c>
      <c r="P1603" s="110" t="s">
        <v>4520</v>
      </c>
      <c r="Q1603" s="110" t="s">
        <v>96</v>
      </c>
      <c r="R1603" s="121">
        <v>0.1699</v>
      </c>
      <c r="S1603" s="113" t="e">
        <f t="shared" si="50"/>
        <v>#VALUE!</v>
      </c>
      <c r="T1603" s="113">
        <f t="shared" si="51"/>
        <v>0</v>
      </c>
    </row>
    <row r="1604" spans="1:20" s="109" customFormat="1" x14ac:dyDescent="0.2">
      <c r="A1604" s="116"/>
      <c r="B1604" s="111" t="s">
        <v>1037</v>
      </c>
      <c r="C1604" s="110" t="s">
        <v>6606</v>
      </c>
      <c r="D1604" s="110" t="s">
        <v>6607</v>
      </c>
      <c r="E1604" s="112" t="s">
        <v>6608</v>
      </c>
      <c r="F1604" s="111" t="s">
        <v>4518</v>
      </c>
      <c r="G1604" s="133">
        <v>29</v>
      </c>
      <c r="H1604" s="124"/>
      <c r="I1604" s="133" t="str">
        <f>IF(H1604&gt;0,(#REF!*H1604),"-")</f>
        <v>-</v>
      </c>
      <c r="J1604" s="113">
        <v>315</v>
      </c>
      <c r="K1604" s="110" t="s">
        <v>129</v>
      </c>
      <c r="L1604" s="110" t="s">
        <v>6500</v>
      </c>
      <c r="M1604" s="110" t="s">
        <v>129</v>
      </c>
      <c r="N1604" s="110" t="s">
        <v>944</v>
      </c>
      <c r="O1604" s="110" t="s">
        <v>6609</v>
      </c>
      <c r="P1604" s="110" t="s">
        <v>4520</v>
      </c>
      <c r="Q1604" s="110" t="s">
        <v>96</v>
      </c>
      <c r="R1604" s="121">
        <v>0.17369999999999999</v>
      </c>
      <c r="S1604" s="113" t="e">
        <f t="shared" si="50"/>
        <v>#VALUE!</v>
      </c>
      <c r="T1604" s="113">
        <f t="shared" si="51"/>
        <v>0</v>
      </c>
    </row>
    <row r="1605" spans="1:20" s="109" customFormat="1" x14ac:dyDescent="0.2">
      <c r="A1605" s="116"/>
      <c r="B1605" s="111" t="s">
        <v>1037</v>
      </c>
      <c r="C1605" s="110" t="s">
        <v>6610</v>
      </c>
      <c r="D1605" s="110" t="s">
        <v>6611</v>
      </c>
      <c r="E1605" s="112" t="s">
        <v>6612</v>
      </c>
      <c r="F1605" s="111" t="s">
        <v>4518</v>
      </c>
      <c r="G1605" s="133">
        <v>29</v>
      </c>
      <c r="H1605" s="124"/>
      <c r="I1605" s="133" t="str">
        <f>IF(H1605&gt;0,(#REF!*H1605),"-")</f>
        <v>-</v>
      </c>
      <c r="J1605" s="113">
        <v>322</v>
      </c>
      <c r="K1605" s="110" t="s">
        <v>129</v>
      </c>
      <c r="L1605" s="110" t="s">
        <v>6500</v>
      </c>
      <c r="M1605" s="110" t="s">
        <v>129</v>
      </c>
      <c r="N1605" s="110" t="s">
        <v>944</v>
      </c>
      <c r="O1605" s="110" t="s">
        <v>6613</v>
      </c>
      <c r="P1605" s="110" t="s">
        <v>4520</v>
      </c>
      <c r="Q1605" s="110" t="s">
        <v>96</v>
      </c>
      <c r="R1605" s="121">
        <v>0.18099999999999999</v>
      </c>
      <c r="S1605" s="113" t="e">
        <f t="shared" si="50"/>
        <v>#VALUE!</v>
      </c>
      <c r="T1605" s="113">
        <f t="shared" si="51"/>
        <v>0</v>
      </c>
    </row>
    <row r="1606" spans="1:20" s="109" customFormat="1" x14ac:dyDescent="0.2">
      <c r="A1606" s="116"/>
      <c r="B1606" s="111" t="s">
        <v>5299</v>
      </c>
      <c r="C1606" s="110" t="s">
        <v>6614</v>
      </c>
      <c r="D1606" s="110" t="s">
        <v>6615</v>
      </c>
      <c r="E1606" s="112" t="s">
        <v>6616</v>
      </c>
      <c r="F1606" s="111" t="s">
        <v>4518</v>
      </c>
      <c r="G1606" s="133">
        <v>29</v>
      </c>
      <c r="H1606" s="124"/>
      <c r="I1606" s="133" t="str">
        <f>IF(H1606&gt;0,(#REF!*H1606),"-")</f>
        <v>-</v>
      </c>
      <c r="J1606" s="113">
        <v>315</v>
      </c>
      <c r="K1606" s="110" t="s">
        <v>129</v>
      </c>
      <c r="L1606" s="110" t="s">
        <v>6500</v>
      </c>
      <c r="M1606" s="110" t="s">
        <v>129</v>
      </c>
      <c r="N1606" s="110" t="s">
        <v>944</v>
      </c>
      <c r="O1606" s="110" t="s">
        <v>6617</v>
      </c>
      <c r="P1606" s="110" t="s">
        <v>4520</v>
      </c>
      <c r="Q1606" s="110" t="s">
        <v>96</v>
      </c>
      <c r="R1606" s="121">
        <v>0.17519999999999999</v>
      </c>
      <c r="S1606" s="113" t="e">
        <f t="shared" si="50"/>
        <v>#VALUE!</v>
      </c>
      <c r="T1606" s="113">
        <f t="shared" si="51"/>
        <v>0</v>
      </c>
    </row>
    <row r="1607" spans="1:20" s="109" customFormat="1" x14ac:dyDescent="0.2">
      <c r="A1607" s="116"/>
      <c r="B1607" s="111" t="s">
        <v>5299</v>
      </c>
      <c r="C1607" s="110" t="s">
        <v>6618</v>
      </c>
      <c r="D1607" s="110" t="s">
        <v>6619</v>
      </c>
      <c r="E1607" s="112" t="s">
        <v>6620</v>
      </c>
      <c r="F1607" s="111" t="s">
        <v>4518</v>
      </c>
      <c r="G1607" s="133">
        <v>29</v>
      </c>
      <c r="H1607" s="124"/>
      <c r="I1607" s="133" t="str">
        <f>IF(H1607&gt;0,(#REF!*H1607),"-")</f>
        <v>-</v>
      </c>
      <c r="J1607" s="113">
        <v>315</v>
      </c>
      <c r="K1607" s="110" t="s">
        <v>129</v>
      </c>
      <c r="L1607" s="110" t="s">
        <v>6500</v>
      </c>
      <c r="M1607" s="110" t="s">
        <v>129</v>
      </c>
      <c r="N1607" s="110" t="s">
        <v>944</v>
      </c>
      <c r="O1607" s="110" t="s">
        <v>6621</v>
      </c>
      <c r="P1607" s="110" t="s">
        <v>4520</v>
      </c>
      <c r="Q1607" s="110" t="s">
        <v>96</v>
      </c>
      <c r="R1607" s="121">
        <v>0.1754</v>
      </c>
      <c r="S1607" s="113" t="e">
        <f t="shared" si="50"/>
        <v>#VALUE!</v>
      </c>
      <c r="T1607" s="113">
        <f t="shared" si="51"/>
        <v>0</v>
      </c>
    </row>
    <row r="1608" spans="1:20" s="109" customFormat="1" x14ac:dyDescent="0.2">
      <c r="A1608" s="116"/>
      <c r="B1608" s="111" t="s">
        <v>5299</v>
      </c>
      <c r="C1608" s="110" t="s">
        <v>6622</v>
      </c>
      <c r="D1608" s="110" t="s">
        <v>6623</v>
      </c>
      <c r="E1608" s="112" t="s">
        <v>6624</v>
      </c>
      <c r="F1608" s="111" t="s">
        <v>4518</v>
      </c>
      <c r="G1608" s="133">
        <v>29</v>
      </c>
      <c r="H1608" s="124"/>
      <c r="I1608" s="133" t="str">
        <f>IF(H1608&gt;0,(#REF!*H1608),"-")</f>
        <v>-</v>
      </c>
      <c r="J1608" s="113">
        <v>315</v>
      </c>
      <c r="K1608" s="110" t="s">
        <v>129</v>
      </c>
      <c r="L1608" s="110" t="s">
        <v>6500</v>
      </c>
      <c r="M1608" s="110" t="s">
        <v>129</v>
      </c>
      <c r="N1608" s="110" t="s">
        <v>944</v>
      </c>
      <c r="O1608" s="110" t="s">
        <v>6625</v>
      </c>
      <c r="P1608" s="110" t="s">
        <v>4520</v>
      </c>
      <c r="Q1608" s="110" t="s">
        <v>96</v>
      </c>
      <c r="R1608" s="121">
        <v>0.17560000000000001</v>
      </c>
      <c r="S1608" s="113" t="e">
        <f t="shared" si="50"/>
        <v>#VALUE!</v>
      </c>
      <c r="T1608" s="113">
        <f t="shared" si="51"/>
        <v>0</v>
      </c>
    </row>
    <row r="1609" spans="1:20" s="109" customFormat="1" x14ac:dyDescent="0.2">
      <c r="A1609" s="116"/>
      <c r="B1609" s="111" t="s">
        <v>5299</v>
      </c>
      <c r="C1609" s="110" t="s">
        <v>6626</v>
      </c>
      <c r="D1609" s="110" t="s">
        <v>6627</v>
      </c>
      <c r="E1609" s="112" t="s">
        <v>6628</v>
      </c>
      <c r="F1609" s="111" t="s">
        <v>4518</v>
      </c>
      <c r="G1609" s="133">
        <v>29</v>
      </c>
      <c r="H1609" s="124"/>
      <c r="I1609" s="133" t="str">
        <f>IF(H1609&gt;0,(#REF!*H1609),"-")</f>
        <v>-</v>
      </c>
      <c r="J1609" s="113">
        <v>315</v>
      </c>
      <c r="K1609" s="110" t="s">
        <v>129</v>
      </c>
      <c r="L1609" s="110" t="s">
        <v>6500</v>
      </c>
      <c r="M1609" s="110" t="s">
        <v>129</v>
      </c>
      <c r="N1609" s="110" t="s">
        <v>944</v>
      </c>
      <c r="O1609" s="110" t="s">
        <v>6629</v>
      </c>
      <c r="P1609" s="110" t="s">
        <v>4520</v>
      </c>
      <c r="Q1609" s="110" t="s">
        <v>96</v>
      </c>
      <c r="R1609" s="121">
        <v>0.1714</v>
      </c>
      <c r="S1609" s="113" t="e">
        <f t="shared" si="50"/>
        <v>#VALUE!</v>
      </c>
      <c r="T1609" s="113">
        <f t="shared" si="51"/>
        <v>0</v>
      </c>
    </row>
    <row r="1610" spans="1:20" s="109" customFormat="1" x14ac:dyDescent="0.2">
      <c r="A1610" s="116"/>
      <c r="B1610" s="111" t="s">
        <v>5299</v>
      </c>
      <c r="C1610" s="110" t="s">
        <v>6630</v>
      </c>
      <c r="D1610" s="110" t="s">
        <v>6631</v>
      </c>
      <c r="E1610" s="112" t="s">
        <v>6632</v>
      </c>
      <c r="F1610" s="111" t="s">
        <v>4518</v>
      </c>
      <c r="G1610" s="133">
        <v>29</v>
      </c>
      <c r="H1610" s="124"/>
      <c r="I1610" s="133" t="str">
        <f>IF(H1610&gt;0,(#REF!*H1610),"-")</f>
        <v>-</v>
      </c>
      <c r="J1610" s="113">
        <v>315</v>
      </c>
      <c r="K1610" s="110" t="s">
        <v>129</v>
      </c>
      <c r="L1610" s="110" t="s">
        <v>6500</v>
      </c>
      <c r="M1610" s="110" t="s">
        <v>129</v>
      </c>
      <c r="N1610" s="110" t="s">
        <v>944</v>
      </c>
      <c r="O1610" s="110" t="s">
        <v>6633</v>
      </c>
      <c r="P1610" s="110" t="s">
        <v>4520</v>
      </c>
      <c r="Q1610" s="110" t="s">
        <v>96</v>
      </c>
      <c r="R1610" s="121">
        <v>0.17519999999999999</v>
      </c>
      <c r="S1610" s="113" t="e">
        <f t="shared" si="50"/>
        <v>#VALUE!</v>
      </c>
      <c r="T1610" s="113">
        <f t="shared" si="51"/>
        <v>0</v>
      </c>
    </row>
    <row r="1611" spans="1:20" s="109" customFormat="1" x14ac:dyDescent="0.2">
      <c r="A1611" s="116"/>
      <c r="B1611" s="111"/>
      <c r="C1611" s="110" t="s">
        <v>6634</v>
      </c>
      <c r="D1611" s="110" t="s">
        <v>6635</v>
      </c>
      <c r="E1611" s="112" t="s">
        <v>6636</v>
      </c>
      <c r="F1611" s="111" t="s">
        <v>126</v>
      </c>
      <c r="G1611" s="133">
        <v>80</v>
      </c>
      <c r="H1611" s="124"/>
      <c r="I1611" s="133" t="str">
        <f>IF(H1611&gt;0,(#REF!*H1611),"-")</f>
        <v>-</v>
      </c>
      <c r="J1611" s="113">
        <v>1184</v>
      </c>
      <c r="K1611" s="110" t="s">
        <v>129</v>
      </c>
      <c r="L1611" s="110" t="s">
        <v>148</v>
      </c>
      <c r="M1611" s="110" t="s">
        <v>129</v>
      </c>
      <c r="N1611" s="110" t="s">
        <v>130</v>
      </c>
      <c r="O1611" s="110" t="s">
        <v>6637</v>
      </c>
      <c r="P1611" s="110" t="s">
        <v>132</v>
      </c>
      <c r="Q1611" s="110" t="s">
        <v>96</v>
      </c>
      <c r="R1611" s="121">
        <v>0.48799999999999999</v>
      </c>
      <c r="S1611" s="113" t="e">
        <f t="shared" si="50"/>
        <v>#VALUE!</v>
      </c>
      <c r="T1611" s="113">
        <f t="shared" si="51"/>
        <v>0</v>
      </c>
    </row>
    <row r="1612" spans="1:20" s="109" customFormat="1" x14ac:dyDescent="0.2">
      <c r="A1612" s="116"/>
      <c r="B1612" s="111"/>
      <c r="C1612" s="110" t="s">
        <v>6638</v>
      </c>
      <c r="D1612" s="110" t="s">
        <v>6639</v>
      </c>
      <c r="E1612" s="112" t="s">
        <v>6640</v>
      </c>
      <c r="F1612" s="111" t="s">
        <v>126</v>
      </c>
      <c r="G1612" s="133">
        <v>56</v>
      </c>
      <c r="H1612" s="124"/>
      <c r="I1612" s="133" t="str">
        <f>IF(H1612&gt;0,(#REF!*H1612),"-")</f>
        <v>-</v>
      </c>
      <c r="J1612" s="113">
        <v>650</v>
      </c>
      <c r="K1612" s="110" t="s">
        <v>129</v>
      </c>
      <c r="L1612" s="110" t="s">
        <v>148</v>
      </c>
      <c r="M1612" s="110" t="s">
        <v>129</v>
      </c>
      <c r="N1612" s="110" t="s">
        <v>130</v>
      </c>
      <c r="O1612" s="110" t="s">
        <v>6641</v>
      </c>
      <c r="P1612" s="110" t="s">
        <v>132</v>
      </c>
      <c r="Q1612" s="110" t="s">
        <v>96</v>
      </c>
      <c r="R1612" s="121">
        <v>0.28100000000000003</v>
      </c>
      <c r="S1612" s="113" t="e">
        <f t="shared" si="50"/>
        <v>#VALUE!</v>
      </c>
      <c r="T1612" s="113">
        <f t="shared" si="51"/>
        <v>0</v>
      </c>
    </row>
    <row r="1613" spans="1:20" s="109" customFormat="1" x14ac:dyDescent="0.2">
      <c r="A1613" s="116"/>
      <c r="B1613" s="111"/>
      <c r="C1613" s="110" t="s">
        <v>6642</v>
      </c>
      <c r="D1613" s="110" t="s">
        <v>6643</v>
      </c>
      <c r="E1613" s="112" t="s">
        <v>6644</v>
      </c>
      <c r="F1613" s="111" t="s">
        <v>126</v>
      </c>
      <c r="G1613" s="133">
        <v>56</v>
      </c>
      <c r="H1613" s="124"/>
      <c r="I1613" s="133" t="str">
        <f>IF(H1613&gt;0,(#REF!*H1613),"-")</f>
        <v>-</v>
      </c>
      <c r="J1613" s="113">
        <v>644</v>
      </c>
      <c r="K1613" s="110" t="s">
        <v>129</v>
      </c>
      <c r="L1613" s="110" t="s">
        <v>148</v>
      </c>
      <c r="M1613" s="110" t="s">
        <v>129</v>
      </c>
      <c r="N1613" s="110" t="s">
        <v>130</v>
      </c>
      <c r="O1613" s="110" t="s">
        <v>6645</v>
      </c>
      <c r="P1613" s="110" t="s">
        <v>132</v>
      </c>
      <c r="Q1613" s="110" t="s">
        <v>96</v>
      </c>
      <c r="R1613" s="121">
        <v>0.27200000000000002</v>
      </c>
      <c r="S1613" s="113" t="e">
        <f t="shared" si="50"/>
        <v>#VALUE!</v>
      </c>
      <c r="T1613" s="113">
        <f t="shared" si="51"/>
        <v>0</v>
      </c>
    </row>
    <row r="1614" spans="1:20" s="109" customFormat="1" x14ac:dyDescent="0.2">
      <c r="A1614" s="116"/>
      <c r="B1614" s="111"/>
      <c r="C1614" s="110" t="s">
        <v>6646</v>
      </c>
      <c r="D1614" s="110" t="s">
        <v>6647</v>
      </c>
      <c r="E1614" s="112" t="s">
        <v>6648</v>
      </c>
      <c r="F1614" s="111" t="s">
        <v>126</v>
      </c>
      <c r="G1614" s="133">
        <v>56</v>
      </c>
      <c r="H1614" s="124"/>
      <c r="I1614" s="133" t="str">
        <f>IF(H1614&gt;0,(#REF!*H1614),"-")</f>
        <v>-</v>
      </c>
      <c r="J1614" s="113">
        <v>721</v>
      </c>
      <c r="K1614" s="110" t="s">
        <v>129</v>
      </c>
      <c r="L1614" s="110" t="s">
        <v>148</v>
      </c>
      <c r="M1614" s="110" t="s">
        <v>129</v>
      </c>
      <c r="N1614" s="110" t="s">
        <v>130</v>
      </c>
      <c r="O1614" s="110" t="s">
        <v>6649</v>
      </c>
      <c r="P1614" s="110" t="s">
        <v>132</v>
      </c>
      <c r="Q1614" s="110" t="s">
        <v>96</v>
      </c>
      <c r="R1614" s="121">
        <v>0.36919999999999997</v>
      </c>
      <c r="S1614" s="113" t="e">
        <f t="shared" si="50"/>
        <v>#VALUE!</v>
      </c>
      <c r="T1614" s="113">
        <f t="shared" si="51"/>
        <v>0</v>
      </c>
    </row>
    <row r="1615" spans="1:20" s="109" customFormat="1" x14ac:dyDescent="0.2">
      <c r="A1615" s="116"/>
      <c r="B1615" s="111" t="s">
        <v>2373</v>
      </c>
      <c r="C1615" s="110" t="s">
        <v>6650</v>
      </c>
      <c r="D1615" s="110" t="s">
        <v>6651</v>
      </c>
      <c r="E1615" s="112" t="s">
        <v>6652</v>
      </c>
      <c r="F1615" s="111" t="s">
        <v>130</v>
      </c>
      <c r="G1615" s="133">
        <v>56</v>
      </c>
      <c r="H1615" s="124"/>
      <c r="I1615" s="133" t="str">
        <f>IF(H1615&gt;0,(#REF!*H1615),"-")</f>
        <v>-</v>
      </c>
      <c r="J1615" s="113">
        <v>566</v>
      </c>
      <c r="K1615" s="110" t="s">
        <v>129</v>
      </c>
      <c r="L1615" s="110" t="s">
        <v>148</v>
      </c>
      <c r="M1615" s="110" t="s">
        <v>129</v>
      </c>
      <c r="N1615" s="110" t="s">
        <v>130</v>
      </c>
      <c r="O1615" s="110" t="s">
        <v>6653</v>
      </c>
      <c r="P1615" s="110" t="s">
        <v>132</v>
      </c>
      <c r="Q1615" s="110" t="s">
        <v>96</v>
      </c>
      <c r="R1615" s="121">
        <v>0.24299999999999999</v>
      </c>
      <c r="S1615" s="113" t="e">
        <f t="shared" si="50"/>
        <v>#VALUE!</v>
      </c>
      <c r="T1615" s="113">
        <f t="shared" si="51"/>
        <v>0</v>
      </c>
    </row>
    <row r="1616" spans="1:20" s="109" customFormat="1" x14ac:dyDescent="0.2">
      <c r="A1616" s="116"/>
      <c r="B1616" s="111" t="s">
        <v>2373</v>
      </c>
      <c r="C1616" s="110" t="s">
        <v>6654</v>
      </c>
      <c r="D1616" s="110" t="s">
        <v>6655</v>
      </c>
      <c r="E1616" s="112" t="s">
        <v>6656</v>
      </c>
      <c r="F1616" s="111" t="s">
        <v>130</v>
      </c>
      <c r="G1616" s="133">
        <v>56</v>
      </c>
      <c r="H1616" s="124"/>
      <c r="I1616" s="133" t="str">
        <f>IF(H1616&gt;0,(#REF!*H1616),"-")</f>
        <v>-</v>
      </c>
      <c r="J1616" s="113">
        <v>566</v>
      </c>
      <c r="K1616" s="110" t="s">
        <v>129</v>
      </c>
      <c r="L1616" s="110" t="s">
        <v>148</v>
      </c>
      <c r="M1616" s="110" t="s">
        <v>129</v>
      </c>
      <c r="N1616" s="110" t="s">
        <v>130</v>
      </c>
      <c r="O1616" s="110" t="s">
        <v>6657</v>
      </c>
      <c r="P1616" s="110" t="s">
        <v>132</v>
      </c>
      <c r="Q1616" s="110" t="s">
        <v>96</v>
      </c>
      <c r="R1616" s="121">
        <v>0.22800000000000001</v>
      </c>
      <c r="S1616" s="113" t="e">
        <f t="shared" si="50"/>
        <v>#VALUE!</v>
      </c>
      <c r="T1616" s="113">
        <f t="shared" si="51"/>
        <v>0</v>
      </c>
    </row>
    <row r="1617" spans="1:20" s="109" customFormat="1" x14ac:dyDescent="0.2">
      <c r="A1617" s="116"/>
      <c r="B1617" s="111"/>
      <c r="C1617" s="110" t="s">
        <v>6658</v>
      </c>
      <c r="D1617" s="110" t="s">
        <v>6659</v>
      </c>
      <c r="E1617" s="112" t="s">
        <v>6660</v>
      </c>
      <c r="F1617" s="111" t="s">
        <v>126</v>
      </c>
      <c r="G1617" s="133">
        <v>56</v>
      </c>
      <c r="H1617" s="124"/>
      <c r="I1617" s="133" t="str">
        <f>IF(H1617&gt;0,(#REF!*H1617),"-")</f>
        <v>-</v>
      </c>
      <c r="J1617" s="113">
        <v>543</v>
      </c>
      <c r="K1617" s="110" t="s">
        <v>129</v>
      </c>
      <c r="L1617" s="110" t="s">
        <v>148</v>
      </c>
      <c r="M1617" s="110" t="s">
        <v>129</v>
      </c>
      <c r="N1617" s="110" t="s">
        <v>130</v>
      </c>
      <c r="O1617" s="110" t="s">
        <v>6661</v>
      </c>
      <c r="P1617" s="110" t="s">
        <v>132</v>
      </c>
      <c r="Q1617" s="110" t="s">
        <v>96</v>
      </c>
      <c r="R1617" s="121">
        <v>0.248</v>
      </c>
      <c r="S1617" s="113" t="e">
        <f t="shared" si="50"/>
        <v>#VALUE!</v>
      </c>
      <c r="T1617" s="113">
        <f t="shared" si="51"/>
        <v>0</v>
      </c>
    </row>
    <row r="1618" spans="1:20" s="109" customFormat="1" x14ac:dyDescent="0.2">
      <c r="A1618" s="116"/>
      <c r="B1618" s="111"/>
      <c r="C1618" s="110" t="s">
        <v>6662</v>
      </c>
      <c r="D1618" s="110" t="s">
        <v>6663</v>
      </c>
      <c r="E1618" s="112" t="s">
        <v>6664</v>
      </c>
      <c r="F1618" s="111" t="s">
        <v>126</v>
      </c>
      <c r="G1618" s="133">
        <v>56</v>
      </c>
      <c r="H1618" s="124"/>
      <c r="I1618" s="133" t="str">
        <f>IF(H1618&gt;0,(#REF!*H1618),"-")</f>
        <v>-</v>
      </c>
      <c r="J1618" s="113">
        <v>647</v>
      </c>
      <c r="K1618" s="110" t="s">
        <v>129</v>
      </c>
      <c r="L1618" s="110" t="s">
        <v>148</v>
      </c>
      <c r="M1618" s="110" t="s">
        <v>129</v>
      </c>
      <c r="N1618" s="110" t="s">
        <v>130</v>
      </c>
      <c r="O1618" s="110" t="s">
        <v>6665</v>
      </c>
      <c r="P1618" s="110" t="s">
        <v>132</v>
      </c>
      <c r="Q1618" s="110" t="s">
        <v>96</v>
      </c>
      <c r="R1618" s="121">
        <v>0.28100000000000003</v>
      </c>
      <c r="S1618" s="113" t="e">
        <f t="shared" si="50"/>
        <v>#VALUE!</v>
      </c>
      <c r="T1618" s="113">
        <f t="shared" si="51"/>
        <v>0</v>
      </c>
    </row>
    <row r="1619" spans="1:20" s="109" customFormat="1" x14ac:dyDescent="0.2">
      <c r="A1619" s="116"/>
      <c r="B1619" s="111"/>
      <c r="C1619" s="110" t="s">
        <v>6666</v>
      </c>
      <c r="D1619" s="110" t="s">
        <v>6667</v>
      </c>
      <c r="E1619" s="112" t="s">
        <v>6668</v>
      </c>
      <c r="F1619" s="111" t="s">
        <v>126</v>
      </c>
      <c r="G1619" s="133">
        <v>56</v>
      </c>
      <c r="H1619" s="124"/>
      <c r="I1619" s="133" t="str">
        <f>IF(H1619&gt;0,(#REF!*H1619),"-")</f>
        <v>-</v>
      </c>
      <c r="J1619" s="113">
        <v>595</v>
      </c>
      <c r="K1619" s="110" t="s">
        <v>129</v>
      </c>
      <c r="L1619" s="110" t="s">
        <v>148</v>
      </c>
      <c r="M1619" s="110" t="s">
        <v>129</v>
      </c>
      <c r="N1619" s="110" t="s">
        <v>130</v>
      </c>
      <c r="O1619" s="110" t="s">
        <v>6669</v>
      </c>
      <c r="P1619" s="110" t="s">
        <v>132</v>
      </c>
      <c r="Q1619" s="110" t="s">
        <v>96</v>
      </c>
      <c r="R1619" s="121">
        <v>0.255</v>
      </c>
      <c r="S1619" s="113" t="e">
        <f t="shared" si="50"/>
        <v>#VALUE!</v>
      </c>
      <c r="T1619" s="113">
        <f t="shared" si="51"/>
        <v>0</v>
      </c>
    </row>
    <row r="1620" spans="1:20" s="109" customFormat="1" x14ac:dyDescent="0.2">
      <c r="A1620" s="116"/>
      <c r="B1620" s="111"/>
      <c r="C1620" s="110" t="s">
        <v>6670</v>
      </c>
      <c r="D1620" s="110" t="s">
        <v>6671</v>
      </c>
      <c r="E1620" s="112" t="s">
        <v>6672</v>
      </c>
      <c r="F1620" s="111" t="s">
        <v>126</v>
      </c>
      <c r="G1620" s="133">
        <v>56</v>
      </c>
      <c r="H1620" s="124"/>
      <c r="I1620" s="133" t="str">
        <f>IF(H1620&gt;0,(#REF!*H1620),"-")</f>
        <v>-</v>
      </c>
      <c r="J1620" s="113">
        <v>543</v>
      </c>
      <c r="K1620" s="110" t="s">
        <v>129</v>
      </c>
      <c r="L1620" s="110" t="s">
        <v>148</v>
      </c>
      <c r="M1620" s="110" t="s">
        <v>129</v>
      </c>
      <c r="N1620" s="110" t="s">
        <v>130</v>
      </c>
      <c r="O1620" s="110" t="s">
        <v>6673</v>
      </c>
      <c r="P1620" s="110" t="s">
        <v>132</v>
      </c>
      <c r="Q1620" s="110" t="s">
        <v>96</v>
      </c>
      <c r="R1620" s="121">
        <v>0.23699999999999999</v>
      </c>
      <c r="S1620" s="113" t="e">
        <f t="shared" si="50"/>
        <v>#VALUE!</v>
      </c>
      <c r="T1620" s="113">
        <f t="shared" si="51"/>
        <v>0</v>
      </c>
    </row>
    <row r="1621" spans="1:20" s="109" customFormat="1" x14ac:dyDescent="0.2">
      <c r="A1621" s="116"/>
      <c r="B1621" s="111"/>
      <c r="C1621" s="110" t="s">
        <v>6674</v>
      </c>
      <c r="D1621" s="110" t="s">
        <v>6675</v>
      </c>
      <c r="E1621" s="112" t="s">
        <v>6676</v>
      </c>
      <c r="F1621" s="111" t="s">
        <v>126</v>
      </c>
      <c r="G1621" s="133">
        <v>56</v>
      </c>
      <c r="H1621" s="124"/>
      <c r="I1621" s="133" t="str">
        <f>IF(H1621&gt;0,(#REF!*H1621),"-")</f>
        <v>-</v>
      </c>
      <c r="J1621" s="113">
        <v>698</v>
      </c>
      <c r="K1621" s="110" t="s">
        <v>129</v>
      </c>
      <c r="L1621" s="110" t="s">
        <v>148</v>
      </c>
      <c r="M1621" s="110" t="s">
        <v>129</v>
      </c>
      <c r="N1621" s="110" t="s">
        <v>130</v>
      </c>
      <c r="O1621" s="110" t="s">
        <v>6677</v>
      </c>
      <c r="P1621" s="110" t="s">
        <v>132</v>
      </c>
      <c r="Q1621" s="110" t="s">
        <v>96</v>
      </c>
      <c r="R1621" s="121">
        <v>0.28599999999999998</v>
      </c>
      <c r="S1621" s="113" t="e">
        <f t="shared" si="50"/>
        <v>#VALUE!</v>
      </c>
      <c r="T1621" s="113">
        <f t="shared" si="51"/>
        <v>0</v>
      </c>
    </row>
    <row r="1622" spans="1:20" s="109" customFormat="1" x14ac:dyDescent="0.2">
      <c r="A1622" s="116"/>
      <c r="B1622" s="111"/>
      <c r="C1622" s="110" t="s">
        <v>6678</v>
      </c>
      <c r="D1622" s="110" t="s">
        <v>6679</v>
      </c>
      <c r="E1622" s="112" t="s">
        <v>6680</v>
      </c>
      <c r="F1622" s="111" t="s">
        <v>126</v>
      </c>
      <c r="G1622" s="133">
        <v>20</v>
      </c>
      <c r="H1622" s="124"/>
      <c r="I1622" s="133" t="str">
        <f>IF(H1622&gt;0,(#REF!*H1622),"-")</f>
        <v>-</v>
      </c>
      <c r="J1622" s="113">
        <v>232</v>
      </c>
      <c r="K1622" s="110" t="s">
        <v>129</v>
      </c>
      <c r="L1622" s="110" t="s">
        <v>148</v>
      </c>
      <c r="M1622" s="110" t="s">
        <v>129</v>
      </c>
      <c r="N1622" s="110" t="s">
        <v>130</v>
      </c>
      <c r="O1622" s="110" t="s">
        <v>6681</v>
      </c>
      <c r="P1622" s="110" t="s">
        <v>132</v>
      </c>
      <c r="Q1622" s="110" t="s">
        <v>96</v>
      </c>
      <c r="R1622" s="121">
        <v>9.8199999999999996E-2</v>
      </c>
      <c r="S1622" s="113" t="e">
        <f t="shared" si="50"/>
        <v>#VALUE!</v>
      </c>
      <c r="T1622" s="113">
        <f t="shared" si="51"/>
        <v>0</v>
      </c>
    </row>
    <row r="1623" spans="1:20" s="109" customFormat="1" x14ac:dyDescent="0.2">
      <c r="A1623" s="116"/>
      <c r="B1623" s="111"/>
      <c r="C1623" s="110" t="s">
        <v>6682</v>
      </c>
      <c r="D1623" s="110" t="s">
        <v>6683</v>
      </c>
      <c r="E1623" s="112" t="s">
        <v>6684</v>
      </c>
      <c r="F1623" s="111" t="s">
        <v>126</v>
      </c>
      <c r="G1623" s="133">
        <v>56</v>
      </c>
      <c r="H1623" s="124"/>
      <c r="I1623" s="133" t="str">
        <f>IF(H1623&gt;0,(#REF!*H1623),"-")</f>
        <v>-</v>
      </c>
      <c r="J1623" s="113">
        <v>546</v>
      </c>
      <c r="K1623" s="110" t="s">
        <v>129</v>
      </c>
      <c r="L1623" s="110" t="s">
        <v>148</v>
      </c>
      <c r="M1623" s="110" t="s">
        <v>129</v>
      </c>
      <c r="N1623" s="110" t="s">
        <v>130</v>
      </c>
      <c r="O1623" s="110" t="s">
        <v>6685</v>
      </c>
      <c r="P1623" s="110" t="s">
        <v>132</v>
      </c>
      <c r="Q1623" s="110" t="s">
        <v>96</v>
      </c>
      <c r="R1623" s="121">
        <v>0.22320000000000001</v>
      </c>
      <c r="S1623" s="113" t="e">
        <f t="shared" si="50"/>
        <v>#VALUE!</v>
      </c>
      <c r="T1623" s="113">
        <f t="shared" si="51"/>
        <v>0</v>
      </c>
    </row>
    <row r="1624" spans="1:20" s="109" customFormat="1" x14ac:dyDescent="0.2">
      <c r="A1624" s="116"/>
      <c r="B1624" s="111"/>
      <c r="C1624" s="110" t="s">
        <v>6686</v>
      </c>
      <c r="D1624" s="110" t="s">
        <v>6687</v>
      </c>
      <c r="E1624" s="112" t="s">
        <v>6688</v>
      </c>
      <c r="F1624" s="111" t="s">
        <v>126</v>
      </c>
      <c r="G1624" s="133"/>
      <c r="H1624" s="124"/>
      <c r="I1624" s="133" t="str">
        <f>IF(H1624&gt;0,(#REF!*H1624),"-")</f>
        <v>-</v>
      </c>
      <c r="J1624" s="113">
        <v>13098</v>
      </c>
      <c r="K1624" s="110" t="s">
        <v>127</v>
      </c>
      <c r="L1624" s="110" t="s">
        <v>128</v>
      </c>
      <c r="M1624" s="110" t="s">
        <v>421</v>
      </c>
      <c r="N1624" s="110" t="s">
        <v>130</v>
      </c>
      <c r="O1624" s="110" t="s">
        <v>6689</v>
      </c>
      <c r="P1624" s="110" t="s">
        <v>137</v>
      </c>
      <c r="Q1624" s="110" t="s">
        <v>96</v>
      </c>
      <c r="R1624" s="121">
        <v>0.371</v>
      </c>
      <c r="S1624" s="113" t="e">
        <f t="shared" si="50"/>
        <v>#VALUE!</v>
      </c>
      <c r="T1624" s="113">
        <f t="shared" si="51"/>
        <v>0</v>
      </c>
    </row>
    <row r="1625" spans="1:20" s="109" customFormat="1" x14ac:dyDescent="0.2">
      <c r="A1625" s="116"/>
      <c r="B1625" s="111"/>
      <c r="C1625" s="110"/>
      <c r="D1625" s="110" t="s">
        <v>6690</v>
      </c>
      <c r="E1625" s="112" t="s">
        <v>6691</v>
      </c>
      <c r="F1625" s="111" t="s">
        <v>126</v>
      </c>
      <c r="G1625" s="133"/>
      <c r="H1625" s="124"/>
      <c r="I1625" s="133" t="str">
        <f>IF(H1625&gt;0,(#REF!*H1625),"-")</f>
        <v>-</v>
      </c>
      <c r="J1625" s="113">
        <v>0</v>
      </c>
      <c r="K1625" s="110" t="s">
        <v>127</v>
      </c>
      <c r="L1625" s="110" t="s">
        <v>128</v>
      </c>
      <c r="M1625" s="110" t="s">
        <v>421</v>
      </c>
      <c r="N1625" s="110" t="s">
        <v>130</v>
      </c>
      <c r="O1625" s="110" t="s">
        <v>6692</v>
      </c>
      <c r="P1625" s="110" t="s">
        <v>423</v>
      </c>
      <c r="Q1625" s="110" t="s">
        <v>96</v>
      </c>
      <c r="R1625" s="121">
        <v>5.0000000000000001E-3</v>
      </c>
      <c r="S1625" s="113" t="e">
        <f t="shared" si="50"/>
        <v>#VALUE!</v>
      </c>
      <c r="T1625" s="113">
        <f t="shared" si="51"/>
        <v>0</v>
      </c>
    </row>
    <row r="1626" spans="1:20" s="109" customFormat="1" x14ac:dyDescent="0.2">
      <c r="A1626" s="116"/>
      <c r="B1626" s="111"/>
      <c r="C1626" s="110"/>
      <c r="D1626" s="110" t="s">
        <v>6693</v>
      </c>
      <c r="E1626" s="112" t="s">
        <v>6694</v>
      </c>
      <c r="F1626" s="111" t="s">
        <v>126</v>
      </c>
      <c r="G1626" s="133"/>
      <c r="H1626" s="124"/>
      <c r="I1626" s="133" t="str">
        <f>IF(H1626&gt;0,(#REF!*H1626),"-")</f>
        <v>-</v>
      </c>
      <c r="J1626" s="113">
        <v>22940</v>
      </c>
      <c r="K1626" s="110" t="s">
        <v>127</v>
      </c>
      <c r="L1626" s="110" t="s">
        <v>128</v>
      </c>
      <c r="M1626" s="110" t="s">
        <v>421</v>
      </c>
      <c r="N1626" s="110" t="s">
        <v>130</v>
      </c>
      <c r="O1626" s="110" t="s">
        <v>6695</v>
      </c>
      <c r="P1626" s="110" t="s">
        <v>423</v>
      </c>
      <c r="Q1626" s="110" t="s">
        <v>96</v>
      </c>
      <c r="R1626" s="121">
        <v>1.6</v>
      </c>
      <c r="S1626" s="113" t="e">
        <f t="shared" si="50"/>
        <v>#VALUE!</v>
      </c>
      <c r="T1626" s="113">
        <f t="shared" si="51"/>
        <v>0</v>
      </c>
    </row>
    <row r="1627" spans="1:20" s="109" customFormat="1" x14ac:dyDescent="0.2">
      <c r="A1627" s="116"/>
      <c r="B1627" s="111"/>
      <c r="C1627" s="110"/>
      <c r="D1627" s="110" t="s">
        <v>6696</v>
      </c>
      <c r="E1627" s="112" t="s">
        <v>6697</v>
      </c>
      <c r="F1627" s="111" t="s">
        <v>126</v>
      </c>
      <c r="G1627" s="133"/>
      <c r="H1627" s="124"/>
      <c r="I1627" s="133" t="str">
        <f>IF(H1627&gt;0,(#REF!*H1627),"-")</f>
        <v>-</v>
      </c>
      <c r="J1627" s="113">
        <v>0</v>
      </c>
      <c r="K1627" s="110" t="s">
        <v>127</v>
      </c>
      <c r="L1627" s="110" t="s">
        <v>128</v>
      </c>
      <c r="M1627" s="110" t="s">
        <v>421</v>
      </c>
      <c r="N1627" s="110" t="s">
        <v>130</v>
      </c>
      <c r="O1627" s="110" t="s">
        <v>6698</v>
      </c>
      <c r="P1627" s="110" t="s">
        <v>423</v>
      </c>
      <c r="Q1627" s="110" t="s">
        <v>96</v>
      </c>
      <c r="R1627" s="121">
        <v>5.0000000000000001E-3</v>
      </c>
      <c r="S1627" s="113" t="e">
        <f t="shared" si="50"/>
        <v>#VALUE!</v>
      </c>
      <c r="T1627" s="113">
        <f t="shared" si="51"/>
        <v>0</v>
      </c>
    </row>
    <row r="1628" spans="1:20" s="109" customFormat="1" x14ac:dyDescent="0.2">
      <c r="A1628" s="116"/>
      <c r="B1628" s="111"/>
      <c r="C1628" s="110"/>
      <c r="D1628" s="110" t="s">
        <v>6699</v>
      </c>
      <c r="E1628" s="112" t="s">
        <v>6700</v>
      </c>
      <c r="F1628" s="111" t="s">
        <v>126</v>
      </c>
      <c r="G1628" s="133"/>
      <c r="H1628" s="124"/>
      <c r="I1628" s="133" t="str">
        <f>IF(H1628&gt;0,(#REF!*H1628),"-")</f>
        <v>-</v>
      </c>
      <c r="J1628" s="113">
        <v>0</v>
      </c>
      <c r="K1628" s="110" t="s">
        <v>127</v>
      </c>
      <c r="L1628" s="110" t="s">
        <v>128</v>
      </c>
      <c r="M1628" s="110" t="s">
        <v>421</v>
      </c>
      <c r="N1628" s="110" t="s">
        <v>130</v>
      </c>
      <c r="O1628" s="110" t="s">
        <v>6701</v>
      </c>
      <c r="P1628" s="110" t="s">
        <v>423</v>
      </c>
      <c r="Q1628" s="110" t="s">
        <v>96</v>
      </c>
      <c r="R1628" s="121">
        <v>5.0000000000000001E-3</v>
      </c>
      <c r="S1628" s="113" t="e">
        <f t="shared" si="50"/>
        <v>#VALUE!</v>
      </c>
      <c r="T1628" s="113">
        <f t="shared" si="51"/>
        <v>0</v>
      </c>
    </row>
    <row r="1629" spans="1:20" s="109" customFormat="1" x14ac:dyDescent="0.2">
      <c r="A1629" s="116"/>
      <c r="B1629" s="111"/>
      <c r="C1629" s="110"/>
      <c r="D1629" s="110" t="s">
        <v>6702</v>
      </c>
      <c r="E1629" s="112" t="s">
        <v>6703</v>
      </c>
      <c r="F1629" s="111" t="s">
        <v>126</v>
      </c>
      <c r="G1629" s="133"/>
      <c r="H1629" s="124"/>
      <c r="I1629" s="133" t="str">
        <f>IF(H1629&gt;0,(#REF!*H1629),"-")</f>
        <v>-</v>
      </c>
      <c r="J1629" s="113">
        <v>59400</v>
      </c>
      <c r="K1629" s="110" t="s">
        <v>127</v>
      </c>
      <c r="L1629" s="110" t="s">
        <v>128</v>
      </c>
      <c r="M1629" s="110" t="s">
        <v>421</v>
      </c>
      <c r="N1629" s="110" t="s">
        <v>130</v>
      </c>
      <c r="O1629" s="110" t="s">
        <v>6704</v>
      </c>
      <c r="P1629" s="110" t="s">
        <v>423</v>
      </c>
      <c r="Q1629" s="110" t="s">
        <v>96</v>
      </c>
      <c r="R1629" s="121">
        <v>1.9</v>
      </c>
      <c r="S1629" s="113" t="e">
        <f t="shared" si="50"/>
        <v>#VALUE!</v>
      </c>
      <c r="T1629" s="113">
        <f t="shared" si="51"/>
        <v>0</v>
      </c>
    </row>
    <row r="1630" spans="1:20" s="109" customFormat="1" x14ac:dyDescent="0.2">
      <c r="A1630" s="116"/>
      <c r="B1630" s="111"/>
      <c r="C1630" s="110" t="s">
        <v>6705</v>
      </c>
      <c r="D1630" s="110" t="s">
        <v>6706</v>
      </c>
      <c r="E1630" s="112" t="s">
        <v>6707</v>
      </c>
      <c r="F1630" s="111" t="s">
        <v>126</v>
      </c>
      <c r="G1630" s="133"/>
      <c r="H1630" s="124"/>
      <c r="I1630" s="133" t="str">
        <f>IF(H1630&gt;0,(#REF!*H1630),"-")</f>
        <v>-</v>
      </c>
      <c r="J1630" s="113">
        <v>6075</v>
      </c>
      <c r="K1630" s="110" t="s">
        <v>389</v>
      </c>
      <c r="L1630" s="110" t="s">
        <v>468</v>
      </c>
      <c r="M1630" s="110" t="s">
        <v>421</v>
      </c>
      <c r="N1630" s="110" t="s">
        <v>130</v>
      </c>
      <c r="O1630" s="110" t="s">
        <v>6708</v>
      </c>
      <c r="P1630" s="110" t="s">
        <v>137</v>
      </c>
      <c r="Q1630" s="110" t="s">
        <v>96</v>
      </c>
      <c r="R1630" s="121">
        <v>0.625</v>
      </c>
      <c r="S1630" s="113" t="e">
        <f t="shared" si="50"/>
        <v>#VALUE!</v>
      </c>
      <c r="T1630" s="113">
        <f t="shared" si="51"/>
        <v>0</v>
      </c>
    </row>
    <row r="1631" spans="1:20" s="109" customFormat="1" x14ac:dyDescent="0.2">
      <c r="A1631" s="116"/>
      <c r="B1631" s="111"/>
      <c r="C1631" s="110"/>
      <c r="D1631" s="110" t="s">
        <v>6709</v>
      </c>
      <c r="E1631" s="112" t="s">
        <v>6710</v>
      </c>
      <c r="F1631" s="111" t="s">
        <v>126</v>
      </c>
      <c r="G1631" s="133"/>
      <c r="H1631" s="124"/>
      <c r="I1631" s="133" t="str">
        <f>IF(H1631&gt;0,(#REF!*H1631),"-")</f>
        <v>-</v>
      </c>
      <c r="J1631" s="113">
        <v>19845</v>
      </c>
      <c r="K1631" s="110" t="s">
        <v>389</v>
      </c>
      <c r="L1631" s="110" t="s">
        <v>468</v>
      </c>
      <c r="M1631" s="110" t="s">
        <v>421</v>
      </c>
      <c r="N1631" s="110" t="s">
        <v>130</v>
      </c>
      <c r="O1631" s="110" t="s">
        <v>6711</v>
      </c>
      <c r="P1631" s="110" t="s">
        <v>423</v>
      </c>
      <c r="Q1631" s="110" t="s">
        <v>96</v>
      </c>
      <c r="R1631" s="121">
        <v>1.6</v>
      </c>
      <c r="S1631" s="113" t="e">
        <f t="shared" si="50"/>
        <v>#VALUE!</v>
      </c>
      <c r="T1631" s="113">
        <f t="shared" si="51"/>
        <v>0</v>
      </c>
    </row>
    <row r="1632" spans="1:20" s="109" customFormat="1" x14ac:dyDescent="0.2">
      <c r="A1632" s="116"/>
      <c r="B1632" s="111"/>
      <c r="C1632" s="110"/>
      <c r="D1632" s="110" t="s">
        <v>6712</v>
      </c>
      <c r="E1632" s="112" t="s">
        <v>6713</v>
      </c>
      <c r="F1632" s="111" t="s">
        <v>126</v>
      </c>
      <c r="G1632" s="133"/>
      <c r="H1632" s="124"/>
      <c r="I1632" s="133" t="str">
        <f>IF(H1632&gt;0,(#REF!*H1632),"-")</f>
        <v>-</v>
      </c>
      <c r="J1632" s="113">
        <v>0</v>
      </c>
      <c r="K1632" s="110" t="s">
        <v>4323</v>
      </c>
      <c r="L1632" s="110" t="s">
        <v>4324</v>
      </c>
      <c r="M1632" s="110" t="s">
        <v>421</v>
      </c>
      <c r="N1632" s="110" t="s">
        <v>130</v>
      </c>
      <c r="O1632" s="110" t="s">
        <v>6714</v>
      </c>
      <c r="P1632" s="110" t="s">
        <v>423</v>
      </c>
      <c r="Q1632" s="110" t="s">
        <v>96</v>
      </c>
      <c r="R1632" s="121">
        <v>5.0000000000000001E-3</v>
      </c>
      <c r="S1632" s="113" t="e">
        <f t="shared" si="50"/>
        <v>#VALUE!</v>
      </c>
      <c r="T1632" s="113">
        <f t="shared" si="51"/>
        <v>0</v>
      </c>
    </row>
    <row r="1633" spans="1:20" s="109" customFormat="1" x14ac:dyDescent="0.2">
      <c r="A1633" s="116"/>
      <c r="B1633" s="111"/>
      <c r="C1633" s="110" t="s">
        <v>6715</v>
      </c>
      <c r="D1633" s="110" t="s">
        <v>6716</v>
      </c>
      <c r="E1633" s="112" t="s">
        <v>6717</v>
      </c>
      <c r="F1633" s="111" t="s">
        <v>126</v>
      </c>
      <c r="G1633" s="133"/>
      <c r="H1633" s="124"/>
      <c r="I1633" s="133" t="str">
        <f>IF(H1633&gt;0,(#REF!*H1633),"-")</f>
        <v>-</v>
      </c>
      <c r="J1633" s="113">
        <v>20640</v>
      </c>
      <c r="K1633" s="110" t="s">
        <v>129</v>
      </c>
      <c r="L1633" s="110" t="s">
        <v>129</v>
      </c>
      <c r="M1633" s="110" t="s">
        <v>421</v>
      </c>
      <c r="N1633" s="110" t="s">
        <v>6718</v>
      </c>
      <c r="O1633" s="110" t="s">
        <v>6719</v>
      </c>
      <c r="P1633" s="110" t="s">
        <v>6720</v>
      </c>
      <c r="Q1633" s="110" t="s">
        <v>96</v>
      </c>
      <c r="R1633" s="121">
        <v>4.97</v>
      </c>
      <c r="S1633" s="113" t="e">
        <f t="shared" si="50"/>
        <v>#VALUE!</v>
      </c>
      <c r="T1633" s="113">
        <f t="shared" si="51"/>
        <v>0</v>
      </c>
    </row>
    <row r="1634" spans="1:20" s="109" customFormat="1" x14ac:dyDescent="0.2">
      <c r="A1634" s="116"/>
      <c r="B1634" s="111"/>
      <c r="C1634" s="110" t="s">
        <v>6721</v>
      </c>
      <c r="D1634" s="110" t="s">
        <v>6722</v>
      </c>
      <c r="E1634" s="112" t="s">
        <v>6723</v>
      </c>
      <c r="F1634" s="111" t="s">
        <v>126</v>
      </c>
      <c r="G1634" s="133"/>
      <c r="H1634" s="124"/>
      <c r="I1634" s="133" t="str">
        <f>IF(H1634&gt;0,(#REF!*H1634),"-")</f>
        <v>-</v>
      </c>
      <c r="J1634" s="113">
        <v>22138</v>
      </c>
      <c r="K1634" s="110" t="s">
        <v>129</v>
      </c>
      <c r="L1634" s="110" t="s">
        <v>129</v>
      </c>
      <c r="M1634" s="110" t="s">
        <v>421</v>
      </c>
      <c r="N1634" s="110" t="s">
        <v>6724</v>
      </c>
      <c r="O1634" s="110" t="s">
        <v>6725</v>
      </c>
      <c r="P1634" s="110" t="s">
        <v>6720</v>
      </c>
      <c r="Q1634" s="110" t="s">
        <v>96</v>
      </c>
      <c r="R1634" s="121">
        <v>4.33</v>
      </c>
      <c r="S1634" s="113" t="e">
        <f t="shared" si="50"/>
        <v>#VALUE!</v>
      </c>
      <c r="T1634" s="113">
        <f t="shared" si="51"/>
        <v>0</v>
      </c>
    </row>
    <row r="1635" spans="1:20" s="109" customFormat="1" x14ac:dyDescent="0.2">
      <c r="A1635" s="116"/>
      <c r="B1635" s="111"/>
      <c r="C1635" s="110" t="s">
        <v>6726</v>
      </c>
      <c r="D1635" s="110" t="s">
        <v>6727</v>
      </c>
      <c r="E1635" s="112" t="s">
        <v>6728</v>
      </c>
      <c r="F1635" s="111" t="s">
        <v>126</v>
      </c>
      <c r="G1635" s="133"/>
      <c r="H1635" s="124"/>
      <c r="I1635" s="133" t="str">
        <f>IF(H1635&gt;0,(#REF!*H1635),"-")</f>
        <v>-</v>
      </c>
      <c r="J1635" s="113">
        <v>88256</v>
      </c>
      <c r="K1635" s="110" t="s">
        <v>129</v>
      </c>
      <c r="L1635" s="110" t="s">
        <v>129</v>
      </c>
      <c r="M1635" s="110" t="s">
        <v>421</v>
      </c>
      <c r="N1635" s="110" t="s">
        <v>130</v>
      </c>
      <c r="O1635" s="110" t="s">
        <v>6729</v>
      </c>
      <c r="P1635" s="110" t="s">
        <v>6730</v>
      </c>
      <c r="Q1635" s="110" t="s">
        <v>97</v>
      </c>
      <c r="R1635" s="121">
        <v>8</v>
      </c>
      <c r="S1635" s="113" t="e">
        <f t="shared" si="50"/>
        <v>#VALUE!</v>
      </c>
      <c r="T1635" s="113">
        <f t="shared" si="51"/>
        <v>0</v>
      </c>
    </row>
    <row r="1636" spans="1:20" s="109" customFormat="1" x14ac:dyDescent="0.2">
      <c r="A1636" s="116"/>
      <c r="B1636" s="111"/>
      <c r="C1636" s="110" t="s">
        <v>6731</v>
      </c>
      <c r="D1636" s="110" t="s">
        <v>6732</v>
      </c>
      <c r="E1636" s="112" t="s">
        <v>6733</v>
      </c>
      <c r="F1636" s="111" t="s">
        <v>126</v>
      </c>
      <c r="G1636" s="133"/>
      <c r="H1636" s="124"/>
      <c r="I1636" s="133" t="str">
        <f>IF(H1636&gt;0,(#REF!*H1636),"-")</f>
        <v>-</v>
      </c>
      <c r="J1636" s="113">
        <v>117975</v>
      </c>
      <c r="K1636" s="110" t="s">
        <v>129</v>
      </c>
      <c r="L1636" s="110" t="s">
        <v>129</v>
      </c>
      <c r="M1636" s="110" t="s">
        <v>421</v>
      </c>
      <c r="N1636" s="110" t="s">
        <v>130</v>
      </c>
      <c r="O1636" s="110" t="s">
        <v>6734</v>
      </c>
      <c r="P1636" s="110" t="s">
        <v>6730</v>
      </c>
      <c r="Q1636" s="110" t="s">
        <v>97</v>
      </c>
      <c r="R1636" s="121">
        <v>8.5</v>
      </c>
      <c r="S1636" s="113" t="e">
        <f t="shared" si="50"/>
        <v>#VALUE!</v>
      </c>
      <c r="T1636" s="113">
        <f t="shared" si="51"/>
        <v>0</v>
      </c>
    </row>
    <row r="1637" spans="1:20" s="109" customFormat="1" x14ac:dyDescent="0.2">
      <c r="A1637" s="116"/>
      <c r="B1637" s="111"/>
      <c r="C1637" s="110" t="s">
        <v>6735</v>
      </c>
      <c r="D1637" s="110" t="s">
        <v>6736</v>
      </c>
      <c r="E1637" s="112" t="s">
        <v>6737</v>
      </c>
      <c r="F1637" s="111" t="s">
        <v>126</v>
      </c>
      <c r="G1637" s="133"/>
      <c r="H1637" s="124"/>
      <c r="I1637" s="133" t="str">
        <f>IF(H1637&gt;0,(#REF!*H1637),"-")</f>
        <v>-</v>
      </c>
      <c r="J1637" s="113">
        <v>111930</v>
      </c>
      <c r="K1637" s="110" t="s">
        <v>129</v>
      </c>
      <c r="L1637" s="110" t="s">
        <v>129</v>
      </c>
      <c r="M1637" s="110" t="s">
        <v>421</v>
      </c>
      <c r="N1637" s="110" t="s">
        <v>130</v>
      </c>
      <c r="O1637" s="110" t="s">
        <v>6738</v>
      </c>
      <c r="P1637" s="110" t="s">
        <v>6730</v>
      </c>
      <c r="Q1637" s="110" t="s">
        <v>97</v>
      </c>
      <c r="R1637" s="121">
        <v>9</v>
      </c>
      <c r="S1637" s="113" t="e">
        <f t="shared" si="50"/>
        <v>#VALUE!</v>
      </c>
      <c r="T1637" s="113">
        <f t="shared" si="51"/>
        <v>0</v>
      </c>
    </row>
    <row r="1638" spans="1:20" s="109" customFormat="1" x14ac:dyDescent="0.2">
      <c r="A1638" s="116"/>
      <c r="B1638" s="111"/>
      <c r="C1638" s="110" t="s">
        <v>6739</v>
      </c>
      <c r="D1638" s="110" t="s">
        <v>6740</v>
      </c>
      <c r="E1638" s="112" t="s">
        <v>6741</v>
      </c>
      <c r="F1638" s="111" t="s">
        <v>126</v>
      </c>
      <c r="G1638" s="133"/>
      <c r="H1638" s="124"/>
      <c r="I1638" s="133" t="str">
        <f>IF(H1638&gt;0,(#REF!*H1638),"-")</f>
        <v>-</v>
      </c>
      <c r="J1638" s="113">
        <v>247752</v>
      </c>
      <c r="K1638" s="110" t="s">
        <v>129</v>
      </c>
      <c r="L1638" s="110" t="s">
        <v>129</v>
      </c>
      <c r="M1638" s="110" t="s">
        <v>421</v>
      </c>
      <c r="N1638" s="110" t="s">
        <v>130</v>
      </c>
      <c r="O1638" s="110" t="s">
        <v>6742</v>
      </c>
      <c r="P1638" s="110" t="s">
        <v>6730</v>
      </c>
      <c r="Q1638" s="110" t="s">
        <v>97</v>
      </c>
      <c r="R1638" s="121">
        <v>22</v>
      </c>
      <c r="S1638" s="113" t="e">
        <f t="shared" si="50"/>
        <v>#VALUE!</v>
      </c>
      <c r="T1638" s="113">
        <f t="shared" si="51"/>
        <v>0</v>
      </c>
    </row>
    <row r="1639" spans="1:20" s="109" customFormat="1" x14ac:dyDescent="0.2">
      <c r="A1639" s="116"/>
      <c r="B1639" s="111"/>
      <c r="C1639" s="110"/>
      <c r="D1639" s="110" t="s">
        <v>6743</v>
      </c>
      <c r="E1639" s="112" t="s">
        <v>6744</v>
      </c>
      <c r="F1639" s="111" t="s">
        <v>126</v>
      </c>
      <c r="G1639" s="133"/>
      <c r="H1639" s="124"/>
      <c r="I1639" s="133" t="str">
        <f>IF(H1639&gt;0,(#REF!*H1639),"-")</f>
        <v>-</v>
      </c>
      <c r="J1639" s="113">
        <v>2002</v>
      </c>
      <c r="K1639" s="110" t="s">
        <v>129</v>
      </c>
      <c r="L1639" s="110" t="s">
        <v>129</v>
      </c>
      <c r="M1639" s="110" t="s">
        <v>421</v>
      </c>
      <c r="N1639" s="110" t="s">
        <v>130</v>
      </c>
      <c r="O1639" s="110" t="s">
        <v>6745</v>
      </c>
      <c r="P1639" s="110" t="s">
        <v>423</v>
      </c>
      <c r="Q1639" s="110" t="s">
        <v>96</v>
      </c>
      <c r="R1639" s="121">
        <v>0.27500000000000002</v>
      </c>
      <c r="S1639" s="113" t="e">
        <f t="shared" si="50"/>
        <v>#VALUE!</v>
      </c>
      <c r="T1639" s="113">
        <f t="shared" si="51"/>
        <v>0</v>
      </c>
    </row>
    <row r="1640" spans="1:20" s="109" customFormat="1" x14ac:dyDescent="0.2">
      <c r="A1640" s="116"/>
      <c r="B1640" s="111"/>
      <c r="C1640" s="110"/>
      <c r="D1640" s="110" t="s">
        <v>6746</v>
      </c>
      <c r="E1640" s="112" t="s">
        <v>6747</v>
      </c>
      <c r="F1640" s="111" t="s">
        <v>126</v>
      </c>
      <c r="G1640" s="133"/>
      <c r="H1640" s="124"/>
      <c r="I1640" s="133" t="str">
        <f>IF(H1640&gt;0,(#REF!*H1640),"-")</f>
        <v>-</v>
      </c>
      <c r="J1640" s="113">
        <v>3024</v>
      </c>
      <c r="K1640" s="110" t="s">
        <v>129</v>
      </c>
      <c r="L1640" s="110" t="s">
        <v>129</v>
      </c>
      <c r="M1640" s="110" t="s">
        <v>421</v>
      </c>
      <c r="N1640" s="110" t="s">
        <v>130</v>
      </c>
      <c r="O1640" s="110" t="s">
        <v>6748</v>
      </c>
      <c r="P1640" s="110" t="s">
        <v>423</v>
      </c>
      <c r="Q1640" s="110" t="s">
        <v>96</v>
      </c>
      <c r="R1640" s="121">
        <v>0.25700000000000001</v>
      </c>
      <c r="S1640" s="113" t="e">
        <f t="shared" si="50"/>
        <v>#VALUE!</v>
      </c>
      <c r="T1640" s="113">
        <f t="shared" si="51"/>
        <v>0</v>
      </c>
    </row>
    <row r="1641" spans="1:20" s="109" customFormat="1" x14ac:dyDescent="0.2">
      <c r="A1641" s="116"/>
      <c r="B1641" s="111"/>
      <c r="C1641" s="110"/>
      <c r="D1641" s="110" t="s">
        <v>6749</v>
      </c>
      <c r="E1641" s="112" t="s">
        <v>6750</v>
      </c>
      <c r="F1641" s="111" t="s">
        <v>126</v>
      </c>
      <c r="G1641" s="133"/>
      <c r="H1641" s="124"/>
      <c r="I1641" s="133" t="str">
        <f>IF(H1641&gt;0,(#REF!*H1641),"-")</f>
        <v>-</v>
      </c>
      <c r="J1641" s="113">
        <v>4536</v>
      </c>
      <c r="K1641" s="110" t="s">
        <v>129</v>
      </c>
      <c r="L1641" s="110" t="s">
        <v>129</v>
      </c>
      <c r="M1641" s="110" t="s">
        <v>421</v>
      </c>
      <c r="N1641" s="110" t="s">
        <v>130</v>
      </c>
      <c r="O1641" s="110" t="s">
        <v>6751</v>
      </c>
      <c r="P1641" s="110" t="s">
        <v>423</v>
      </c>
      <c r="Q1641" s="110" t="s">
        <v>96</v>
      </c>
      <c r="R1641" s="121">
        <v>0.26150000000000001</v>
      </c>
      <c r="S1641" s="113" t="e">
        <f t="shared" si="50"/>
        <v>#VALUE!</v>
      </c>
      <c r="T1641" s="113">
        <f t="shared" si="51"/>
        <v>0</v>
      </c>
    </row>
    <row r="1642" spans="1:20" s="109" customFormat="1" x14ac:dyDescent="0.2">
      <c r="A1642" s="116"/>
      <c r="B1642" s="111"/>
      <c r="C1642" s="110"/>
      <c r="D1642" s="110" t="s">
        <v>6752</v>
      </c>
      <c r="E1642" s="112" t="s">
        <v>6753</v>
      </c>
      <c r="F1642" s="111" t="s">
        <v>126</v>
      </c>
      <c r="G1642" s="133"/>
      <c r="H1642" s="124"/>
      <c r="I1642" s="133" t="str">
        <f>IF(H1642&gt;0,(#REF!*H1642),"-")</f>
        <v>-</v>
      </c>
      <c r="J1642" s="113">
        <v>4536</v>
      </c>
      <c r="K1642" s="110" t="s">
        <v>129</v>
      </c>
      <c r="L1642" s="110" t="s">
        <v>129</v>
      </c>
      <c r="M1642" s="110" t="s">
        <v>421</v>
      </c>
      <c r="N1642" s="110" t="s">
        <v>130</v>
      </c>
      <c r="O1642" s="110" t="s">
        <v>6754</v>
      </c>
      <c r="P1642" s="110" t="s">
        <v>423</v>
      </c>
      <c r="Q1642" s="110" t="s">
        <v>96</v>
      </c>
      <c r="R1642" s="121">
        <v>0.41649999999999998</v>
      </c>
      <c r="S1642" s="113" t="e">
        <f t="shared" si="50"/>
        <v>#VALUE!</v>
      </c>
      <c r="T1642" s="113">
        <f t="shared" si="51"/>
        <v>0</v>
      </c>
    </row>
    <row r="1643" spans="1:20" s="109" customFormat="1" x14ac:dyDescent="0.2">
      <c r="A1643" s="116"/>
      <c r="B1643" s="111"/>
      <c r="C1643" s="110"/>
      <c r="D1643" s="110" t="s">
        <v>6755</v>
      </c>
      <c r="E1643" s="112" t="s">
        <v>6756</v>
      </c>
      <c r="F1643" s="111" t="s">
        <v>126</v>
      </c>
      <c r="G1643" s="133"/>
      <c r="H1643" s="124"/>
      <c r="I1643" s="133" t="str">
        <f>IF(H1643&gt;0,(#REF!*H1643),"-")</f>
        <v>-</v>
      </c>
      <c r="J1643" s="113">
        <v>278</v>
      </c>
      <c r="K1643" s="110" t="s">
        <v>129</v>
      </c>
      <c r="L1643" s="110" t="s">
        <v>129</v>
      </c>
      <c r="M1643" s="110" t="s">
        <v>421</v>
      </c>
      <c r="N1643" s="110" t="s">
        <v>130</v>
      </c>
      <c r="O1643" s="110" t="s">
        <v>6757</v>
      </c>
      <c r="P1643" s="110" t="s">
        <v>423</v>
      </c>
      <c r="Q1643" s="110" t="s">
        <v>96</v>
      </c>
      <c r="R1643" s="121">
        <v>2.3E-2</v>
      </c>
      <c r="S1643" s="113" t="e">
        <f t="shared" si="50"/>
        <v>#VALUE!</v>
      </c>
      <c r="T1643" s="113">
        <f t="shared" si="51"/>
        <v>0</v>
      </c>
    </row>
    <row r="1644" spans="1:20" s="109" customFormat="1" x14ac:dyDescent="0.2">
      <c r="A1644" s="116"/>
      <c r="B1644" s="111"/>
      <c r="C1644" s="110"/>
      <c r="D1644" s="110" t="s">
        <v>6758</v>
      </c>
      <c r="E1644" s="112" t="s">
        <v>6759</v>
      </c>
      <c r="F1644" s="111" t="s">
        <v>126</v>
      </c>
      <c r="G1644" s="133"/>
      <c r="H1644" s="124"/>
      <c r="I1644" s="133" t="str">
        <f>IF(H1644&gt;0,(#REF!*H1644),"-")</f>
        <v>-</v>
      </c>
      <c r="J1644" s="113">
        <v>52542</v>
      </c>
      <c r="K1644" s="110" t="s">
        <v>129</v>
      </c>
      <c r="L1644" s="110" t="s">
        <v>129</v>
      </c>
      <c r="M1644" s="110" t="s">
        <v>421</v>
      </c>
      <c r="N1644" s="110" t="s">
        <v>130</v>
      </c>
      <c r="O1644" s="110" t="s">
        <v>6760</v>
      </c>
      <c r="P1644" s="110" t="s">
        <v>423</v>
      </c>
      <c r="Q1644" s="110" t="s">
        <v>96</v>
      </c>
      <c r="R1644" s="121">
        <v>2.25</v>
      </c>
      <c r="S1644" s="113" t="e">
        <f t="shared" si="50"/>
        <v>#VALUE!</v>
      </c>
      <c r="T1644" s="113">
        <f t="shared" si="51"/>
        <v>0</v>
      </c>
    </row>
    <row r="1645" spans="1:20" s="109" customFormat="1" x14ac:dyDescent="0.2">
      <c r="A1645" s="116"/>
      <c r="B1645" s="111"/>
      <c r="C1645" s="110"/>
      <c r="D1645" s="110" t="s">
        <v>6761</v>
      </c>
      <c r="E1645" s="112" t="s">
        <v>6762</v>
      </c>
      <c r="F1645" s="111" t="s">
        <v>126</v>
      </c>
      <c r="G1645" s="133"/>
      <c r="H1645" s="124"/>
      <c r="I1645" s="133" t="str">
        <f>IF(H1645&gt;0,(#REF!*H1645),"-")</f>
        <v>-</v>
      </c>
      <c r="J1645" s="113">
        <v>3960</v>
      </c>
      <c r="K1645" s="110" t="s">
        <v>129</v>
      </c>
      <c r="L1645" s="110" t="s">
        <v>129</v>
      </c>
      <c r="M1645" s="110" t="s">
        <v>421</v>
      </c>
      <c r="N1645" s="110" t="s">
        <v>130</v>
      </c>
      <c r="O1645" s="110" t="s">
        <v>6763</v>
      </c>
      <c r="P1645" s="110" t="s">
        <v>423</v>
      </c>
      <c r="Q1645" s="110" t="s">
        <v>96</v>
      </c>
      <c r="R1645" s="121">
        <v>0.33400000000000002</v>
      </c>
      <c r="S1645" s="113" t="e">
        <f t="shared" si="50"/>
        <v>#VALUE!</v>
      </c>
      <c r="T1645" s="113">
        <f t="shared" si="51"/>
        <v>0</v>
      </c>
    </row>
    <row r="1646" spans="1:20" s="109" customFormat="1" x14ac:dyDescent="0.2">
      <c r="A1646" s="116"/>
      <c r="B1646" s="111"/>
      <c r="C1646" s="110"/>
      <c r="D1646" s="110" t="s">
        <v>6764</v>
      </c>
      <c r="E1646" s="112" t="s">
        <v>6765</v>
      </c>
      <c r="F1646" s="111" t="s">
        <v>126</v>
      </c>
      <c r="G1646" s="133"/>
      <c r="H1646" s="124"/>
      <c r="I1646" s="133" t="str">
        <f>IF(H1646&gt;0,(#REF!*H1646),"-")</f>
        <v>-</v>
      </c>
      <c r="J1646" s="113">
        <v>0</v>
      </c>
      <c r="K1646" s="110" t="s">
        <v>129</v>
      </c>
      <c r="L1646" s="110" t="s">
        <v>129</v>
      </c>
      <c r="M1646" s="110" t="s">
        <v>421</v>
      </c>
      <c r="N1646" s="110" t="s">
        <v>130</v>
      </c>
      <c r="O1646" s="110" t="s">
        <v>6766</v>
      </c>
      <c r="P1646" s="110" t="s">
        <v>423</v>
      </c>
      <c r="Q1646" s="110" t="s">
        <v>96</v>
      </c>
      <c r="R1646" s="121">
        <v>5.0000000000000001E-3</v>
      </c>
      <c r="S1646" s="113" t="e">
        <f t="shared" si="50"/>
        <v>#VALUE!</v>
      </c>
      <c r="T1646" s="113">
        <f t="shared" si="51"/>
        <v>0</v>
      </c>
    </row>
    <row r="1647" spans="1:20" s="109" customFormat="1" x14ac:dyDescent="0.2">
      <c r="A1647" s="116"/>
      <c r="B1647" s="111"/>
      <c r="C1647" s="110"/>
      <c r="D1647" s="110" t="s">
        <v>6767</v>
      </c>
      <c r="E1647" s="112" t="s">
        <v>6768</v>
      </c>
      <c r="F1647" s="111" t="s">
        <v>126</v>
      </c>
      <c r="G1647" s="133"/>
      <c r="H1647" s="124"/>
      <c r="I1647" s="133" t="str">
        <f>IF(H1647&gt;0,(#REF!*H1647),"-")</f>
        <v>-</v>
      </c>
      <c r="J1647" s="113">
        <v>27472</v>
      </c>
      <c r="K1647" s="110" t="s">
        <v>129</v>
      </c>
      <c r="L1647" s="110" t="s">
        <v>129</v>
      </c>
      <c r="M1647" s="110" t="s">
        <v>421</v>
      </c>
      <c r="N1647" s="110" t="s">
        <v>130</v>
      </c>
      <c r="O1647" s="110" t="s">
        <v>6769</v>
      </c>
      <c r="P1647" s="110" t="s">
        <v>6770</v>
      </c>
      <c r="Q1647" s="110" t="s">
        <v>97</v>
      </c>
      <c r="R1647" s="121">
        <v>0.76585000000000003</v>
      </c>
      <c r="S1647" s="113" t="e">
        <f t="shared" si="50"/>
        <v>#VALUE!</v>
      </c>
      <c r="T1647" s="113">
        <f t="shared" si="51"/>
        <v>0</v>
      </c>
    </row>
    <row r="1648" spans="1:20" s="109" customFormat="1" x14ac:dyDescent="0.2">
      <c r="A1648" s="116"/>
      <c r="B1648" s="111"/>
      <c r="C1648" s="110"/>
      <c r="D1648" s="110" t="s">
        <v>6771</v>
      </c>
      <c r="E1648" s="112" t="s">
        <v>6772</v>
      </c>
      <c r="F1648" s="111" t="s">
        <v>126</v>
      </c>
      <c r="G1648" s="133"/>
      <c r="H1648" s="124"/>
      <c r="I1648" s="133" t="str">
        <f>IF(H1648&gt;0,(#REF!*H1648),"-")</f>
        <v>-</v>
      </c>
      <c r="J1648" s="113">
        <v>13680</v>
      </c>
      <c r="K1648" s="110" t="s">
        <v>129</v>
      </c>
      <c r="L1648" s="110" t="s">
        <v>129</v>
      </c>
      <c r="M1648" s="110" t="s">
        <v>421</v>
      </c>
      <c r="N1648" s="110" t="s">
        <v>130</v>
      </c>
      <c r="O1648" s="110" t="s">
        <v>6773</v>
      </c>
      <c r="P1648" s="110" t="s">
        <v>4634</v>
      </c>
      <c r="Q1648" s="110" t="s">
        <v>96</v>
      </c>
      <c r="R1648" s="121">
        <v>0.44800000000000001</v>
      </c>
      <c r="S1648" s="113" t="e">
        <f t="shared" si="50"/>
        <v>#VALUE!</v>
      </c>
      <c r="T1648" s="113">
        <f t="shared" si="51"/>
        <v>0</v>
      </c>
    </row>
    <row r="1649" spans="1:20" s="109" customFormat="1" x14ac:dyDescent="0.2">
      <c r="A1649" s="116"/>
      <c r="B1649" s="111"/>
      <c r="C1649" s="110"/>
      <c r="D1649" s="110" t="s">
        <v>6774</v>
      </c>
      <c r="E1649" s="112" t="s">
        <v>6775</v>
      </c>
      <c r="F1649" s="111" t="s">
        <v>126</v>
      </c>
      <c r="G1649" s="133"/>
      <c r="H1649" s="124"/>
      <c r="I1649" s="133" t="str">
        <f>IF(H1649&gt;0,(#REF!*H1649),"-")</f>
        <v>-</v>
      </c>
      <c r="J1649" s="113">
        <v>2688</v>
      </c>
      <c r="K1649" s="110" t="s">
        <v>129</v>
      </c>
      <c r="L1649" s="110" t="s">
        <v>129</v>
      </c>
      <c r="M1649" s="110" t="s">
        <v>421</v>
      </c>
      <c r="N1649" s="110" t="s">
        <v>130</v>
      </c>
      <c r="O1649" s="110" t="s">
        <v>6776</v>
      </c>
      <c r="P1649" s="110" t="s">
        <v>423</v>
      </c>
      <c r="Q1649" s="110" t="s">
        <v>96</v>
      </c>
      <c r="R1649" s="121">
        <v>0.16600000000000001</v>
      </c>
      <c r="S1649" s="113" t="e">
        <f t="shared" si="50"/>
        <v>#VALUE!</v>
      </c>
      <c r="T1649" s="113">
        <f t="shared" si="51"/>
        <v>0</v>
      </c>
    </row>
    <row r="1650" spans="1:20" s="109" customFormat="1" x14ac:dyDescent="0.2">
      <c r="A1650" s="116"/>
      <c r="B1650" s="111"/>
      <c r="C1650" s="110"/>
      <c r="D1650" s="110" t="s">
        <v>6777</v>
      </c>
      <c r="E1650" s="112" t="s">
        <v>6778</v>
      </c>
      <c r="F1650" s="111" t="s">
        <v>126</v>
      </c>
      <c r="G1650" s="133"/>
      <c r="H1650" s="124"/>
      <c r="I1650" s="133" t="str">
        <f>IF(H1650&gt;0,(#REF!*H1650),"-")</f>
        <v>-</v>
      </c>
      <c r="J1650" s="113">
        <v>152</v>
      </c>
      <c r="K1650" s="110" t="s">
        <v>129</v>
      </c>
      <c r="L1650" s="110" t="s">
        <v>129</v>
      </c>
      <c r="M1650" s="110" t="s">
        <v>421</v>
      </c>
      <c r="N1650" s="110" t="s">
        <v>130</v>
      </c>
      <c r="O1650" s="110" t="s">
        <v>6779</v>
      </c>
      <c r="P1650" s="110" t="s">
        <v>423</v>
      </c>
      <c r="Q1650" s="110" t="s">
        <v>96</v>
      </c>
      <c r="R1650" s="121">
        <v>3.2000000000000001E-2</v>
      </c>
      <c r="S1650" s="113" t="e">
        <f t="shared" si="50"/>
        <v>#VALUE!</v>
      </c>
      <c r="T1650" s="113">
        <f t="shared" si="51"/>
        <v>0</v>
      </c>
    </row>
    <row r="1651" spans="1:20" s="109" customFormat="1" x14ac:dyDescent="0.2">
      <c r="A1651" s="116"/>
      <c r="B1651" s="111"/>
      <c r="C1651" s="110"/>
      <c r="D1651" s="110" t="s">
        <v>6780</v>
      </c>
      <c r="E1651" s="112" t="s">
        <v>6781</v>
      </c>
      <c r="F1651" s="111" t="s">
        <v>126</v>
      </c>
      <c r="G1651" s="133"/>
      <c r="H1651" s="124"/>
      <c r="I1651" s="133" t="str">
        <f>IF(H1651&gt;0,(#REF!*H1651),"-")</f>
        <v>-</v>
      </c>
      <c r="J1651" s="113">
        <v>51569</v>
      </c>
      <c r="K1651" s="110" t="s">
        <v>129</v>
      </c>
      <c r="L1651" s="110" t="s">
        <v>129</v>
      </c>
      <c r="M1651" s="110" t="s">
        <v>421</v>
      </c>
      <c r="N1651" s="110" t="s">
        <v>130</v>
      </c>
      <c r="O1651" s="110" t="s">
        <v>6782</v>
      </c>
      <c r="P1651" s="110" t="s">
        <v>423</v>
      </c>
      <c r="Q1651" s="110" t="s">
        <v>96</v>
      </c>
      <c r="R1651" s="121">
        <v>2.25</v>
      </c>
      <c r="S1651" s="113" t="e">
        <f t="shared" si="50"/>
        <v>#VALUE!</v>
      </c>
      <c r="T1651" s="113">
        <f t="shared" si="51"/>
        <v>0</v>
      </c>
    </row>
    <row r="1652" spans="1:20" s="109" customFormat="1" x14ac:dyDescent="0.2">
      <c r="A1652" s="116"/>
      <c r="B1652" s="111"/>
      <c r="C1652" s="110"/>
      <c r="D1652" s="110" t="s">
        <v>6783</v>
      </c>
      <c r="E1652" s="112" t="s">
        <v>6784</v>
      </c>
      <c r="F1652" s="111" t="s">
        <v>126</v>
      </c>
      <c r="G1652" s="133"/>
      <c r="H1652" s="124"/>
      <c r="I1652" s="133" t="str">
        <f>IF(H1652&gt;0,(#REF!*H1652),"-")</f>
        <v>-</v>
      </c>
      <c r="J1652" s="113">
        <v>44</v>
      </c>
      <c r="K1652" s="110" t="s">
        <v>129</v>
      </c>
      <c r="L1652" s="110" t="s">
        <v>129</v>
      </c>
      <c r="M1652" s="110" t="s">
        <v>421</v>
      </c>
      <c r="N1652" s="110" t="s">
        <v>130</v>
      </c>
      <c r="O1652" s="110" t="s">
        <v>6785</v>
      </c>
      <c r="P1652" s="110" t="s">
        <v>423</v>
      </c>
      <c r="Q1652" s="110" t="s">
        <v>96</v>
      </c>
      <c r="R1652" s="121">
        <v>9.4999999999999998E-3</v>
      </c>
      <c r="S1652" s="113" t="e">
        <f t="shared" si="50"/>
        <v>#VALUE!</v>
      </c>
      <c r="T1652" s="113">
        <f t="shared" si="51"/>
        <v>0</v>
      </c>
    </row>
    <row r="1653" spans="1:20" s="109" customFormat="1" x14ac:dyDescent="0.2">
      <c r="A1653" s="116"/>
      <c r="B1653" s="111"/>
      <c r="C1653" s="110"/>
      <c r="D1653" s="110" t="s">
        <v>6786</v>
      </c>
      <c r="E1653" s="112" t="s">
        <v>6787</v>
      </c>
      <c r="F1653" s="111" t="s">
        <v>126</v>
      </c>
      <c r="G1653" s="133"/>
      <c r="H1653" s="124"/>
      <c r="I1653" s="133" t="str">
        <f>IF(H1653&gt;0,(#REF!*H1653),"-")</f>
        <v>-</v>
      </c>
      <c r="J1653" s="113">
        <v>6422</v>
      </c>
      <c r="K1653" s="110" t="s">
        <v>129</v>
      </c>
      <c r="L1653" s="110" t="s">
        <v>129</v>
      </c>
      <c r="M1653" s="110" t="s">
        <v>421</v>
      </c>
      <c r="N1653" s="110" t="s">
        <v>130</v>
      </c>
      <c r="O1653" s="110" t="s">
        <v>6788</v>
      </c>
      <c r="P1653" s="110" t="s">
        <v>6770</v>
      </c>
      <c r="Q1653" s="110" t="s">
        <v>96</v>
      </c>
      <c r="R1653" s="121">
        <v>0.3</v>
      </c>
      <c r="S1653" s="113" t="e">
        <f t="shared" si="50"/>
        <v>#VALUE!</v>
      </c>
      <c r="T1653" s="113">
        <f t="shared" si="51"/>
        <v>0</v>
      </c>
    </row>
    <row r="1654" spans="1:20" s="109" customFormat="1" x14ac:dyDescent="0.2">
      <c r="A1654" s="116"/>
      <c r="B1654" s="111"/>
      <c r="C1654" s="110"/>
      <c r="D1654" s="110" t="s">
        <v>6789</v>
      </c>
      <c r="E1654" s="112" t="s">
        <v>6790</v>
      </c>
      <c r="F1654" s="111" t="s">
        <v>126</v>
      </c>
      <c r="G1654" s="133"/>
      <c r="H1654" s="124"/>
      <c r="I1654" s="133" t="str">
        <f>IF(H1654&gt;0,(#REF!*H1654),"-")</f>
        <v>-</v>
      </c>
      <c r="J1654" s="113">
        <v>3006224</v>
      </c>
      <c r="K1654" s="110" t="s">
        <v>129</v>
      </c>
      <c r="L1654" s="110" t="s">
        <v>129</v>
      </c>
      <c r="M1654" s="110" t="s">
        <v>421</v>
      </c>
      <c r="N1654" s="110" t="s">
        <v>130</v>
      </c>
      <c r="O1654" s="110" t="s">
        <v>6791</v>
      </c>
      <c r="P1654" s="110" t="s">
        <v>6730</v>
      </c>
      <c r="Q1654" s="110" t="s">
        <v>97</v>
      </c>
      <c r="R1654" s="121">
        <v>5.0000000000000001E-3</v>
      </c>
      <c r="S1654" s="113" t="e">
        <f t="shared" si="50"/>
        <v>#VALUE!</v>
      </c>
      <c r="T1654" s="113">
        <f t="shared" si="51"/>
        <v>0</v>
      </c>
    </row>
    <row r="1655" spans="1:20" s="109" customFormat="1" x14ac:dyDescent="0.2">
      <c r="A1655" s="116"/>
      <c r="B1655" s="111"/>
      <c r="C1655" s="110"/>
      <c r="D1655" s="110" t="s">
        <v>6792</v>
      </c>
      <c r="E1655" s="112" t="s">
        <v>6793</v>
      </c>
      <c r="F1655" s="111" t="s">
        <v>126</v>
      </c>
      <c r="G1655" s="133"/>
      <c r="H1655" s="124"/>
      <c r="I1655" s="133" t="str">
        <f>IF(H1655&gt;0,(#REF!*H1655),"-")</f>
        <v>-</v>
      </c>
      <c r="J1655" s="113">
        <v>51569</v>
      </c>
      <c r="K1655" s="110" t="s">
        <v>129</v>
      </c>
      <c r="L1655" s="110" t="s">
        <v>148</v>
      </c>
      <c r="M1655" s="110" t="s">
        <v>421</v>
      </c>
      <c r="N1655" s="110" t="s">
        <v>130</v>
      </c>
      <c r="O1655" s="110" t="s">
        <v>6794</v>
      </c>
      <c r="P1655" s="110" t="s">
        <v>423</v>
      </c>
      <c r="Q1655" s="110" t="s">
        <v>96</v>
      </c>
      <c r="R1655" s="121">
        <v>2.2999999999999998</v>
      </c>
      <c r="S1655" s="113" t="e">
        <f t="shared" si="50"/>
        <v>#VALUE!</v>
      </c>
      <c r="T1655" s="113">
        <f t="shared" si="51"/>
        <v>0</v>
      </c>
    </row>
    <row r="1656" spans="1:20" s="109" customFormat="1" x14ac:dyDescent="0.2">
      <c r="A1656" s="116"/>
      <c r="B1656" s="111"/>
      <c r="C1656" s="110"/>
      <c r="D1656" s="110" t="s">
        <v>6795</v>
      </c>
      <c r="E1656" s="112" t="s">
        <v>6796</v>
      </c>
      <c r="F1656" s="111" t="s">
        <v>126</v>
      </c>
      <c r="G1656" s="133"/>
      <c r="H1656" s="124"/>
      <c r="I1656" s="133" t="str">
        <f>IF(H1656&gt;0,(#REF!*H1656),"-")</f>
        <v>-</v>
      </c>
      <c r="J1656" s="113">
        <v>1904</v>
      </c>
      <c r="K1656" s="110" t="s">
        <v>129</v>
      </c>
      <c r="L1656" s="110" t="s">
        <v>148</v>
      </c>
      <c r="M1656" s="110" t="s">
        <v>421</v>
      </c>
      <c r="N1656" s="110" t="s">
        <v>130</v>
      </c>
      <c r="O1656" s="110" t="s">
        <v>6797</v>
      </c>
      <c r="P1656" s="110" t="s">
        <v>423</v>
      </c>
      <c r="Q1656" s="110" t="s">
        <v>96</v>
      </c>
      <c r="R1656" s="121">
        <v>0.4</v>
      </c>
      <c r="S1656" s="113" t="e">
        <f t="shared" si="50"/>
        <v>#VALUE!</v>
      </c>
      <c r="T1656" s="113">
        <f t="shared" si="51"/>
        <v>0</v>
      </c>
    </row>
    <row r="1657" spans="1:20" s="109" customFormat="1" x14ac:dyDescent="0.2">
      <c r="A1657" s="117"/>
      <c r="G1657" s="135"/>
      <c r="H1657" s="124"/>
      <c r="I1657" s="133" t="str">
        <f>IF(H1657&gt;0,(#REF!*H1657),"-")</f>
        <v>-</v>
      </c>
      <c r="R1657" s="122"/>
      <c r="S1657" s="113">
        <f t="shared" si="50"/>
        <v>0</v>
      </c>
      <c r="T1657" s="113">
        <f t="shared" si="51"/>
        <v>0</v>
      </c>
    </row>
    <row r="1658" spans="1:20" x14ac:dyDescent="0.2">
      <c r="H1658" s="124"/>
      <c r="I1658" s="133" t="str">
        <f>IF(H1658&gt;0,(#REF!*H1658),"-")</f>
        <v>-</v>
      </c>
      <c r="S1658" s="113">
        <f t="shared" si="50"/>
        <v>0</v>
      </c>
      <c r="T1658" s="113">
        <f t="shared" si="51"/>
        <v>0</v>
      </c>
    </row>
    <row r="1659" spans="1:20" x14ac:dyDescent="0.2">
      <c r="H1659" s="124"/>
      <c r="I1659" s="133" t="str">
        <f>IF(H1659&gt;0,(#REF!*H1659),"-")</f>
        <v>-</v>
      </c>
      <c r="S1659" s="113">
        <f t="shared" si="50"/>
        <v>0</v>
      </c>
      <c r="T1659" s="113">
        <f t="shared" si="51"/>
        <v>0</v>
      </c>
    </row>
    <row r="1660" spans="1:20" x14ac:dyDescent="0.2">
      <c r="H1660" s="124"/>
      <c r="I1660" s="133" t="str">
        <f>IF(H1660&gt;0,(#REF!*H1660),"-")</f>
        <v>-</v>
      </c>
      <c r="S1660" s="113">
        <f t="shared" si="50"/>
        <v>0</v>
      </c>
      <c r="T1660" s="113">
        <f t="shared" si="51"/>
        <v>0</v>
      </c>
    </row>
    <row r="1661" spans="1:20" x14ac:dyDescent="0.2">
      <c r="H1661" s="124"/>
      <c r="I1661" s="133" t="str">
        <f>IF(H1661&gt;0,(#REF!*H1661),"-")</f>
        <v>-</v>
      </c>
      <c r="S1661" s="113">
        <f t="shared" si="50"/>
        <v>0</v>
      </c>
      <c r="T1661" s="113">
        <f t="shared" si="51"/>
        <v>0</v>
      </c>
    </row>
    <row r="1662" spans="1:20" x14ac:dyDescent="0.2">
      <c r="H1662" s="124"/>
      <c r="I1662" s="133" t="str">
        <f>IF(H1662&gt;0,(#REF!*H1662),"-")</f>
        <v>-</v>
      </c>
      <c r="S1662" s="113">
        <f t="shared" si="50"/>
        <v>0</v>
      </c>
      <c r="T1662" s="113">
        <f t="shared" si="51"/>
        <v>0</v>
      </c>
    </row>
    <row r="1663" spans="1:20" x14ac:dyDescent="0.2">
      <c r="H1663" s="124"/>
      <c r="I1663" s="133" t="str">
        <f>IF(H1663&gt;0,(#REF!*H1663),"-")</f>
        <v>-</v>
      </c>
      <c r="S1663" s="113">
        <f t="shared" si="50"/>
        <v>0</v>
      </c>
      <c r="T1663" s="113">
        <f t="shared" si="51"/>
        <v>0</v>
      </c>
    </row>
    <row r="1664" spans="1:20" x14ac:dyDescent="0.2">
      <c r="H1664" s="124"/>
      <c r="I1664" s="133" t="str">
        <f>IF(H1664&gt;0,(#REF!*H1664),"-")</f>
        <v>-</v>
      </c>
      <c r="S1664" s="113">
        <f t="shared" si="50"/>
        <v>0</v>
      </c>
      <c r="T1664" s="113">
        <f t="shared" si="51"/>
        <v>0</v>
      </c>
    </row>
    <row r="1665" spans="8:20" x14ac:dyDescent="0.2">
      <c r="H1665" s="124"/>
      <c r="I1665" s="133" t="str">
        <f>IF(H1665&gt;0,(#REF!*H1665),"-")</f>
        <v>-</v>
      </c>
      <c r="S1665" s="113">
        <f t="shared" si="50"/>
        <v>0</v>
      </c>
      <c r="T1665" s="113">
        <f t="shared" si="51"/>
        <v>0</v>
      </c>
    </row>
    <row r="1666" spans="8:20" x14ac:dyDescent="0.2">
      <c r="H1666" s="124"/>
      <c r="I1666" s="133" t="str">
        <f>IF(H1666&gt;0,(#REF!*H1666),"-")</f>
        <v>-</v>
      </c>
      <c r="S1666" s="113">
        <f t="shared" ref="S1666:S1729" si="52">Q1666*H1666</f>
        <v>0</v>
      </c>
      <c r="T1666" s="113">
        <f t="shared" ref="T1666:T1729" si="53">R1666*H1666</f>
        <v>0</v>
      </c>
    </row>
    <row r="1667" spans="8:20" x14ac:dyDescent="0.2">
      <c r="H1667" s="124"/>
      <c r="I1667" s="133" t="str">
        <f>IF(H1667&gt;0,(#REF!*H1667),"-")</f>
        <v>-</v>
      </c>
      <c r="S1667" s="113">
        <f t="shared" si="52"/>
        <v>0</v>
      </c>
      <c r="T1667" s="113">
        <f t="shared" si="53"/>
        <v>0</v>
      </c>
    </row>
    <row r="1668" spans="8:20" x14ac:dyDescent="0.2">
      <c r="H1668" s="124"/>
      <c r="I1668" s="133" t="str">
        <f>IF(H1668&gt;0,(#REF!*H1668),"-")</f>
        <v>-</v>
      </c>
      <c r="S1668" s="113">
        <f t="shared" si="52"/>
        <v>0</v>
      </c>
      <c r="T1668" s="113">
        <f t="shared" si="53"/>
        <v>0</v>
      </c>
    </row>
    <row r="1669" spans="8:20" x14ac:dyDescent="0.2">
      <c r="H1669" s="124"/>
      <c r="I1669" s="133" t="str">
        <f>IF(H1669&gt;0,(#REF!*H1669),"-")</f>
        <v>-</v>
      </c>
      <c r="S1669" s="113">
        <f t="shared" si="52"/>
        <v>0</v>
      </c>
      <c r="T1669" s="113">
        <f t="shared" si="53"/>
        <v>0</v>
      </c>
    </row>
    <row r="1670" spans="8:20" x14ac:dyDescent="0.2">
      <c r="H1670" s="124"/>
      <c r="I1670" s="133" t="str">
        <f>IF(H1670&gt;0,(#REF!*H1670),"-")</f>
        <v>-</v>
      </c>
      <c r="S1670" s="113">
        <f t="shared" si="52"/>
        <v>0</v>
      </c>
      <c r="T1670" s="113">
        <f t="shared" si="53"/>
        <v>0</v>
      </c>
    </row>
    <row r="1671" spans="8:20" x14ac:dyDescent="0.2">
      <c r="H1671" s="124"/>
      <c r="I1671" s="133" t="str">
        <f>IF(H1671&gt;0,(#REF!*H1671),"-")</f>
        <v>-</v>
      </c>
      <c r="S1671" s="113">
        <f t="shared" si="52"/>
        <v>0</v>
      </c>
      <c r="T1671" s="113">
        <f t="shared" si="53"/>
        <v>0</v>
      </c>
    </row>
    <row r="1672" spans="8:20" x14ac:dyDescent="0.2">
      <c r="H1672" s="124"/>
      <c r="I1672" s="133" t="str">
        <f>IF(H1672&gt;0,(#REF!*H1672),"-")</f>
        <v>-</v>
      </c>
      <c r="S1672" s="113">
        <f t="shared" si="52"/>
        <v>0</v>
      </c>
      <c r="T1672" s="113">
        <f t="shared" si="53"/>
        <v>0</v>
      </c>
    </row>
    <row r="1673" spans="8:20" x14ac:dyDescent="0.2">
      <c r="H1673" s="124"/>
      <c r="I1673" s="133" t="str">
        <f>IF(H1673&gt;0,(#REF!*H1673),"-")</f>
        <v>-</v>
      </c>
      <c r="S1673" s="113">
        <f t="shared" si="52"/>
        <v>0</v>
      </c>
      <c r="T1673" s="113">
        <f t="shared" si="53"/>
        <v>0</v>
      </c>
    </row>
    <row r="1674" spans="8:20" x14ac:dyDescent="0.2">
      <c r="H1674" s="124"/>
      <c r="I1674" s="133" t="str">
        <f>IF(H1674&gt;0,(#REF!*H1674),"-")</f>
        <v>-</v>
      </c>
      <c r="S1674" s="113">
        <f t="shared" si="52"/>
        <v>0</v>
      </c>
      <c r="T1674" s="113">
        <f t="shared" si="53"/>
        <v>0</v>
      </c>
    </row>
    <row r="1675" spans="8:20" x14ac:dyDescent="0.2">
      <c r="H1675" s="124"/>
      <c r="I1675" s="133" t="str">
        <f>IF(H1675&gt;0,(#REF!*H1675),"-")</f>
        <v>-</v>
      </c>
      <c r="S1675" s="113">
        <f t="shared" si="52"/>
        <v>0</v>
      </c>
      <c r="T1675" s="113">
        <f t="shared" si="53"/>
        <v>0</v>
      </c>
    </row>
    <row r="1676" spans="8:20" x14ac:dyDescent="0.2">
      <c r="H1676" s="124"/>
      <c r="I1676" s="133" t="str">
        <f>IF(H1676&gt;0,(#REF!*H1676),"-")</f>
        <v>-</v>
      </c>
      <c r="S1676" s="113">
        <f t="shared" si="52"/>
        <v>0</v>
      </c>
      <c r="T1676" s="113">
        <f t="shared" si="53"/>
        <v>0</v>
      </c>
    </row>
    <row r="1677" spans="8:20" x14ac:dyDescent="0.2">
      <c r="H1677" s="124"/>
      <c r="I1677" s="133" t="str">
        <f>IF(H1677&gt;0,(#REF!*H1677),"-")</f>
        <v>-</v>
      </c>
      <c r="S1677" s="113">
        <f t="shared" si="52"/>
        <v>0</v>
      </c>
      <c r="T1677" s="113">
        <f t="shared" si="53"/>
        <v>0</v>
      </c>
    </row>
    <row r="1678" spans="8:20" x14ac:dyDescent="0.2">
      <c r="H1678" s="124"/>
      <c r="I1678" s="133" t="str">
        <f>IF(H1678&gt;0,(#REF!*H1678),"-")</f>
        <v>-</v>
      </c>
      <c r="S1678" s="113">
        <f t="shared" si="52"/>
        <v>0</v>
      </c>
      <c r="T1678" s="113">
        <f t="shared" si="53"/>
        <v>0</v>
      </c>
    </row>
    <row r="1679" spans="8:20" x14ac:dyDescent="0.2">
      <c r="H1679" s="124"/>
      <c r="I1679" s="133" t="str">
        <f>IF(H1679&gt;0,(#REF!*H1679),"-")</f>
        <v>-</v>
      </c>
      <c r="S1679" s="113">
        <f t="shared" si="52"/>
        <v>0</v>
      </c>
      <c r="T1679" s="113">
        <f t="shared" si="53"/>
        <v>0</v>
      </c>
    </row>
    <row r="1680" spans="8:20" x14ac:dyDescent="0.2">
      <c r="H1680" s="124"/>
      <c r="I1680" s="133" t="str">
        <f>IF(H1680&gt;0,(#REF!*H1680),"-")</f>
        <v>-</v>
      </c>
      <c r="S1680" s="113">
        <f t="shared" si="52"/>
        <v>0</v>
      </c>
      <c r="T1680" s="113">
        <f t="shared" si="53"/>
        <v>0</v>
      </c>
    </row>
    <row r="1681" spans="8:20" x14ac:dyDescent="0.2">
      <c r="H1681" s="124"/>
      <c r="I1681" s="133" t="str">
        <f>IF(H1681&gt;0,(#REF!*H1681),"-")</f>
        <v>-</v>
      </c>
      <c r="S1681" s="113">
        <f t="shared" si="52"/>
        <v>0</v>
      </c>
      <c r="T1681" s="113">
        <f t="shared" si="53"/>
        <v>0</v>
      </c>
    </row>
    <row r="1682" spans="8:20" x14ac:dyDescent="0.2">
      <c r="H1682" s="124"/>
      <c r="I1682" s="133" t="str">
        <f>IF(H1682&gt;0,(#REF!*H1682),"-")</f>
        <v>-</v>
      </c>
      <c r="S1682" s="113">
        <f t="shared" si="52"/>
        <v>0</v>
      </c>
      <c r="T1682" s="113">
        <f t="shared" si="53"/>
        <v>0</v>
      </c>
    </row>
    <row r="1683" spans="8:20" x14ac:dyDescent="0.2">
      <c r="H1683" s="124"/>
      <c r="I1683" s="133" t="str">
        <f>IF(H1683&gt;0,(#REF!*H1683),"-")</f>
        <v>-</v>
      </c>
      <c r="S1683" s="113">
        <f t="shared" si="52"/>
        <v>0</v>
      </c>
      <c r="T1683" s="113">
        <f t="shared" si="53"/>
        <v>0</v>
      </c>
    </row>
    <row r="1684" spans="8:20" x14ac:dyDescent="0.2">
      <c r="H1684" s="124"/>
      <c r="I1684" s="133" t="str">
        <f>IF(H1684&gt;0,(#REF!*H1684),"-")</f>
        <v>-</v>
      </c>
      <c r="S1684" s="113">
        <f t="shared" si="52"/>
        <v>0</v>
      </c>
      <c r="T1684" s="113">
        <f t="shared" si="53"/>
        <v>0</v>
      </c>
    </row>
    <row r="1685" spans="8:20" x14ac:dyDescent="0.2">
      <c r="H1685" s="124"/>
      <c r="I1685" s="133" t="str">
        <f>IF(H1685&gt;0,(#REF!*H1685),"-")</f>
        <v>-</v>
      </c>
      <c r="S1685" s="113">
        <f t="shared" si="52"/>
        <v>0</v>
      </c>
      <c r="T1685" s="113">
        <f t="shared" si="53"/>
        <v>0</v>
      </c>
    </row>
    <row r="1686" spans="8:20" x14ac:dyDescent="0.2">
      <c r="H1686" s="124"/>
      <c r="I1686" s="133" t="str">
        <f>IF(H1686&gt;0,(#REF!*H1686),"-")</f>
        <v>-</v>
      </c>
      <c r="S1686" s="113">
        <f t="shared" si="52"/>
        <v>0</v>
      </c>
      <c r="T1686" s="113">
        <f t="shared" si="53"/>
        <v>0</v>
      </c>
    </row>
    <row r="1687" spans="8:20" x14ac:dyDescent="0.2">
      <c r="H1687" s="124"/>
      <c r="I1687" s="133" t="str">
        <f>IF(H1687&gt;0,(#REF!*H1687),"-")</f>
        <v>-</v>
      </c>
      <c r="S1687" s="113">
        <f t="shared" si="52"/>
        <v>0</v>
      </c>
      <c r="T1687" s="113">
        <f t="shared" si="53"/>
        <v>0</v>
      </c>
    </row>
    <row r="1688" spans="8:20" x14ac:dyDescent="0.2">
      <c r="H1688" s="124"/>
      <c r="I1688" s="133" t="str">
        <f>IF(H1688&gt;0,(#REF!*H1688),"-")</f>
        <v>-</v>
      </c>
      <c r="S1688" s="113">
        <f t="shared" si="52"/>
        <v>0</v>
      </c>
      <c r="T1688" s="113">
        <f t="shared" si="53"/>
        <v>0</v>
      </c>
    </row>
    <row r="1689" spans="8:20" x14ac:dyDescent="0.2">
      <c r="H1689" s="124"/>
      <c r="I1689" s="133" t="str">
        <f>IF(H1689&gt;0,(#REF!*H1689),"-")</f>
        <v>-</v>
      </c>
      <c r="S1689" s="113">
        <f t="shared" si="52"/>
        <v>0</v>
      </c>
      <c r="T1689" s="113">
        <f t="shared" si="53"/>
        <v>0</v>
      </c>
    </row>
    <row r="1690" spans="8:20" x14ac:dyDescent="0.2">
      <c r="H1690" s="124"/>
      <c r="I1690" s="133" t="str">
        <f>IF(H1690&gt;0,(#REF!*H1690),"-")</f>
        <v>-</v>
      </c>
      <c r="S1690" s="113">
        <f t="shared" si="52"/>
        <v>0</v>
      </c>
      <c r="T1690" s="113">
        <f t="shared" si="53"/>
        <v>0</v>
      </c>
    </row>
    <row r="1691" spans="8:20" x14ac:dyDescent="0.2">
      <c r="H1691" s="124"/>
      <c r="I1691" s="133" t="str">
        <f>IF(H1691&gt;0,(#REF!*H1691),"-")</f>
        <v>-</v>
      </c>
      <c r="S1691" s="113">
        <f t="shared" si="52"/>
        <v>0</v>
      </c>
      <c r="T1691" s="113">
        <f t="shared" si="53"/>
        <v>0</v>
      </c>
    </row>
    <row r="1692" spans="8:20" x14ac:dyDescent="0.2">
      <c r="H1692" s="124"/>
      <c r="I1692" s="133" t="str">
        <f>IF(H1692&gt;0,(#REF!*H1692),"-")</f>
        <v>-</v>
      </c>
      <c r="S1692" s="113">
        <f t="shared" si="52"/>
        <v>0</v>
      </c>
      <c r="T1692" s="113">
        <f t="shared" si="53"/>
        <v>0</v>
      </c>
    </row>
    <row r="1693" spans="8:20" x14ac:dyDescent="0.2">
      <c r="H1693" s="124"/>
      <c r="I1693" s="133" t="str">
        <f>IF(H1693&gt;0,(#REF!*H1693),"-")</f>
        <v>-</v>
      </c>
      <c r="S1693" s="113">
        <f t="shared" si="52"/>
        <v>0</v>
      </c>
      <c r="T1693" s="113">
        <f t="shared" si="53"/>
        <v>0</v>
      </c>
    </row>
    <row r="1694" spans="8:20" x14ac:dyDescent="0.2">
      <c r="H1694" s="124"/>
      <c r="I1694" s="133" t="str">
        <f>IF(H1694&gt;0,(#REF!*H1694),"-")</f>
        <v>-</v>
      </c>
      <c r="S1694" s="113">
        <f t="shared" si="52"/>
        <v>0</v>
      </c>
      <c r="T1694" s="113">
        <f t="shared" si="53"/>
        <v>0</v>
      </c>
    </row>
    <row r="1695" spans="8:20" x14ac:dyDescent="0.2">
      <c r="H1695" s="124"/>
      <c r="I1695" s="133" t="str">
        <f>IF(H1695&gt;0,(#REF!*H1695),"-")</f>
        <v>-</v>
      </c>
      <c r="S1695" s="113">
        <f t="shared" si="52"/>
        <v>0</v>
      </c>
      <c r="T1695" s="113">
        <f t="shared" si="53"/>
        <v>0</v>
      </c>
    </row>
    <row r="1696" spans="8:20" x14ac:dyDescent="0.2">
      <c r="H1696" s="124"/>
      <c r="I1696" s="133" t="str">
        <f>IF(H1696&gt;0,(#REF!*H1696),"-")</f>
        <v>-</v>
      </c>
      <c r="S1696" s="113">
        <f t="shared" si="52"/>
        <v>0</v>
      </c>
      <c r="T1696" s="113">
        <f t="shared" si="53"/>
        <v>0</v>
      </c>
    </row>
    <row r="1697" spans="8:20" x14ac:dyDescent="0.2">
      <c r="H1697" s="124"/>
      <c r="I1697" s="133" t="str">
        <f>IF(H1697&gt;0,(#REF!*H1697),"-")</f>
        <v>-</v>
      </c>
      <c r="S1697" s="113">
        <f t="shared" si="52"/>
        <v>0</v>
      </c>
      <c r="T1697" s="113">
        <f t="shared" si="53"/>
        <v>0</v>
      </c>
    </row>
    <row r="1698" spans="8:20" x14ac:dyDescent="0.2">
      <c r="H1698" s="124"/>
      <c r="I1698" s="133" t="str">
        <f>IF(H1698&gt;0,(#REF!*H1698),"-")</f>
        <v>-</v>
      </c>
      <c r="S1698" s="113">
        <f t="shared" si="52"/>
        <v>0</v>
      </c>
      <c r="T1698" s="113">
        <f t="shared" si="53"/>
        <v>0</v>
      </c>
    </row>
    <row r="1699" spans="8:20" x14ac:dyDescent="0.2">
      <c r="H1699" s="124"/>
      <c r="I1699" s="133" t="str">
        <f>IF(H1699&gt;0,(#REF!*H1699),"-")</f>
        <v>-</v>
      </c>
      <c r="S1699" s="113">
        <f t="shared" si="52"/>
        <v>0</v>
      </c>
      <c r="T1699" s="113">
        <f t="shared" si="53"/>
        <v>0</v>
      </c>
    </row>
    <row r="1700" spans="8:20" x14ac:dyDescent="0.2">
      <c r="H1700" s="124"/>
      <c r="I1700" s="133" t="str">
        <f>IF(H1700&gt;0,(#REF!*H1700),"-")</f>
        <v>-</v>
      </c>
      <c r="S1700" s="113">
        <f t="shared" si="52"/>
        <v>0</v>
      </c>
      <c r="T1700" s="113">
        <f t="shared" si="53"/>
        <v>0</v>
      </c>
    </row>
    <row r="1701" spans="8:20" x14ac:dyDescent="0.2">
      <c r="H1701" s="124"/>
      <c r="I1701" s="133" t="str">
        <f>IF(H1701&gt;0,(#REF!*H1701),"-")</f>
        <v>-</v>
      </c>
      <c r="S1701" s="113">
        <f t="shared" si="52"/>
        <v>0</v>
      </c>
      <c r="T1701" s="113">
        <f t="shared" si="53"/>
        <v>0</v>
      </c>
    </row>
    <row r="1702" spans="8:20" x14ac:dyDescent="0.2">
      <c r="H1702" s="124"/>
      <c r="I1702" s="133" t="str">
        <f>IF(H1702&gt;0,(#REF!*H1702),"-")</f>
        <v>-</v>
      </c>
      <c r="S1702" s="113">
        <f t="shared" si="52"/>
        <v>0</v>
      </c>
      <c r="T1702" s="113">
        <f t="shared" si="53"/>
        <v>0</v>
      </c>
    </row>
    <row r="1703" spans="8:20" x14ac:dyDescent="0.2">
      <c r="H1703" s="124"/>
      <c r="I1703" s="133" t="str">
        <f>IF(H1703&gt;0,(#REF!*H1703),"-")</f>
        <v>-</v>
      </c>
      <c r="S1703" s="113">
        <f t="shared" si="52"/>
        <v>0</v>
      </c>
      <c r="T1703" s="113">
        <f t="shared" si="53"/>
        <v>0</v>
      </c>
    </row>
    <row r="1704" spans="8:20" x14ac:dyDescent="0.2">
      <c r="H1704" s="124"/>
      <c r="I1704" s="133" t="str">
        <f>IF(H1704&gt;0,(#REF!*H1704),"-")</f>
        <v>-</v>
      </c>
      <c r="S1704" s="113">
        <f t="shared" si="52"/>
        <v>0</v>
      </c>
      <c r="T1704" s="113">
        <f t="shared" si="53"/>
        <v>0</v>
      </c>
    </row>
    <row r="1705" spans="8:20" x14ac:dyDescent="0.2">
      <c r="H1705" s="124"/>
      <c r="I1705" s="133" t="str">
        <f>IF(H1705&gt;0,(#REF!*H1705),"-")</f>
        <v>-</v>
      </c>
      <c r="S1705" s="113">
        <f t="shared" si="52"/>
        <v>0</v>
      </c>
      <c r="T1705" s="113">
        <f t="shared" si="53"/>
        <v>0</v>
      </c>
    </row>
    <row r="1706" spans="8:20" x14ac:dyDescent="0.2">
      <c r="H1706" s="124"/>
      <c r="I1706" s="133" t="str">
        <f>IF(H1706&gt;0,(#REF!*H1706),"-")</f>
        <v>-</v>
      </c>
      <c r="S1706" s="113">
        <f t="shared" si="52"/>
        <v>0</v>
      </c>
      <c r="T1706" s="113">
        <f t="shared" si="53"/>
        <v>0</v>
      </c>
    </row>
    <row r="1707" spans="8:20" x14ac:dyDescent="0.2">
      <c r="H1707" s="124"/>
      <c r="I1707" s="133" t="str">
        <f>IF(H1707&gt;0,(#REF!*H1707),"-")</f>
        <v>-</v>
      </c>
      <c r="S1707" s="113">
        <f t="shared" si="52"/>
        <v>0</v>
      </c>
      <c r="T1707" s="113">
        <f t="shared" si="53"/>
        <v>0</v>
      </c>
    </row>
    <row r="1708" spans="8:20" x14ac:dyDescent="0.2">
      <c r="H1708" s="124"/>
      <c r="I1708" s="133" t="str">
        <f>IF(H1708&gt;0,(#REF!*H1708),"-")</f>
        <v>-</v>
      </c>
      <c r="S1708" s="113">
        <f t="shared" si="52"/>
        <v>0</v>
      </c>
      <c r="T1708" s="113">
        <f t="shared" si="53"/>
        <v>0</v>
      </c>
    </row>
    <row r="1709" spans="8:20" x14ac:dyDescent="0.2">
      <c r="H1709" s="124"/>
      <c r="I1709" s="133" t="str">
        <f>IF(H1709&gt;0,(#REF!*H1709),"-")</f>
        <v>-</v>
      </c>
      <c r="S1709" s="113">
        <f t="shared" si="52"/>
        <v>0</v>
      </c>
      <c r="T1709" s="113">
        <f t="shared" si="53"/>
        <v>0</v>
      </c>
    </row>
    <row r="1710" spans="8:20" x14ac:dyDescent="0.2">
      <c r="H1710" s="124"/>
      <c r="I1710" s="133" t="str">
        <f>IF(H1710&gt;0,(#REF!*H1710),"-")</f>
        <v>-</v>
      </c>
      <c r="S1710" s="113">
        <f t="shared" si="52"/>
        <v>0</v>
      </c>
      <c r="T1710" s="113">
        <f t="shared" si="53"/>
        <v>0</v>
      </c>
    </row>
    <row r="1711" spans="8:20" x14ac:dyDescent="0.2">
      <c r="H1711" s="124"/>
      <c r="I1711" s="133" t="str">
        <f>IF(H1711&gt;0,(#REF!*H1711),"-")</f>
        <v>-</v>
      </c>
      <c r="S1711" s="113">
        <f t="shared" si="52"/>
        <v>0</v>
      </c>
      <c r="T1711" s="113">
        <f t="shared" si="53"/>
        <v>0</v>
      </c>
    </row>
    <row r="1712" spans="8:20" x14ac:dyDescent="0.2">
      <c r="H1712" s="124"/>
      <c r="I1712" s="133" t="str">
        <f>IF(H1712&gt;0,(#REF!*H1712),"-")</f>
        <v>-</v>
      </c>
      <c r="S1712" s="113">
        <f t="shared" si="52"/>
        <v>0</v>
      </c>
      <c r="T1712" s="113">
        <f t="shared" si="53"/>
        <v>0</v>
      </c>
    </row>
    <row r="1713" spans="8:20" x14ac:dyDescent="0.2">
      <c r="H1713" s="124"/>
      <c r="I1713" s="133" t="str">
        <f>IF(H1713&gt;0,(#REF!*H1713),"-")</f>
        <v>-</v>
      </c>
      <c r="S1713" s="113">
        <f t="shared" si="52"/>
        <v>0</v>
      </c>
      <c r="T1713" s="113">
        <f t="shared" si="53"/>
        <v>0</v>
      </c>
    </row>
    <row r="1714" spans="8:20" x14ac:dyDescent="0.2">
      <c r="H1714" s="124"/>
      <c r="I1714" s="133" t="str">
        <f>IF(H1714&gt;0,(#REF!*H1714),"-")</f>
        <v>-</v>
      </c>
      <c r="S1714" s="113">
        <f t="shared" si="52"/>
        <v>0</v>
      </c>
      <c r="T1714" s="113">
        <f t="shared" si="53"/>
        <v>0</v>
      </c>
    </row>
    <row r="1715" spans="8:20" x14ac:dyDescent="0.2">
      <c r="H1715" s="124"/>
      <c r="I1715" s="133" t="str">
        <f>IF(H1715&gt;0,(#REF!*H1715),"-")</f>
        <v>-</v>
      </c>
      <c r="S1715" s="113">
        <f t="shared" si="52"/>
        <v>0</v>
      </c>
      <c r="T1715" s="113">
        <f t="shared" si="53"/>
        <v>0</v>
      </c>
    </row>
    <row r="1716" spans="8:20" x14ac:dyDescent="0.2">
      <c r="H1716" s="124"/>
      <c r="I1716" s="133" t="str">
        <f>IF(H1716&gt;0,(#REF!*H1716),"-")</f>
        <v>-</v>
      </c>
      <c r="S1716" s="113">
        <f t="shared" si="52"/>
        <v>0</v>
      </c>
      <c r="T1716" s="113">
        <f t="shared" si="53"/>
        <v>0</v>
      </c>
    </row>
    <row r="1717" spans="8:20" x14ac:dyDescent="0.2">
      <c r="H1717" s="124"/>
      <c r="I1717" s="133" t="str">
        <f>IF(H1717&gt;0,(#REF!*H1717),"-")</f>
        <v>-</v>
      </c>
      <c r="S1717" s="113">
        <f t="shared" si="52"/>
        <v>0</v>
      </c>
      <c r="T1717" s="113">
        <f t="shared" si="53"/>
        <v>0</v>
      </c>
    </row>
    <row r="1718" spans="8:20" x14ac:dyDescent="0.2">
      <c r="H1718" s="124"/>
      <c r="I1718" s="133" t="str">
        <f>IF(H1718&gt;0,(#REF!*H1718),"-")</f>
        <v>-</v>
      </c>
      <c r="S1718" s="113">
        <f t="shared" si="52"/>
        <v>0</v>
      </c>
      <c r="T1718" s="113">
        <f t="shared" si="53"/>
        <v>0</v>
      </c>
    </row>
    <row r="1719" spans="8:20" x14ac:dyDescent="0.2">
      <c r="H1719" s="124"/>
      <c r="I1719" s="133" t="str">
        <f>IF(H1719&gt;0,(#REF!*H1719),"-")</f>
        <v>-</v>
      </c>
      <c r="S1719" s="113">
        <f t="shared" si="52"/>
        <v>0</v>
      </c>
      <c r="T1719" s="113">
        <f t="shared" si="53"/>
        <v>0</v>
      </c>
    </row>
    <row r="1720" spans="8:20" x14ac:dyDescent="0.2">
      <c r="H1720" s="124"/>
      <c r="I1720" s="133" t="str">
        <f>IF(H1720&gt;0,(#REF!*H1720),"-")</f>
        <v>-</v>
      </c>
      <c r="S1720" s="113">
        <f t="shared" si="52"/>
        <v>0</v>
      </c>
      <c r="T1720" s="113">
        <f t="shared" si="53"/>
        <v>0</v>
      </c>
    </row>
    <row r="1721" spans="8:20" x14ac:dyDescent="0.2">
      <c r="H1721" s="124"/>
      <c r="I1721" s="133" t="str">
        <f>IF(H1721&gt;0,(#REF!*H1721),"-")</f>
        <v>-</v>
      </c>
      <c r="S1721" s="113">
        <f t="shared" si="52"/>
        <v>0</v>
      </c>
      <c r="T1721" s="113">
        <f t="shared" si="53"/>
        <v>0</v>
      </c>
    </row>
    <row r="1722" spans="8:20" x14ac:dyDescent="0.2">
      <c r="H1722" s="124"/>
      <c r="I1722" s="133" t="str">
        <f>IF(H1722&gt;0,(#REF!*H1722),"-")</f>
        <v>-</v>
      </c>
      <c r="S1722" s="113">
        <f t="shared" si="52"/>
        <v>0</v>
      </c>
      <c r="T1722" s="113">
        <f t="shared" si="53"/>
        <v>0</v>
      </c>
    </row>
    <row r="1723" spans="8:20" x14ac:dyDescent="0.2">
      <c r="H1723" s="124"/>
      <c r="I1723" s="133" t="str">
        <f>IF(H1723&gt;0,(#REF!*H1723),"-")</f>
        <v>-</v>
      </c>
      <c r="S1723" s="113">
        <f t="shared" si="52"/>
        <v>0</v>
      </c>
      <c r="T1723" s="113">
        <f t="shared" si="53"/>
        <v>0</v>
      </c>
    </row>
    <row r="1724" spans="8:20" x14ac:dyDescent="0.2">
      <c r="H1724" s="124"/>
      <c r="I1724" s="133" t="str">
        <f>IF(H1724&gt;0,(#REF!*H1724),"-")</f>
        <v>-</v>
      </c>
      <c r="S1724" s="113">
        <f t="shared" si="52"/>
        <v>0</v>
      </c>
      <c r="T1724" s="113">
        <f t="shared" si="53"/>
        <v>0</v>
      </c>
    </row>
    <row r="1725" spans="8:20" x14ac:dyDescent="0.2">
      <c r="H1725" s="124"/>
      <c r="I1725" s="133" t="str">
        <f>IF(H1725&gt;0,(#REF!*H1725),"-")</f>
        <v>-</v>
      </c>
      <c r="S1725" s="113">
        <f t="shared" si="52"/>
        <v>0</v>
      </c>
      <c r="T1725" s="113">
        <f t="shared" si="53"/>
        <v>0</v>
      </c>
    </row>
    <row r="1726" spans="8:20" x14ac:dyDescent="0.2">
      <c r="H1726" s="124"/>
      <c r="I1726" s="133" t="str">
        <f>IF(H1726&gt;0,(#REF!*H1726),"-")</f>
        <v>-</v>
      </c>
      <c r="S1726" s="113">
        <f t="shared" si="52"/>
        <v>0</v>
      </c>
      <c r="T1726" s="113">
        <f t="shared" si="53"/>
        <v>0</v>
      </c>
    </row>
    <row r="1727" spans="8:20" x14ac:dyDescent="0.2">
      <c r="H1727" s="124"/>
      <c r="I1727" s="133" t="str">
        <f>IF(H1727&gt;0,(#REF!*H1727),"-")</f>
        <v>-</v>
      </c>
      <c r="S1727" s="113">
        <f t="shared" si="52"/>
        <v>0</v>
      </c>
      <c r="T1727" s="113">
        <f t="shared" si="53"/>
        <v>0</v>
      </c>
    </row>
    <row r="1728" spans="8:20" x14ac:dyDescent="0.2">
      <c r="H1728" s="124"/>
      <c r="I1728" s="133" t="str">
        <f>IF(H1728&gt;0,(#REF!*H1728),"-")</f>
        <v>-</v>
      </c>
      <c r="S1728" s="113">
        <f t="shared" si="52"/>
        <v>0</v>
      </c>
      <c r="T1728" s="113">
        <f t="shared" si="53"/>
        <v>0</v>
      </c>
    </row>
    <row r="1729" spans="8:20" x14ac:dyDescent="0.2">
      <c r="H1729" s="124"/>
      <c r="I1729" s="133" t="str">
        <f>IF(H1729&gt;0,(#REF!*H1729),"-")</f>
        <v>-</v>
      </c>
      <c r="S1729" s="113">
        <f t="shared" si="52"/>
        <v>0</v>
      </c>
      <c r="T1729" s="113">
        <f t="shared" si="53"/>
        <v>0</v>
      </c>
    </row>
    <row r="1730" spans="8:20" x14ac:dyDescent="0.2">
      <c r="H1730" s="124"/>
      <c r="I1730" s="133" t="str">
        <f>IF(H1730&gt;0,(#REF!*H1730),"-")</f>
        <v>-</v>
      </c>
      <c r="S1730" s="113">
        <f t="shared" ref="S1730:S1793" si="54">Q1730*H1730</f>
        <v>0</v>
      </c>
      <c r="T1730" s="113">
        <f t="shared" ref="T1730:T1793" si="55">R1730*H1730</f>
        <v>0</v>
      </c>
    </row>
    <row r="1731" spans="8:20" x14ac:dyDescent="0.2">
      <c r="H1731" s="124"/>
      <c r="I1731" s="133" t="str">
        <f>IF(H1731&gt;0,(#REF!*H1731),"-")</f>
        <v>-</v>
      </c>
      <c r="S1731" s="113">
        <f t="shared" si="54"/>
        <v>0</v>
      </c>
      <c r="T1731" s="113">
        <f t="shared" si="55"/>
        <v>0</v>
      </c>
    </row>
    <row r="1732" spans="8:20" x14ac:dyDescent="0.2">
      <c r="H1732" s="124"/>
      <c r="I1732" s="133" t="str">
        <f>IF(H1732&gt;0,(#REF!*H1732),"-")</f>
        <v>-</v>
      </c>
      <c r="S1732" s="113">
        <f t="shared" si="54"/>
        <v>0</v>
      </c>
      <c r="T1732" s="113">
        <f t="shared" si="55"/>
        <v>0</v>
      </c>
    </row>
    <row r="1733" spans="8:20" x14ac:dyDescent="0.2">
      <c r="H1733" s="124"/>
      <c r="I1733" s="133" t="str">
        <f>IF(H1733&gt;0,(#REF!*H1733),"-")</f>
        <v>-</v>
      </c>
      <c r="S1733" s="113">
        <f t="shared" si="54"/>
        <v>0</v>
      </c>
      <c r="T1733" s="113">
        <f t="shared" si="55"/>
        <v>0</v>
      </c>
    </row>
    <row r="1734" spans="8:20" x14ac:dyDescent="0.2">
      <c r="H1734" s="124"/>
      <c r="I1734" s="133" t="str">
        <f>IF(H1734&gt;0,(#REF!*H1734),"-")</f>
        <v>-</v>
      </c>
      <c r="S1734" s="113">
        <f t="shared" si="54"/>
        <v>0</v>
      </c>
      <c r="T1734" s="113">
        <f t="shared" si="55"/>
        <v>0</v>
      </c>
    </row>
    <row r="1735" spans="8:20" x14ac:dyDescent="0.2">
      <c r="H1735" s="124"/>
      <c r="I1735" s="133" t="str">
        <f>IF(H1735&gt;0,(#REF!*H1735),"-")</f>
        <v>-</v>
      </c>
      <c r="S1735" s="113">
        <f t="shared" si="54"/>
        <v>0</v>
      </c>
      <c r="T1735" s="113">
        <f t="shared" si="55"/>
        <v>0</v>
      </c>
    </row>
    <row r="1736" spans="8:20" x14ac:dyDescent="0.2">
      <c r="H1736" s="124"/>
      <c r="I1736" s="133" t="str">
        <f>IF(H1736&gt;0,(#REF!*H1736),"-")</f>
        <v>-</v>
      </c>
      <c r="S1736" s="113">
        <f t="shared" si="54"/>
        <v>0</v>
      </c>
      <c r="T1736" s="113">
        <f t="shared" si="55"/>
        <v>0</v>
      </c>
    </row>
    <row r="1737" spans="8:20" x14ac:dyDescent="0.2">
      <c r="H1737" s="124"/>
      <c r="I1737" s="133" t="str">
        <f>IF(H1737&gt;0,(#REF!*H1737),"-")</f>
        <v>-</v>
      </c>
      <c r="S1737" s="113">
        <f t="shared" si="54"/>
        <v>0</v>
      </c>
      <c r="T1737" s="113">
        <f t="shared" si="55"/>
        <v>0</v>
      </c>
    </row>
    <row r="1738" spans="8:20" x14ac:dyDescent="0.2">
      <c r="H1738" s="124"/>
      <c r="I1738" s="133" t="str">
        <f>IF(H1738&gt;0,(#REF!*H1738),"-")</f>
        <v>-</v>
      </c>
      <c r="S1738" s="113">
        <f t="shared" si="54"/>
        <v>0</v>
      </c>
      <c r="T1738" s="113">
        <f t="shared" si="55"/>
        <v>0</v>
      </c>
    </row>
    <row r="1739" spans="8:20" x14ac:dyDescent="0.2">
      <c r="H1739" s="124"/>
      <c r="I1739" s="133" t="str">
        <f>IF(H1739&gt;0,(#REF!*H1739),"-")</f>
        <v>-</v>
      </c>
      <c r="S1739" s="113">
        <f t="shared" si="54"/>
        <v>0</v>
      </c>
      <c r="T1739" s="113">
        <f t="shared" si="55"/>
        <v>0</v>
      </c>
    </row>
    <row r="1740" spans="8:20" x14ac:dyDescent="0.2">
      <c r="H1740" s="124"/>
      <c r="I1740" s="133" t="str">
        <f>IF(H1740&gt;0,(#REF!*H1740),"-")</f>
        <v>-</v>
      </c>
      <c r="S1740" s="113">
        <f t="shared" si="54"/>
        <v>0</v>
      </c>
      <c r="T1740" s="113">
        <f t="shared" si="55"/>
        <v>0</v>
      </c>
    </row>
    <row r="1741" spans="8:20" x14ac:dyDescent="0.2">
      <c r="H1741" s="124"/>
      <c r="I1741" s="133" t="str">
        <f>IF(H1741&gt;0,(#REF!*H1741),"-")</f>
        <v>-</v>
      </c>
      <c r="S1741" s="113">
        <f t="shared" si="54"/>
        <v>0</v>
      </c>
      <c r="T1741" s="113">
        <f t="shared" si="55"/>
        <v>0</v>
      </c>
    </row>
    <row r="1742" spans="8:20" x14ac:dyDescent="0.2">
      <c r="H1742" s="124"/>
      <c r="I1742" s="133" t="str">
        <f>IF(H1742&gt;0,(#REF!*H1742),"-")</f>
        <v>-</v>
      </c>
      <c r="S1742" s="113">
        <f t="shared" si="54"/>
        <v>0</v>
      </c>
      <c r="T1742" s="113">
        <f t="shared" si="55"/>
        <v>0</v>
      </c>
    </row>
    <row r="1743" spans="8:20" x14ac:dyDescent="0.2">
      <c r="H1743" s="124"/>
      <c r="I1743" s="133" t="str">
        <f>IF(H1743&gt;0,(#REF!*H1743),"-")</f>
        <v>-</v>
      </c>
      <c r="S1743" s="113">
        <f t="shared" si="54"/>
        <v>0</v>
      </c>
      <c r="T1743" s="113">
        <f t="shared" si="55"/>
        <v>0</v>
      </c>
    </row>
    <row r="1744" spans="8:20" x14ac:dyDescent="0.2">
      <c r="H1744" s="124"/>
      <c r="I1744" s="133" t="str">
        <f>IF(H1744&gt;0,(#REF!*H1744),"-")</f>
        <v>-</v>
      </c>
      <c r="S1744" s="113">
        <f t="shared" si="54"/>
        <v>0</v>
      </c>
      <c r="T1744" s="113">
        <f t="shared" si="55"/>
        <v>0</v>
      </c>
    </row>
    <row r="1745" spans="8:20" x14ac:dyDescent="0.2">
      <c r="H1745" s="124"/>
      <c r="I1745" s="133" t="str">
        <f>IF(H1745&gt;0,(#REF!*H1745),"-")</f>
        <v>-</v>
      </c>
      <c r="S1745" s="113">
        <f t="shared" si="54"/>
        <v>0</v>
      </c>
      <c r="T1745" s="113">
        <f t="shared" si="55"/>
        <v>0</v>
      </c>
    </row>
    <row r="1746" spans="8:20" x14ac:dyDescent="0.2">
      <c r="H1746" s="124"/>
      <c r="I1746" s="133" t="str">
        <f>IF(H1746&gt;0,(#REF!*H1746),"-")</f>
        <v>-</v>
      </c>
      <c r="S1746" s="113">
        <f t="shared" si="54"/>
        <v>0</v>
      </c>
      <c r="T1746" s="113">
        <f t="shared" si="55"/>
        <v>0</v>
      </c>
    </row>
    <row r="1747" spans="8:20" x14ac:dyDescent="0.2">
      <c r="H1747" s="124"/>
      <c r="I1747" s="133" t="str">
        <f>IF(H1747&gt;0,(#REF!*H1747),"-")</f>
        <v>-</v>
      </c>
      <c r="S1747" s="113">
        <f t="shared" si="54"/>
        <v>0</v>
      </c>
      <c r="T1747" s="113">
        <f t="shared" si="55"/>
        <v>0</v>
      </c>
    </row>
    <row r="1748" spans="8:20" x14ac:dyDescent="0.2">
      <c r="H1748" s="124"/>
      <c r="I1748" s="133" t="str">
        <f>IF(H1748&gt;0,(#REF!*H1748),"-")</f>
        <v>-</v>
      </c>
      <c r="S1748" s="113">
        <f t="shared" si="54"/>
        <v>0</v>
      </c>
      <c r="T1748" s="113">
        <f t="shared" si="55"/>
        <v>0</v>
      </c>
    </row>
    <row r="1749" spans="8:20" x14ac:dyDescent="0.2">
      <c r="H1749" s="124"/>
      <c r="I1749" s="133" t="str">
        <f>IF(H1749&gt;0,(#REF!*H1749),"-")</f>
        <v>-</v>
      </c>
      <c r="S1749" s="113">
        <f t="shared" si="54"/>
        <v>0</v>
      </c>
      <c r="T1749" s="113">
        <f t="shared" si="55"/>
        <v>0</v>
      </c>
    </row>
    <row r="1750" spans="8:20" x14ac:dyDescent="0.2">
      <c r="H1750" s="124"/>
      <c r="I1750" s="133" t="str">
        <f>IF(H1750&gt;0,(#REF!*H1750),"-")</f>
        <v>-</v>
      </c>
      <c r="S1750" s="113">
        <f t="shared" si="54"/>
        <v>0</v>
      </c>
      <c r="T1750" s="113">
        <f t="shared" si="55"/>
        <v>0</v>
      </c>
    </row>
    <row r="1751" spans="8:20" x14ac:dyDescent="0.2">
      <c r="H1751" s="124"/>
      <c r="I1751" s="133" t="str">
        <f>IF(H1751&gt;0,(#REF!*H1751),"-")</f>
        <v>-</v>
      </c>
      <c r="S1751" s="113">
        <f t="shared" si="54"/>
        <v>0</v>
      </c>
      <c r="T1751" s="113">
        <f t="shared" si="55"/>
        <v>0</v>
      </c>
    </row>
    <row r="1752" spans="8:20" x14ac:dyDescent="0.2">
      <c r="H1752" s="124"/>
      <c r="I1752" s="133" t="str">
        <f>IF(H1752&gt;0,(#REF!*H1752),"-")</f>
        <v>-</v>
      </c>
      <c r="S1752" s="113">
        <f t="shared" si="54"/>
        <v>0</v>
      </c>
      <c r="T1752" s="113">
        <f t="shared" si="55"/>
        <v>0</v>
      </c>
    </row>
    <row r="1753" spans="8:20" x14ac:dyDescent="0.2">
      <c r="H1753" s="124"/>
      <c r="I1753" s="133" t="str">
        <f>IF(H1753&gt;0,(#REF!*H1753),"-")</f>
        <v>-</v>
      </c>
      <c r="S1753" s="113">
        <f t="shared" si="54"/>
        <v>0</v>
      </c>
      <c r="T1753" s="113">
        <f t="shared" si="55"/>
        <v>0</v>
      </c>
    </row>
    <row r="1754" spans="8:20" x14ac:dyDescent="0.2">
      <c r="H1754" s="124"/>
      <c r="I1754" s="133" t="str">
        <f>IF(H1754&gt;0,(#REF!*H1754),"-")</f>
        <v>-</v>
      </c>
      <c r="S1754" s="113">
        <f t="shared" si="54"/>
        <v>0</v>
      </c>
      <c r="T1754" s="113">
        <f t="shared" si="55"/>
        <v>0</v>
      </c>
    </row>
    <row r="1755" spans="8:20" x14ac:dyDescent="0.2">
      <c r="H1755" s="124"/>
      <c r="I1755" s="133" t="str">
        <f>IF(H1755&gt;0,(#REF!*H1755),"-")</f>
        <v>-</v>
      </c>
      <c r="S1755" s="113">
        <f t="shared" si="54"/>
        <v>0</v>
      </c>
      <c r="T1755" s="113">
        <f t="shared" si="55"/>
        <v>0</v>
      </c>
    </row>
    <row r="1756" spans="8:20" x14ac:dyDescent="0.2">
      <c r="H1756" s="124"/>
      <c r="I1756" s="133" t="str">
        <f>IF(H1756&gt;0,(#REF!*H1756),"-")</f>
        <v>-</v>
      </c>
      <c r="S1756" s="113">
        <f t="shared" si="54"/>
        <v>0</v>
      </c>
      <c r="T1756" s="113">
        <f t="shared" si="55"/>
        <v>0</v>
      </c>
    </row>
    <row r="1757" spans="8:20" x14ac:dyDescent="0.2">
      <c r="H1757" s="124"/>
      <c r="I1757" s="133" t="str">
        <f>IF(H1757&gt;0,(#REF!*H1757),"-")</f>
        <v>-</v>
      </c>
      <c r="S1757" s="113">
        <f t="shared" si="54"/>
        <v>0</v>
      </c>
      <c r="T1757" s="113">
        <f t="shared" si="55"/>
        <v>0</v>
      </c>
    </row>
    <row r="1758" spans="8:20" x14ac:dyDescent="0.2">
      <c r="H1758" s="124"/>
      <c r="I1758" s="133" t="str">
        <f>IF(H1758&gt;0,(#REF!*H1758),"-")</f>
        <v>-</v>
      </c>
      <c r="S1758" s="113">
        <f t="shared" si="54"/>
        <v>0</v>
      </c>
      <c r="T1758" s="113">
        <f t="shared" si="55"/>
        <v>0</v>
      </c>
    </row>
    <row r="1759" spans="8:20" x14ac:dyDescent="0.2">
      <c r="H1759" s="124"/>
      <c r="I1759" s="133" t="str">
        <f>IF(H1759&gt;0,(#REF!*H1759),"-")</f>
        <v>-</v>
      </c>
      <c r="S1759" s="113">
        <f t="shared" si="54"/>
        <v>0</v>
      </c>
      <c r="T1759" s="113">
        <f t="shared" si="55"/>
        <v>0</v>
      </c>
    </row>
    <row r="1760" spans="8:20" x14ac:dyDescent="0.2">
      <c r="H1760" s="124"/>
      <c r="I1760" s="133" t="str">
        <f>IF(H1760&gt;0,(#REF!*H1760),"-")</f>
        <v>-</v>
      </c>
      <c r="S1760" s="113">
        <f t="shared" si="54"/>
        <v>0</v>
      </c>
      <c r="T1760" s="113">
        <f t="shared" si="55"/>
        <v>0</v>
      </c>
    </row>
    <row r="1761" spans="8:20" x14ac:dyDescent="0.2">
      <c r="H1761" s="124"/>
      <c r="I1761" s="133" t="str">
        <f>IF(H1761&gt;0,(#REF!*H1761),"-")</f>
        <v>-</v>
      </c>
      <c r="S1761" s="113">
        <f t="shared" si="54"/>
        <v>0</v>
      </c>
      <c r="T1761" s="113">
        <f t="shared" si="55"/>
        <v>0</v>
      </c>
    </row>
    <row r="1762" spans="8:20" x14ac:dyDescent="0.2">
      <c r="H1762" s="124"/>
      <c r="I1762" s="133" t="str">
        <f>IF(H1762&gt;0,(#REF!*H1762),"-")</f>
        <v>-</v>
      </c>
      <c r="S1762" s="113">
        <f t="shared" si="54"/>
        <v>0</v>
      </c>
      <c r="T1762" s="113">
        <f t="shared" si="55"/>
        <v>0</v>
      </c>
    </row>
    <row r="1763" spans="8:20" x14ac:dyDescent="0.2">
      <c r="H1763" s="124"/>
      <c r="I1763" s="133" t="str">
        <f>IF(H1763&gt;0,(#REF!*H1763),"-")</f>
        <v>-</v>
      </c>
      <c r="S1763" s="113">
        <f t="shared" si="54"/>
        <v>0</v>
      </c>
      <c r="T1763" s="113">
        <f t="shared" si="55"/>
        <v>0</v>
      </c>
    </row>
    <row r="1764" spans="8:20" x14ac:dyDescent="0.2">
      <c r="H1764" s="124"/>
      <c r="I1764" s="133" t="str">
        <f>IF(H1764&gt;0,(#REF!*H1764),"-")</f>
        <v>-</v>
      </c>
      <c r="S1764" s="113">
        <f t="shared" si="54"/>
        <v>0</v>
      </c>
      <c r="T1764" s="113">
        <f t="shared" si="55"/>
        <v>0</v>
      </c>
    </row>
    <row r="1765" spans="8:20" x14ac:dyDescent="0.2">
      <c r="H1765" s="124"/>
      <c r="I1765" s="133" t="str">
        <f>IF(H1765&gt;0,(#REF!*H1765),"-")</f>
        <v>-</v>
      </c>
      <c r="S1765" s="113">
        <f t="shared" si="54"/>
        <v>0</v>
      </c>
      <c r="T1765" s="113">
        <f t="shared" si="55"/>
        <v>0</v>
      </c>
    </row>
    <row r="1766" spans="8:20" x14ac:dyDescent="0.2">
      <c r="H1766" s="124"/>
      <c r="I1766" s="133" t="str">
        <f>IF(H1766&gt;0,(#REF!*H1766),"-")</f>
        <v>-</v>
      </c>
      <c r="S1766" s="113">
        <f t="shared" si="54"/>
        <v>0</v>
      </c>
      <c r="T1766" s="113">
        <f t="shared" si="55"/>
        <v>0</v>
      </c>
    </row>
    <row r="1767" spans="8:20" x14ac:dyDescent="0.2">
      <c r="H1767" s="124"/>
      <c r="I1767" s="133" t="str">
        <f>IF(H1767&gt;0,(#REF!*H1767),"-")</f>
        <v>-</v>
      </c>
      <c r="S1767" s="113">
        <f t="shared" si="54"/>
        <v>0</v>
      </c>
      <c r="T1767" s="113">
        <f t="shared" si="55"/>
        <v>0</v>
      </c>
    </row>
    <row r="1768" spans="8:20" x14ac:dyDescent="0.2">
      <c r="H1768" s="124"/>
      <c r="I1768" s="133" t="str">
        <f>IF(H1768&gt;0,(#REF!*H1768),"-")</f>
        <v>-</v>
      </c>
      <c r="S1768" s="113">
        <f t="shared" si="54"/>
        <v>0</v>
      </c>
      <c r="T1768" s="113">
        <f t="shared" si="55"/>
        <v>0</v>
      </c>
    </row>
    <row r="1769" spans="8:20" x14ac:dyDescent="0.2">
      <c r="H1769" s="124"/>
      <c r="I1769" s="133" t="str">
        <f>IF(H1769&gt;0,(#REF!*H1769),"-")</f>
        <v>-</v>
      </c>
      <c r="S1769" s="113">
        <f t="shared" si="54"/>
        <v>0</v>
      </c>
      <c r="T1769" s="113">
        <f t="shared" si="55"/>
        <v>0</v>
      </c>
    </row>
    <row r="1770" spans="8:20" x14ac:dyDescent="0.2">
      <c r="H1770" s="124"/>
      <c r="I1770" s="133" t="str">
        <f>IF(H1770&gt;0,(#REF!*H1770),"-")</f>
        <v>-</v>
      </c>
      <c r="S1770" s="113">
        <f t="shared" si="54"/>
        <v>0</v>
      </c>
      <c r="T1770" s="113">
        <f t="shared" si="55"/>
        <v>0</v>
      </c>
    </row>
    <row r="1771" spans="8:20" x14ac:dyDescent="0.2">
      <c r="H1771" s="124"/>
      <c r="I1771" s="133" t="str">
        <f>IF(H1771&gt;0,(#REF!*H1771),"-")</f>
        <v>-</v>
      </c>
      <c r="S1771" s="113">
        <f t="shared" si="54"/>
        <v>0</v>
      </c>
      <c r="T1771" s="113">
        <f t="shared" si="55"/>
        <v>0</v>
      </c>
    </row>
    <row r="1772" spans="8:20" x14ac:dyDescent="0.2">
      <c r="H1772" s="124"/>
      <c r="I1772" s="133" t="str">
        <f>IF(H1772&gt;0,(#REF!*H1772),"-")</f>
        <v>-</v>
      </c>
      <c r="S1772" s="113">
        <f t="shared" si="54"/>
        <v>0</v>
      </c>
      <c r="T1772" s="113">
        <f t="shared" si="55"/>
        <v>0</v>
      </c>
    </row>
    <row r="1773" spans="8:20" x14ac:dyDescent="0.2">
      <c r="H1773" s="124"/>
      <c r="I1773" s="133" t="str">
        <f>IF(H1773&gt;0,(#REF!*H1773),"-")</f>
        <v>-</v>
      </c>
      <c r="S1773" s="113">
        <f t="shared" si="54"/>
        <v>0</v>
      </c>
      <c r="T1773" s="113">
        <f t="shared" si="55"/>
        <v>0</v>
      </c>
    </row>
    <row r="1774" spans="8:20" x14ac:dyDescent="0.2">
      <c r="H1774" s="124"/>
      <c r="I1774" s="133" t="str">
        <f>IF(H1774&gt;0,(#REF!*H1774),"-")</f>
        <v>-</v>
      </c>
      <c r="S1774" s="113">
        <f t="shared" si="54"/>
        <v>0</v>
      </c>
      <c r="T1774" s="113">
        <f t="shared" si="55"/>
        <v>0</v>
      </c>
    </row>
    <row r="1775" spans="8:20" x14ac:dyDescent="0.2">
      <c r="H1775" s="124"/>
      <c r="I1775" s="133" t="str">
        <f>IF(H1775&gt;0,(#REF!*H1775),"-")</f>
        <v>-</v>
      </c>
      <c r="S1775" s="113">
        <f t="shared" si="54"/>
        <v>0</v>
      </c>
      <c r="T1775" s="113">
        <f t="shared" si="55"/>
        <v>0</v>
      </c>
    </row>
    <row r="1776" spans="8:20" x14ac:dyDescent="0.2">
      <c r="H1776" s="124"/>
      <c r="I1776" s="133" t="str">
        <f>IF(H1776&gt;0,(#REF!*H1776),"-")</f>
        <v>-</v>
      </c>
      <c r="S1776" s="113">
        <f t="shared" si="54"/>
        <v>0</v>
      </c>
      <c r="T1776" s="113">
        <f t="shared" si="55"/>
        <v>0</v>
      </c>
    </row>
    <row r="1777" spans="8:20" x14ac:dyDescent="0.2">
      <c r="H1777" s="124"/>
      <c r="I1777" s="133" t="str">
        <f>IF(H1777&gt;0,(#REF!*H1777),"-")</f>
        <v>-</v>
      </c>
      <c r="S1777" s="113">
        <f t="shared" si="54"/>
        <v>0</v>
      </c>
      <c r="T1777" s="113">
        <f t="shared" si="55"/>
        <v>0</v>
      </c>
    </row>
    <row r="1778" spans="8:20" x14ac:dyDescent="0.2">
      <c r="H1778" s="124"/>
      <c r="I1778" s="133" t="str">
        <f>IF(H1778&gt;0,(#REF!*H1778),"-")</f>
        <v>-</v>
      </c>
      <c r="S1778" s="113">
        <f t="shared" si="54"/>
        <v>0</v>
      </c>
      <c r="T1778" s="113">
        <f t="shared" si="55"/>
        <v>0</v>
      </c>
    </row>
    <row r="1779" spans="8:20" x14ac:dyDescent="0.2">
      <c r="H1779" s="124"/>
      <c r="I1779" s="133" t="str">
        <f>IF(H1779&gt;0,(#REF!*H1779),"-")</f>
        <v>-</v>
      </c>
      <c r="S1779" s="113">
        <f t="shared" si="54"/>
        <v>0</v>
      </c>
      <c r="T1779" s="113">
        <f t="shared" si="55"/>
        <v>0</v>
      </c>
    </row>
    <row r="1780" spans="8:20" x14ac:dyDescent="0.2">
      <c r="H1780" s="124"/>
      <c r="I1780" s="133" t="str">
        <f>IF(H1780&gt;0,(#REF!*H1780),"-")</f>
        <v>-</v>
      </c>
      <c r="S1780" s="113">
        <f t="shared" si="54"/>
        <v>0</v>
      </c>
      <c r="T1780" s="113">
        <f t="shared" si="55"/>
        <v>0</v>
      </c>
    </row>
    <row r="1781" spans="8:20" x14ac:dyDescent="0.2">
      <c r="H1781" s="124"/>
      <c r="I1781" s="133" t="str">
        <f>IF(H1781&gt;0,(#REF!*H1781),"-")</f>
        <v>-</v>
      </c>
      <c r="S1781" s="113">
        <f t="shared" si="54"/>
        <v>0</v>
      </c>
      <c r="T1781" s="113">
        <f t="shared" si="55"/>
        <v>0</v>
      </c>
    </row>
    <row r="1782" spans="8:20" x14ac:dyDescent="0.2">
      <c r="H1782" s="124"/>
      <c r="I1782" s="133" t="str">
        <f>IF(H1782&gt;0,(#REF!*H1782),"-")</f>
        <v>-</v>
      </c>
      <c r="S1782" s="113">
        <f t="shared" si="54"/>
        <v>0</v>
      </c>
      <c r="T1782" s="113">
        <f t="shared" si="55"/>
        <v>0</v>
      </c>
    </row>
    <row r="1783" spans="8:20" x14ac:dyDescent="0.2">
      <c r="H1783" s="124"/>
      <c r="I1783" s="133" t="str">
        <f>IF(H1783&gt;0,(#REF!*H1783),"-")</f>
        <v>-</v>
      </c>
      <c r="S1783" s="113">
        <f t="shared" si="54"/>
        <v>0</v>
      </c>
      <c r="T1783" s="113">
        <f t="shared" si="55"/>
        <v>0</v>
      </c>
    </row>
    <row r="1784" spans="8:20" x14ac:dyDescent="0.2">
      <c r="H1784" s="124"/>
      <c r="I1784" s="133" t="str">
        <f>IF(H1784&gt;0,(#REF!*H1784),"-")</f>
        <v>-</v>
      </c>
      <c r="S1784" s="113">
        <f t="shared" si="54"/>
        <v>0</v>
      </c>
      <c r="T1784" s="113">
        <f t="shared" si="55"/>
        <v>0</v>
      </c>
    </row>
    <row r="1785" spans="8:20" x14ac:dyDescent="0.2">
      <c r="H1785" s="124"/>
      <c r="I1785" s="133" t="str">
        <f>IF(H1785&gt;0,(#REF!*H1785),"-")</f>
        <v>-</v>
      </c>
      <c r="S1785" s="113">
        <f t="shared" si="54"/>
        <v>0</v>
      </c>
      <c r="T1785" s="113">
        <f t="shared" si="55"/>
        <v>0</v>
      </c>
    </row>
    <row r="1786" spans="8:20" x14ac:dyDescent="0.2">
      <c r="H1786" s="124"/>
      <c r="I1786" s="133" t="str">
        <f>IF(H1786&gt;0,(#REF!*H1786),"-")</f>
        <v>-</v>
      </c>
      <c r="S1786" s="113">
        <f t="shared" si="54"/>
        <v>0</v>
      </c>
      <c r="T1786" s="113">
        <f t="shared" si="55"/>
        <v>0</v>
      </c>
    </row>
    <row r="1787" spans="8:20" x14ac:dyDescent="0.2">
      <c r="H1787" s="124"/>
      <c r="I1787" s="133" t="str">
        <f>IF(H1787&gt;0,(#REF!*H1787),"-")</f>
        <v>-</v>
      </c>
      <c r="S1787" s="113">
        <f t="shared" si="54"/>
        <v>0</v>
      </c>
      <c r="T1787" s="113">
        <f t="shared" si="55"/>
        <v>0</v>
      </c>
    </row>
    <row r="1788" spans="8:20" x14ac:dyDescent="0.2">
      <c r="H1788" s="124"/>
      <c r="I1788" s="133" t="str">
        <f>IF(H1788&gt;0,(#REF!*H1788),"-")</f>
        <v>-</v>
      </c>
      <c r="S1788" s="113">
        <f t="shared" si="54"/>
        <v>0</v>
      </c>
      <c r="T1788" s="113">
        <f t="shared" si="55"/>
        <v>0</v>
      </c>
    </row>
    <row r="1789" spans="8:20" x14ac:dyDescent="0.2">
      <c r="H1789" s="124"/>
      <c r="I1789" s="133" t="str">
        <f>IF(H1789&gt;0,(#REF!*H1789),"-")</f>
        <v>-</v>
      </c>
      <c r="S1789" s="113">
        <f t="shared" si="54"/>
        <v>0</v>
      </c>
      <c r="T1789" s="113">
        <f t="shared" si="55"/>
        <v>0</v>
      </c>
    </row>
    <row r="1790" spans="8:20" x14ac:dyDescent="0.2">
      <c r="H1790" s="124"/>
      <c r="I1790" s="133" t="str">
        <f>IF(H1790&gt;0,(#REF!*H1790),"-")</f>
        <v>-</v>
      </c>
      <c r="S1790" s="113">
        <f t="shared" si="54"/>
        <v>0</v>
      </c>
      <c r="T1790" s="113">
        <f t="shared" si="55"/>
        <v>0</v>
      </c>
    </row>
    <row r="1791" spans="8:20" x14ac:dyDescent="0.2">
      <c r="H1791" s="124"/>
      <c r="I1791" s="133" t="str">
        <f>IF(H1791&gt;0,(#REF!*H1791),"-")</f>
        <v>-</v>
      </c>
      <c r="S1791" s="113">
        <f t="shared" si="54"/>
        <v>0</v>
      </c>
      <c r="T1791" s="113">
        <f t="shared" si="55"/>
        <v>0</v>
      </c>
    </row>
    <row r="1792" spans="8:20" x14ac:dyDescent="0.2">
      <c r="H1792" s="124"/>
      <c r="I1792" s="133" t="str">
        <f>IF(H1792&gt;0,(#REF!*H1792),"-")</f>
        <v>-</v>
      </c>
      <c r="S1792" s="113">
        <f t="shared" si="54"/>
        <v>0</v>
      </c>
      <c r="T1792" s="113">
        <f t="shared" si="55"/>
        <v>0</v>
      </c>
    </row>
    <row r="1793" spans="8:20" x14ac:dyDescent="0.2">
      <c r="H1793" s="124"/>
      <c r="I1793" s="133" t="str">
        <f>IF(H1793&gt;0,(#REF!*H1793),"-")</f>
        <v>-</v>
      </c>
      <c r="S1793" s="113">
        <f t="shared" si="54"/>
        <v>0</v>
      </c>
      <c r="T1793" s="113">
        <f t="shared" si="55"/>
        <v>0</v>
      </c>
    </row>
    <row r="1794" spans="8:20" x14ac:dyDescent="0.2">
      <c r="H1794" s="124"/>
      <c r="I1794" s="133" t="str">
        <f>IF(H1794&gt;0,(#REF!*H1794),"-")</f>
        <v>-</v>
      </c>
      <c r="S1794" s="113">
        <f t="shared" ref="S1794:S1857" si="56">Q1794*H1794</f>
        <v>0</v>
      </c>
      <c r="T1794" s="113">
        <f t="shared" ref="T1794:T1857" si="57">R1794*H1794</f>
        <v>0</v>
      </c>
    </row>
    <row r="1795" spans="8:20" x14ac:dyDescent="0.2">
      <c r="H1795" s="124"/>
      <c r="I1795" s="133" t="str">
        <f>IF(H1795&gt;0,(#REF!*H1795),"-")</f>
        <v>-</v>
      </c>
      <c r="S1795" s="113">
        <f t="shared" si="56"/>
        <v>0</v>
      </c>
      <c r="T1795" s="113">
        <f t="shared" si="57"/>
        <v>0</v>
      </c>
    </row>
    <row r="1796" spans="8:20" x14ac:dyDescent="0.2">
      <c r="H1796" s="124"/>
      <c r="I1796" s="133" t="str">
        <f>IF(H1796&gt;0,(#REF!*H1796),"-")</f>
        <v>-</v>
      </c>
      <c r="S1796" s="113">
        <f t="shared" si="56"/>
        <v>0</v>
      </c>
      <c r="T1796" s="113">
        <f t="shared" si="57"/>
        <v>0</v>
      </c>
    </row>
    <row r="1797" spans="8:20" x14ac:dyDescent="0.2">
      <c r="H1797" s="124"/>
      <c r="I1797" s="133" t="str">
        <f>IF(H1797&gt;0,(#REF!*H1797),"-")</f>
        <v>-</v>
      </c>
      <c r="S1797" s="113">
        <f t="shared" si="56"/>
        <v>0</v>
      </c>
      <c r="T1797" s="113">
        <f t="shared" si="57"/>
        <v>0</v>
      </c>
    </row>
    <row r="1798" spans="8:20" x14ac:dyDescent="0.2">
      <c r="H1798" s="124"/>
      <c r="I1798" s="133" t="str">
        <f>IF(H1798&gt;0,(#REF!*H1798),"-")</f>
        <v>-</v>
      </c>
      <c r="S1798" s="113">
        <f t="shared" si="56"/>
        <v>0</v>
      </c>
      <c r="T1798" s="113">
        <f t="shared" si="57"/>
        <v>0</v>
      </c>
    </row>
    <row r="1799" spans="8:20" x14ac:dyDescent="0.2">
      <c r="H1799" s="124"/>
      <c r="I1799" s="133" t="str">
        <f>IF(H1799&gt;0,(#REF!*H1799),"-")</f>
        <v>-</v>
      </c>
      <c r="S1799" s="113">
        <f t="shared" si="56"/>
        <v>0</v>
      </c>
      <c r="T1799" s="113">
        <f t="shared" si="57"/>
        <v>0</v>
      </c>
    </row>
    <row r="1800" spans="8:20" x14ac:dyDescent="0.2">
      <c r="H1800" s="124"/>
      <c r="I1800" s="133" t="str">
        <f>IF(H1800&gt;0,(#REF!*H1800),"-")</f>
        <v>-</v>
      </c>
      <c r="S1800" s="113">
        <f t="shared" si="56"/>
        <v>0</v>
      </c>
      <c r="T1800" s="113">
        <f t="shared" si="57"/>
        <v>0</v>
      </c>
    </row>
    <row r="1801" spans="8:20" x14ac:dyDescent="0.2">
      <c r="H1801" s="124"/>
      <c r="I1801" s="133" t="str">
        <f>IF(H1801&gt;0,(#REF!*H1801),"-")</f>
        <v>-</v>
      </c>
      <c r="S1801" s="113">
        <f t="shared" si="56"/>
        <v>0</v>
      </c>
      <c r="T1801" s="113">
        <f t="shared" si="57"/>
        <v>0</v>
      </c>
    </row>
    <row r="1802" spans="8:20" x14ac:dyDescent="0.2">
      <c r="H1802" s="124"/>
      <c r="I1802" s="133" t="str">
        <f>IF(H1802&gt;0,(#REF!*H1802),"-")</f>
        <v>-</v>
      </c>
      <c r="S1802" s="113">
        <f t="shared" si="56"/>
        <v>0</v>
      </c>
      <c r="T1802" s="113">
        <f t="shared" si="57"/>
        <v>0</v>
      </c>
    </row>
    <row r="1803" spans="8:20" x14ac:dyDescent="0.2">
      <c r="H1803" s="124"/>
      <c r="I1803" s="133" t="str">
        <f>IF(H1803&gt;0,(#REF!*H1803),"-")</f>
        <v>-</v>
      </c>
      <c r="S1803" s="113">
        <f t="shared" si="56"/>
        <v>0</v>
      </c>
      <c r="T1803" s="113">
        <f t="shared" si="57"/>
        <v>0</v>
      </c>
    </row>
    <row r="1804" spans="8:20" x14ac:dyDescent="0.2">
      <c r="H1804" s="124"/>
      <c r="I1804" s="133" t="str">
        <f>IF(H1804&gt;0,(#REF!*H1804),"-")</f>
        <v>-</v>
      </c>
      <c r="S1804" s="113">
        <f t="shared" si="56"/>
        <v>0</v>
      </c>
      <c r="T1804" s="113">
        <f t="shared" si="57"/>
        <v>0</v>
      </c>
    </row>
    <row r="1805" spans="8:20" x14ac:dyDescent="0.2">
      <c r="H1805" s="124"/>
      <c r="I1805" s="133" t="str">
        <f>IF(H1805&gt;0,(#REF!*H1805),"-")</f>
        <v>-</v>
      </c>
      <c r="S1805" s="113">
        <f t="shared" si="56"/>
        <v>0</v>
      </c>
      <c r="T1805" s="113">
        <f t="shared" si="57"/>
        <v>0</v>
      </c>
    </row>
    <row r="1806" spans="8:20" x14ac:dyDescent="0.2">
      <c r="H1806" s="124"/>
      <c r="I1806" s="133" t="str">
        <f>IF(H1806&gt;0,(#REF!*H1806),"-")</f>
        <v>-</v>
      </c>
      <c r="S1806" s="113">
        <f t="shared" si="56"/>
        <v>0</v>
      </c>
      <c r="T1806" s="113">
        <f t="shared" si="57"/>
        <v>0</v>
      </c>
    </row>
    <row r="1807" spans="8:20" x14ac:dyDescent="0.2">
      <c r="H1807" s="124"/>
      <c r="I1807" s="133" t="str">
        <f>IF(H1807&gt;0,(#REF!*H1807),"-")</f>
        <v>-</v>
      </c>
      <c r="S1807" s="113">
        <f t="shared" si="56"/>
        <v>0</v>
      </c>
      <c r="T1807" s="113">
        <f t="shared" si="57"/>
        <v>0</v>
      </c>
    </row>
    <row r="1808" spans="8:20" x14ac:dyDescent="0.2">
      <c r="H1808" s="124"/>
      <c r="I1808" s="133" t="str">
        <f>IF(H1808&gt;0,(#REF!*H1808),"-")</f>
        <v>-</v>
      </c>
      <c r="S1808" s="113">
        <f t="shared" si="56"/>
        <v>0</v>
      </c>
      <c r="T1808" s="113">
        <f t="shared" si="57"/>
        <v>0</v>
      </c>
    </row>
    <row r="1809" spans="8:20" x14ac:dyDescent="0.2">
      <c r="H1809" s="124"/>
      <c r="I1809" s="133" t="str">
        <f>IF(H1809&gt;0,(#REF!*H1809),"-")</f>
        <v>-</v>
      </c>
      <c r="S1809" s="113">
        <f t="shared" si="56"/>
        <v>0</v>
      </c>
      <c r="T1809" s="113">
        <f t="shared" si="57"/>
        <v>0</v>
      </c>
    </row>
    <row r="1810" spans="8:20" x14ac:dyDescent="0.2">
      <c r="H1810" s="124"/>
      <c r="I1810" s="133" t="str">
        <f>IF(H1810&gt;0,(#REF!*H1810),"-")</f>
        <v>-</v>
      </c>
      <c r="S1810" s="113">
        <f t="shared" si="56"/>
        <v>0</v>
      </c>
      <c r="T1810" s="113">
        <f t="shared" si="57"/>
        <v>0</v>
      </c>
    </row>
    <row r="1811" spans="8:20" x14ac:dyDescent="0.2">
      <c r="H1811" s="124"/>
      <c r="I1811" s="133" t="str">
        <f>IF(H1811&gt;0,(#REF!*H1811),"-")</f>
        <v>-</v>
      </c>
      <c r="S1811" s="113">
        <f t="shared" si="56"/>
        <v>0</v>
      </c>
      <c r="T1811" s="113">
        <f t="shared" si="57"/>
        <v>0</v>
      </c>
    </row>
    <row r="1812" spans="8:20" x14ac:dyDescent="0.2">
      <c r="H1812" s="124"/>
      <c r="I1812" s="133" t="str">
        <f>IF(H1812&gt;0,(#REF!*H1812),"-")</f>
        <v>-</v>
      </c>
      <c r="S1812" s="113">
        <f t="shared" si="56"/>
        <v>0</v>
      </c>
      <c r="T1812" s="113">
        <f t="shared" si="57"/>
        <v>0</v>
      </c>
    </row>
    <row r="1813" spans="8:20" x14ac:dyDescent="0.2">
      <c r="H1813" s="124"/>
      <c r="I1813" s="133" t="str">
        <f>IF(H1813&gt;0,(#REF!*H1813),"-")</f>
        <v>-</v>
      </c>
      <c r="S1813" s="113">
        <f t="shared" si="56"/>
        <v>0</v>
      </c>
      <c r="T1813" s="113">
        <f t="shared" si="57"/>
        <v>0</v>
      </c>
    </row>
    <row r="1814" spans="8:20" x14ac:dyDescent="0.2">
      <c r="H1814" s="124"/>
      <c r="I1814" s="133" t="str">
        <f>IF(H1814&gt;0,(#REF!*H1814),"-")</f>
        <v>-</v>
      </c>
      <c r="S1814" s="113">
        <f t="shared" si="56"/>
        <v>0</v>
      </c>
      <c r="T1814" s="113">
        <f t="shared" si="57"/>
        <v>0</v>
      </c>
    </row>
    <row r="1815" spans="8:20" x14ac:dyDescent="0.2">
      <c r="H1815" s="124"/>
      <c r="I1815" s="133" t="str">
        <f>IF(H1815&gt;0,(#REF!*H1815),"-")</f>
        <v>-</v>
      </c>
      <c r="S1815" s="113">
        <f t="shared" si="56"/>
        <v>0</v>
      </c>
      <c r="T1815" s="113">
        <f t="shared" si="57"/>
        <v>0</v>
      </c>
    </row>
    <row r="1816" spans="8:20" x14ac:dyDescent="0.2">
      <c r="H1816" s="124"/>
      <c r="I1816" s="133" t="str">
        <f>IF(H1816&gt;0,(#REF!*H1816),"-")</f>
        <v>-</v>
      </c>
      <c r="S1816" s="113">
        <f t="shared" si="56"/>
        <v>0</v>
      </c>
      <c r="T1816" s="113">
        <f t="shared" si="57"/>
        <v>0</v>
      </c>
    </row>
    <row r="1817" spans="8:20" x14ac:dyDescent="0.2">
      <c r="H1817" s="124"/>
      <c r="I1817" s="133" t="str">
        <f>IF(H1817&gt;0,(#REF!*H1817),"-")</f>
        <v>-</v>
      </c>
      <c r="S1817" s="113">
        <f t="shared" si="56"/>
        <v>0</v>
      </c>
      <c r="T1817" s="113">
        <f t="shared" si="57"/>
        <v>0</v>
      </c>
    </row>
    <row r="1818" spans="8:20" x14ac:dyDescent="0.2">
      <c r="H1818" s="124"/>
      <c r="I1818" s="133" t="str">
        <f>IF(H1818&gt;0,(#REF!*H1818),"-")</f>
        <v>-</v>
      </c>
      <c r="S1818" s="113">
        <f t="shared" si="56"/>
        <v>0</v>
      </c>
      <c r="T1818" s="113">
        <f t="shared" si="57"/>
        <v>0</v>
      </c>
    </row>
    <row r="1819" spans="8:20" x14ac:dyDescent="0.2">
      <c r="H1819" s="124"/>
      <c r="I1819" s="133" t="str">
        <f>IF(H1819&gt;0,(#REF!*H1819),"-")</f>
        <v>-</v>
      </c>
      <c r="S1819" s="113">
        <f t="shared" si="56"/>
        <v>0</v>
      </c>
      <c r="T1819" s="113">
        <f t="shared" si="57"/>
        <v>0</v>
      </c>
    </row>
    <row r="1820" spans="8:20" x14ac:dyDescent="0.2">
      <c r="H1820" s="124"/>
      <c r="I1820" s="133" t="str">
        <f>IF(H1820&gt;0,(#REF!*H1820),"-")</f>
        <v>-</v>
      </c>
      <c r="S1820" s="113">
        <f t="shared" si="56"/>
        <v>0</v>
      </c>
      <c r="T1820" s="113">
        <f t="shared" si="57"/>
        <v>0</v>
      </c>
    </row>
    <row r="1821" spans="8:20" x14ac:dyDescent="0.2">
      <c r="H1821" s="124"/>
      <c r="I1821" s="133" t="str">
        <f>IF(H1821&gt;0,(#REF!*H1821),"-")</f>
        <v>-</v>
      </c>
      <c r="S1821" s="113">
        <f t="shared" si="56"/>
        <v>0</v>
      </c>
      <c r="T1821" s="113">
        <f t="shared" si="57"/>
        <v>0</v>
      </c>
    </row>
    <row r="1822" spans="8:20" x14ac:dyDescent="0.2">
      <c r="H1822" s="124"/>
      <c r="I1822" s="133" t="str">
        <f>IF(H1822&gt;0,(#REF!*H1822),"-")</f>
        <v>-</v>
      </c>
      <c r="S1822" s="113">
        <f t="shared" si="56"/>
        <v>0</v>
      </c>
      <c r="T1822" s="113">
        <f t="shared" si="57"/>
        <v>0</v>
      </c>
    </row>
    <row r="1823" spans="8:20" x14ac:dyDescent="0.2">
      <c r="H1823" s="124"/>
      <c r="I1823" s="133" t="str">
        <f>IF(H1823&gt;0,(#REF!*H1823),"-")</f>
        <v>-</v>
      </c>
      <c r="S1823" s="113">
        <f t="shared" si="56"/>
        <v>0</v>
      </c>
      <c r="T1823" s="113">
        <f t="shared" si="57"/>
        <v>0</v>
      </c>
    </row>
    <row r="1824" spans="8:20" x14ac:dyDescent="0.2">
      <c r="H1824" s="124"/>
      <c r="I1824" s="133" t="str">
        <f>IF(H1824&gt;0,(#REF!*H1824),"-")</f>
        <v>-</v>
      </c>
      <c r="S1824" s="113">
        <f t="shared" si="56"/>
        <v>0</v>
      </c>
      <c r="T1824" s="113">
        <f t="shared" si="57"/>
        <v>0</v>
      </c>
    </row>
    <row r="1825" spans="8:20" x14ac:dyDescent="0.2">
      <c r="H1825" s="124"/>
      <c r="I1825" s="133" t="str">
        <f>IF(H1825&gt;0,(#REF!*H1825),"-")</f>
        <v>-</v>
      </c>
      <c r="S1825" s="113">
        <f t="shared" si="56"/>
        <v>0</v>
      </c>
      <c r="T1825" s="113">
        <f t="shared" si="57"/>
        <v>0</v>
      </c>
    </row>
    <row r="1826" spans="8:20" x14ac:dyDescent="0.2">
      <c r="H1826" s="124"/>
      <c r="I1826" s="133" t="str">
        <f>IF(H1826&gt;0,(#REF!*H1826),"-")</f>
        <v>-</v>
      </c>
      <c r="S1826" s="113">
        <f t="shared" si="56"/>
        <v>0</v>
      </c>
      <c r="T1826" s="113">
        <f t="shared" si="57"/>
        <v>0</v>
      </c>
    </row>
    <row r="1827" spans="8:20" x14ac:dyDescent="0.2">
      <c r="H1827" s="124"/>
      <c r="I1827" s="133" t="str">
        <f>IF(H1827&gt;0,(#REF!*H1827),"-")</f>
        <v>-</v>
      </c>
      <c r="S1827" s="113">
        <f t="shared" si="56"/>
        <v>0</v>
      </c>
      <c r="T1827" s="113">
        <f t="shared" si="57"/>
        <v>0</v>
      </c>
    </row>
    <row r="1828" spans="8:20" x14ac:dyDescent="0.2">
      <c r="H1828" s="124"/>
      <c r="I1828" s="133" t="str">
        <f>IF(H1828&gt;0,(#REF!*H1828),"-")</f>
        <v>-</v>
      </c>
      <c r="S1828" s="113">
        <f t="shared" si="56"/>
        <v>0</v>
      </c>
      <c r="T1828" s="113">
        <f t="shared" si="57"/>
        <v>0</v>
      </c>
    </row>
    <row r="1829" spans="8:20" x14ac:dyDescent="0.2">
      <c r="H1829" s="124"/>
      <c r="I1829" s="133" t="str">
        <f>IF(H1829&gt;0,(#REF!*H1829),"-")</f>
        <v>-</v>
      </c>
      <c r="S1829" s="113">
        <f t="shared" si="56"/>
        <v>0</v>
      </c>
      <c r="T1829" s="113">
        <f t="shared" si="57"/>
        <v>0</v>
      </c>
    </row>
    <row r="1830" spans="8:20" x14ac:dyDescent="0.2">
      <c r="H1830" s="124"/>
      <c r="I1830" s="133" t="str">
        <f>IF(H1830&gt;0,(#REF!*H1830),"-")</f>
        <v>-</v>
      </c>
      <c r="S1830" s="113">
        <f t="shared" si="56"/>
        <v>0</v>
      </c>
      <c r="T1830" s="113">
        <f t="shared" si="57"/>
        <v>0</v>
      </c>
    </row>
    <row r="1831" spans="8:20" x14ac:dyDescent="0.2">
      <c r="H1831" s="124"/>
      <c r="I1831" s="133" t="str">
        <f>IF(H1831&gt;0,(#REF!*H1831),"-")</f>
        <v>-</v>
      </c>
      <c r="S1831" s="113">
        <f t="shared" si="56"/>
        <v>0</v>
      </c>
      <c r="T1831" s="113">
        <f t="shared" si="57"/>
        <v>0</v>
      </c>
    </row>
    <row r="1832" spans="8:20" x14ac:dyDescent="0.2">
      <c r="H1832" s="124"/>
      <c r="I1832" s="133" t="str">
        <f>IF(H1832&gt;0,(#REF!*H1832),"-")</f>
        <v>-</v>
      </c>
      <c r="S1832" s="113">
        <f t="shared" si="56"/>
        <v>0</v>
      </c>
      <c r="T1832" s="113">
        <f t="shared" si="57"/>
        <v>0</v>
      </c>
    </row>
    <row r="1833" spans="8:20" x14ac:dyDescent="0.2">
      <c r="H1833" s="124"/>
      <c r="I1833" s="133" t="str">
        <f>IF(H1833&gt;0,(#REF!*H1833),"-")</f>
        <v>-</v>
      </c>
      <c r="S1833" s="113">
        <f t="shared" si="56"/>
        <v>0</v>
      </c>
      <c r="T1833" s="113">
        <f t="shared" si="57"/>
        <v>0</v>
      </c>
    </row>
    <row r="1834" spans="8:20" x14ac:dyDescent="0.2">
      <c r="H1834" s="124"/>
      <c r="I1834" s="133" t="str">
        <f>IF(H1834&gt;0,(#REF!*H1834),"-")</f>
        <v>-</v>
      </c>
      <c r="S1834" s="113">
        <f t="shared" si="56"/>
        <v>0</v>
      </c>
      <c r="T1834" s="113">
        <f t="shared" si="57"/>
        <v>0</v>
      </c>
    </row>
    <row r="1835" spans="8:20" x14ac:dyDescent="0.2">
      <c r="H1835" s="124"/>
      <c r="I1835" s="133" t="str">
        <f>IF(H1835&gt;0,(#REF!*H1835),"-")</f>
        <v>-</v>
      </c>
      <c r="S1835" s="113">
        <f t="shared" si="56"/>
        <v>0</v>
      </c>
      <c r="T1835" s="113">
        <f t="shared" si="57"/>
        <v>0</v>
      </c>
    </row>
    <row r="1836" spans="8:20" x14ac:dyDescent="0.2">
      <c r="H1836" s="124"/>
      <c r="I1836" s="133" t="str">
        <f>IF(H1836&gt;0,(#REF!*H1836),"-")</f>
        <v>-</v>
      </c>
      <c r="S1836" s="113">
        <f t="shared" si="56"/>
        <v>0</v>
      </c>
      <c r="T1836" s="113">
        <f t="shared" si="57"/>
        <v>0</v>
      </c>
    </row>
    <row r="1837" spans="8:20" x14ac:dyDescent="0.2">
      <c r="H1837" s="124"/>
      <c r="I1837" s="133" t="str">
        <f>IF(H1837&gt;0,(#REF!*H1837),"-")</f>
        <v>-</v>
      </c>
      <c r="S1837" s="113">
        <f t="shared" si="56"/>
        <v>0</v>
      </c>
      <c r="T1837" s="113">
        <f t="shared" si="57"/>
        <v>0</v>
      </c>
    </row>
    <row r="1838" spans="8:20" x14ac:dyDescent="0.2">
      <c r="H1838" s="124"/>
      <c r="I1838" s="133" t="str">
        <f>IF(H1838&gt;0,(#REF!*H1838),"-")</f>
        <v>-</v>
      </c>
      <c r="S1838" s="113">
        <f t="shared" si="56"/>
        <v>0</v>
      </c>
      <c r="T1838" s="113">
        <f t="shared" si="57"/>
        <v>0</v>
      </c>
    </row>
    <row r="1839" spans="8:20" x14ac:dyDescent="0.2">
      <c r="H1839" s="124"/>
      <c r="I1839" s="133" t="str">
        <f>IF(H1839&gt;0,(#REF!*H1839),"-")</f>
        <v>-</v>
      </c>
      <c r="S1839" s="113">
        <f t="shared" si="56"/>
        <v>0</v>
      </c>
      <c r="T1839" s="113">
        <f t="shared" si="57"/>
        <v>0</v>
      </c>
    </row>
    <row r="1840" spans="8:20" x14ac:dyDescent="0.2">
      <c r="H1840" s="124"/>
      <c r="I1840" s="133" t="str">
        <f>IF(H1840&gt;0,(#REF!*H1840),"-")</f>
        <v>-</v>
      </c>
      <c r="S1840" s="113">
        <f t="shared" si="56"/>
        <v>0</v>
      </c>
      <c r="T1840" s="113">
        <f t="shared" si="57"/>
        <v>0</v>
      </c>
    </row>
    <row r="1841" spans="8:20" x14ac:dyDescent="0.2">
      <c r="H1841" s="124"/>
      <c r="I1841" s="133" t="str">
        <f>IF(H1841&gt;0,(#REF!*H1841),"-")</f>
        <v>-</v>
      </c>
      <c r="S1841" s="113">
        <f t="shared" si="56"/>
        <v>0</v>
      </c>
      <c r="T1841" s="113">
        <f t="shared" si="57"/>
        <v>0</v>
      </c>
    </row>
    <row r="1842" spans="8:20" x14ac:dyDescent="0.2">
      <c r="H1842" s="124"/>
      <c r="I1842" s="133" t="str">
        <f>IF(H1842&gt;0,(#REF!*H1842),"-")</f>
        <v>-</v>
      </c>
      <c r="S1842" s="113">
        <f t="shared" si="56"/>
        <v>0</v>
      </c>
      <c r="T1842" s="113">
        <f t="shared" si="57"/>
        <v>0</v>
      </c>
    </row>
    <row r="1843" spans="8:20" x14ac:dyDescent="0.2">
      <c r="H1843" s="124"/>
      <c r="I1843" s="133" t="str">
        <f>IF(H1843&gt;0,(#REF!*H1843),"-")</f>
        <v>-</v>
      </c>
      <c r="S1843" s="113">
        <f t="shared" si="56"/>
        <v>0</v>
      </c>
      <c r="T1843" s="113">
        <f t="shared" si="57"/>
        <v>0</v>
      </c>
    </row>
    <row r="1844" spans="8:20" x14ac:dyDescent="0.2">
      <c r="H1844" s="124"/>
      <c r="I1844" s="133" t="str">
        <f>IF(H1844&gt;0,(#REF!*H1844),"-")</f>
        <v>-</v>
      </c>
      <c r="S1844" s="113">
        <f t="shared" si="56"/>
        <v>0</v>
      </c>
      <c r="T1844" s="113">
        <f t="shared" si="57"/>
        <v>0</v>
      </c>
    </row>
    <row r="1845" spans="8:20" x14ac:dyDescent="0.2">
      <c r="H1845" s="124"/>
      <c r="I1845" s="133" t="str">
        <f>IF(H1845&gt;0,(#REF!*H1845),"-")</f>
        <v>-</v>
      </c>
      <c r="S1845" s="113">
        <f t="shared" si="56"/>
        <v>0</v>
      </c>
      <c r="T1845" s="113">
        <f t="shared" si="57"/>
        <v>0</v>
      </c>
    </row>
    <row r="1846" spans="8:20" x14ac:dyDescent="0.2">
      <c r="H1846" s="124"/>
      <c r="I1846" s="133" t="str">
        <f>IF(H1846&gt;0,(#REF!*H1846),"-")</f>
        <v>-</v>
      </c>
      <c r="S1846" s="113">
        <f t="shared" si="56"/>
        <v>0</v>
      </c>
      <c r="T1846" s="113">
        <f t="shared" si="57"/>
        <v>0</v>
      </c>
    </row>
    <row r="1847" spans="8:20" x14ac:dyDescent="0.2">
      <c r="H1847" s="124"/>
      <c r="I1847" s="133" t="str">
        <f>IF(H1847&gt;0,(#REF!*H1847),"-")</f>
        <v>-</v>
      </c>
      <c r="S1847" s="113">
        <f t="shared" si="56"/>
        <v>0</v>
      </c>
      <c r="T1847" s="113">
        <f t="shared" si="57"/>
        <v>0</v>
      </c>
    </row>
    <row r="1848" spans="8:20" x14ac:dyDescent="0.2">
      <c r="H1848" s="124"/>
      <c r="I1848" s="133" t="str">
        <f>IF(H1848&gt;0,(#REF!*H1848),"-")</f>
        <v>-</v>
      </c>
      <c r="S1848" s="113">
        <f t="shared" si="56"/>
        <v>0</v>
      </c>
      <c r="T1848" s="113">
        <f t="shared" si="57"/>
        <v>0</v>
      </c>
    </row>
    <row r="1849" spans="8:20" x14ac:dyDescent="0.2">
      <c r="H1849" s="124"/>
      <c r="I1849" s="133" t="str">
        <f>IF(H1849&gt;0,(#REF!*H1849),"-")</f>
        <v>-</v>
      </c>
      <c r="S1849" s="113">
        <f t="shared" si="56"/>
        <v>0</v>
      </c>
      <c r="T1849" s="113">
        <f t="shared" si="57"/>
        <v>0</v>
      </c>
    </row>
    <row r="1850" spans="8:20" x14ac:dyDescent="0.2">
      <c r="H1850" s="124"/>
      <c r="I1850" s="133" t="str">
        <f>IF(H1850&gt;0,(#REF!*H1850),"-")</f>
        <v>-</v>
      </c>
      <c r="S1850" s="113">
        <f t="shared" si="56"/>
        <v>0</v>
      </c>
      <c r="T1850" s="113">
        <f t="shared" si="57"/>
        <v>0</v>
      </c>
    </row>
    <row r="1851" spans="8:20" x14ac:dyDescent="0.2">
      <c r="H1851" s="124"/>
      <c r="I1851" s="133" t="str">
        <f>IF(H1851&gt;0,(#REF!*H1851),"-")</f>
        <v>-</v>
      </c>
      <c r="S1851" s="113">
        <f t="shared" si="56"/>
        <v>0</v>
      </c>
      <c r="T1851" s="113">
        <f t="shared" si="57"/>
        <v>0</v>
      </c>
    </row>
    <row r="1852" spans="8:20" x14ac:dyDescent="0.2">
      <c r="H1852" s="124"/>
      <c r="I1852" s="133" t="str">
        <f>IF(H1852&gt;0,(#REF!*H1852),"-")</f>
        <v>-</v>
      </c>
      <c r="S1852" s="113">
        <f t="shared" si="56"/>
        <v>0</v>
      </c>
      <c r="T1852" s="113">
        <f t="shared" si="57"/>
        <v>0</v>
      </c>
    </row>
    <row r="1853" spans="8:20" x14ac:dyDescent="0.2">
      <c r="H1853" s="124"/>
      <c r="I1853" s="133" t="str">
        <f>IF(H1853&gt;0,(#REF!*H1853),"-")</f>
        <v>-</v>
      </c>
      <c r="S1853" s="113">
        <f t="shared" si="56"/>
        <v>0</v>
      </c>
      <c r="T1853" s="113">
        <f t="shared" si="57"/>
        <v>0</v>
      </c>
    </row>
    <row r="1854" spans="8:20" x14ac:dyDescent="0.2">
      <c r="H1854" s="124"/>
      <c r="I1854" s="133" t="str">
        <f>IF(H1854&gt;0,(#REF!*H1854),"-")</f>
        <v>-</v>
      </c>
      <c r="S1854" s="113">
        <f t="shared" si="56"/>
        <v>0</v>
      </c>
      <c r="T1854" s="113">
        <f t="shared" si="57"/>
        <v>0</v>
      </c>
    </row>
    <row r="1855" spans="8:20" x14ac:dyDescent="0.2">
      <c r="H1855" s="124"/>
      <c r="I1855" s="133" t="str">
        <f>IF(H1855&gt;0,(#REF!*H1855),"-")</f>
        <v>-</v>
      </c>
      <c r="S1855" s="113">
        <f t="shared" si="56"/>
        <v>0</v>
      </c>
      <c r="T1855" s="113">
        <f t="shared" si="57"/>
        <v>0</v>
      </c>
    </row>
    <row r="1856" spans="8:20" x14ac:dyDescent="0.2">
      <c r="H1856" s="124"/>
      <c r="I1856" s="133" t="str">
        <f>IF(H1856&gt;0,(#REF!*H1856),"-")</f>
        <v>-</v>
      </c>
      <c r="S1856" s="113">
        <f t="shared" si="56"/>
        <v>0</v>
      </c>
      <c r="T1856" s="113">
        <f t="shared" si="57"/>
        <v>0</v>
      </c>
    </row>
    <row r="1857" spans="8:20" x14ac:dyDescent="0.2">
      <c r="H1857" s="124"/>
      <c r="I1857" s="133" t="str">
        <f>IF(H1857&gt;0,(#REF!*H1857),"-")</f>
        <v>-</v>
      </c>
      <c r="S1857" s="113">
        <f t="shared" si="56"/>
        <v>0</v>
      </c>
      <c r="T1857" s="113">
        <f t="shared" si="57"/>
        <v>0</v>
      </c>
    </row>
    <row r="1858" spans="8:20" x14ac:dyDescent="0.2">
      <c r="H1858" s="124"/>
      <c r="I1858" s="133" t="str">
        <f>IF(H1858&gt;0,(#REF!*H1858),"-")</f>
        <v>-</v>
      </c>
      <c r="S1858" s="113">
        <f t="shared" ref="S1858:S1921" si="58">Q1858*H1858</f>
        <v>0</v>
      </c>
      <c r="T1858" s="113">
        <f t="shared" ref="T1858:T1921" si="59">R1858*H1858</f>
        <v>0</v>
      </c>
    </row>
    <row r="1859" spans="8:20" x14ac:dyDescent="0.2">
      <c r="H1859" s="124"/>
      <c r="I1859" s="133" t="str">
        <f>IF(H1859&gt;0,(#REF!*H1859),"-")</f>
        <v>-</v>
      </c>
      <c r="S1859" s="113">
        <f t="shared" si="58"/>
        <v>0</v>
      </c>
      <c r="T1859" s="113">
        <f t="shared" si="59"/>
        <v>0</v>
      </c>
    </row>
    <row r="1860" spans="8:20" x14ac:dyDescent="0.2">
      <c r="H1860" s="124"/>
      <c r="I1860" s="133" t="str">
        <f>IF(H1860&gt;0,(#REF!*H1860),"-")</f>
        <v>-</v>
      </c>
      <c r="S1860" s="113">
        <f t="shared" si="58"/>
        <v>0</v>
      </c>
      <c r="T1860" s="113">
        <f t="shared" si="59"/>
        <v>0</v>
      </c>
    </row>
    <row r="1861" spans="8:20" x14ac:dyDescent="0.2">
      <c r="H1861" s="124"/>
      <c r="I1861" s="133" t="str">
        <f>IF(H1861&gt;0,(#REF!*H1861),"-")</f>
        <v>-</v>
      </c>
      <c r="S1861" s="113">
        <f t="shared" si="58"/>
        <v>0</v>
      </c>
      <c r="T1861" s="113">
        <f t="shared" si="59"/>
        <v>0</v>
      </c>
    </row>
    <row r="1862" spans="8:20" x14ac:dyDescent="0.2">
      <c r="H1862" s="124"/>
      <c r="I1862" s="133" t="str">
        <f>IF(H1862&gt;0,(#REF!*H1862),"-")</f>
        <v>-</v>
      </c>
      <c r="S1862" s="113">
        <f t="shared" si="58"/>
        <v>0</v>
      </c>
      <c r="T1862" s="113">
        <f t="shared" si="59"/>
        <v>0</v>
      </c>
    </row>
    <row r="1863" spans="8:20" x14ac:dyDescent="0.2">
      <c r="H1863" s="124"/>
      <c r="I1863" s="133" t="str">
        <f>IF(H1863&gt;0,(#REF!*H1863),"-")</f>
        <v>-</v>
      </c>
      <c r="S1863" s="113">
        <f t="shared" si="58"/>
        <v>0</v>
      </c>
      <c r="T1863" s="113">
        <f t="shared" si="59"/>
        <v>0</v>
      </c>
    </row>
    <row r="1864" spans="8:20" x14ac:dyDescent="0.2">
      <c r="H1864" s="124"/>
      <c r="I1864" s="133" t="str">
        <f>IF(H1864&gt;0,(#REF!*H1864),"-")</f>
        <v>-</v>
      </c>
      <c r="S1864" s="113">
        <f t="shared" si="58"/>
        <v>0</v>
      </c>
      <c r="T1864" s="113">
        <f t="shared" si="59"/>
        <v>0</v>
      </c>
    </row>
    <row r="1865" spans="8:20" x14ac:dyDescent="0.2">
      <c r="H1865" s="124"/>
      <c r="I1865" s="133" t="str">
        <f>IF(H1865&gt;0,(#REF!*H1865),"-")</f>
        <v>-</v>
      </c>
      <c r="S1865" s="113">
        <f t="shared" si="58"/>
        <v>0</v>
      </c>
      <c r="T1865" s="113">
        <f t="shared" si="59"/>
        <v>0</v>
      </c>
    </row>
    <row r="1866" spans="8:20" x14ac:dyDescent="0.2">
      <c r="H1866" s="124"/>
      <c r="I1866" s="133" t="str">
        <f>IF(H1866&gt;0,(#REF!*H1866),"-")</f>
        <v>-</v>
      </c>
      <c r="S1866" s="113">
        <f t="shared" si="58"/>
        <v>0</v>
      </c>
      <c r="T1866" s="113">
        <f t="shared" si="59"/>
        <v>0</v>
      </c>
    </row>
    <row r="1867" spans="8:20" x14ac:dyDescent="0.2">
      <c r="H1867" s="124"/>
      <c r="I1867" s="133" t="str">
        <f>IF(H1867&gt;0,(#REF!*H1867),"-")</f>
        <v>-</v>
      </c>
      <c r="S1867" s="113">
        <f t="shared" si="58"/>
        <v>0</v>
      </c>
      <c r="T1867" s="113">
        <f t="shared" si="59"/>
        <v>0</v>
      </c>
    </row>
    <row r="1868" spans="8:20" x14ac:dyDescent="0.2">
      <c r="H1868" s="124"/>
      <c r="I1868" s="133" t="str">
        <f>IF(H1868&gt;0,(#REF!*H1868),"-")</f>
        <v>-</v>
      </c>
      <c r="S1868" s="113">
        <f t="shared" si="58"/>
        <v>0</v>
      </c>
      <c r="T1868" s="113">
        <f t="shared" si="59"/>
        <v>0</v>
      </c>
    </row>
    <row r="1869" spans="8:20" x14ac:dyDescent="0.2">
      <c r="H1869" s="124"/>
      <c r="I1869" s="133" t="str">
        <f>IF(H1869&gt;0,(#REF!*H1869),"-")</f>
        <v>-</v>
      </c>
      <c r="S1869" s="113">
        <f t="shared" si="58"/>
        <v>0</v>
      </c>
      <c r="T1869" s="113">
        <f t="shared" si="59"/>
        <v>0</v>
      </c>
    </row>
    <row r="1870" spans="8:20" x14ac:dyDescent="0.2">
      <c r="H1870" s="124"/>
      <c r="I1870" s="133" t="str">
        <f>IF(H1870&gt;0,(#REF!*H1870),"-")</f>
        <v>-</v>
      </c>
      <c r="S1870" s="113">
        <f t="shared" si="58"/>
        <v>0</v>
      </c>
      <c r="T1870" s="113">
        <f t="shared" si="59"/>
        <v>0</v>
      </c>
    </row>
    <row r="1871" spans="8:20" x14ac:dyDescent="0.2">
      <c r="H1871" s="124"/>
      <c r="I1871" s="133" t="str">
        <f>IF(H1871&gt;0,(#REF!*H1871),"-")</f>
        <v>-</v>
      </c>
      <c r="S1871" s="113">
        <f t="shared" si="58"/>
        <v>0</v>
      </c>
      <c r="T1871" s="113">
        <f t="shared" si="59"/>
        <v>0</v>
      </c>
    </row>
    <row r="1872" spans="8:20" x14ac:dyDescent="0.2">
      <c r="H1872" s="124"/>
      <c r="I1872" s="133" t="str">
        <f>IF(H1872&gt;0,(#REF!*H1872),"-")</f>
        <v>-</v>
      </c>
      <c r="S1872" s="113">
        <f t="shared" si="58"/>
        <v>0</v>
      </c>
      <c r="T1872" s="113">
        <f t="shared" si="59"/>
        <v>0</v>
      </c>
    </row>
    <row r="1873" spans="8:20" x14ac:dyDescent="0.2">
      <c r="H1873" s="124"/>
      <c r="I1873" s="133" t="str">
        <f>IF(H1873&gt;0,(#REF!*H1873),"-")</f>
        <v>-</v>
      </c>
      <c r="S1873" s="113">
        <f t="shared" si="58"/>
        <v>0</v>
      </c>
      <c r="T1873" s="113">
        <f t="shared" si="59"/>
        <v>0</v>
      </c>
    </row>
    <row r="1874" spans="8:20" x14ac:dyDescent="0.2">
      <c r="H1874" s="124"/>
      <c r="I1874" s="133" t="str">
        <f>IF(H1874&gt;0,(#REF!*H1874),"-")</f>
        <v>-</v>
      </c>
      <c r="S1874" s="113">
        <f t="shared" si="58"/>
        <v>0</v>
      </c>
      <c r="T1874" s="113">
        <f t="shared" si="59"/>
        <v>0</v>
      </c>
    </row>
    <row r="1875" spans="8:20" x14ac:dyDescent="0.2">
      <c r="H1875" s="124"/>
      <c r="I1875" s="133" t="str">
        <f>IF(H1875&gt;0,(#REF!*H1875),"-")</f>
        <v>-</v>
      </c>
      <c r="S1875" s="113">
        <f t="shared" si="58"/>
        <v>0</v>
      </c>
      <c r="T1875" s="113">
        <f t="shared" si="59"/>
        <v>0</v>
      </c>
    </row>
    <row r="1876" spans="8:20" x14ac:dyDescent="0.2">
      <c r="H1876" s="124"/>
      <c r="I1876" s="133" t="str">
        <f>IF(H1876&gt;0,(#REF!*H1876),"-")</f>
        <v>-</v>
      </c>
      <c r="S1876" s="113">
        <f t="shared" si="58"/>
        <v>0</v>
      </c>
      <c r="T1876" s="113">
        <f t="shared" si="59"/>
        <v>0</v>
      </c>
    </row>
    <row r="1877" spans="8:20" x14ac:dyDescent="0.2">
      <c r="H1877" s="124"/>
      <c r="I1877" s="133" t="str">
        <f>IF(H1877&gt;0,(#REF!*H1877),"-")</f>
        <v>-</v>
      </c>
      <c r="S1877" s="113">
        <f t="shared" si="58"/>
        <v>0</v>
      </c>
      <c r="T1877" s="113">
        <f t="shared" si="59"/>
        <v>0</v>
      </c>
    </row>
    <row r="1878" spans="8:20" x14ac:dyDescent="0.2">
      <c r="H1878" s="124"/>
      <c r="I1878" s="133" t="str">
        <f>IF(H1878&gt;0,(#REF!*H1878),"-")</f>
        <v>-</v>
      </c>
      <c r="S1878" s="113">
        <f t="shared" si="58"/>
        <v>0</v>
      </c>
      <c r="T1878" s="113">
        <f t="shared" si="59"/>
        <v>0</v>
      </c>
    </row>
    <row r="1879" spans="8:20" x14ac:dyDescent="0.2">
      <c r="H1879" s="124"/>
      <c r="I1879" s="133" t="str">
        <f>IF(H1879&gt;0,(#REF!*H1879),"-")</f>
        <v>-</v>
      </c>
      <c r="S1879" s="113">
        <f t="shared" si="58"/>
        <v>0</v>
      </c>
      <c r="T1879" s="113">
        <f t="shared" si="59"/>
        <v>0</v>
      </c>
    </row>
    <row r="1880" spans="8:20" x14ac:dyDescent="0.2">
      <c r="H1880" s="124"/>
      <c r="I1880" s="133" t="str">
        <f>IF(H1880&gt;0,(#REF!*H1880),"-")</f>
        <v>-</v>
      </c>
      <c r="S1880" s="113">
        <f t="shared" si="58"/>
        <v>0</v>
      </c>
      <c r="T1880" s="113">
        <f t="shared" si="59"/>
        <v>0</v>
      </c>
    </row>
    <row r="1881" spans="8:20" x14ac:dyDescent="0.2">
      <c r="H1881" s="124"/>
      <c r="I1881" s="133" t="str">
        <f>IF(H1881&gt;0,(#REF!*H1881),"-")</f>
        <v>-</v>
      </c>
      <c r="S1881" s="113">
        <f t="shared" si="58"/>
        <v>0</v>
      </c>
      <c r="T1881" s="113">
        <f t="shared" si="59"/>
        <v>0</v>
      </c>
    </row>
    <row r="1882" spans="8:20" x14ac:dyDescent="0.2">
      <c r="H1882" s="124"/>
      <c r="I1882" s="133" t="str">
        <f>IF(H1882&gt;0,(#REF!*H1882),"-")</f>
        <v>-</v>
      </c>
      <c r="S1882" s="113">
        <f t="shared" si="58"/>
        <v>0</v>
      </c>
      <c r="T1882" s="113">
        <f t="shared" si="59"/>
        <v>0</v>
      </c>
    </row>
    <row r="1883" spans="8:20" x14ac:dyDescent="0.2">
      <c r="H1883" s="124"/>
      <c r="I1883" s="133" t="str">
        <f>IF(H1883&gt;0,(#REF!*H1883),"-")</f>
        <v>-</v>
      </c>
      <c r="S1883" s="113">
        <f t="shared" si="58"/>
        <v>0</v>
      </c>
      <c r="T1883" s="113">
        <f t="shared" si="59"/>
        <v>0</v>
      </c>
    </row>
    <row r="1884" spans="8:20" x14ac:dyDescent="0.2">
      <c r="H1884" s="124"/>
      <c r="I1884" s="133" t="str">
        <f>IF(H1884&gt;0,(#REF!*H1884),"-")</f>
        <v>-</v>
      </c>
      <c r="S1884" s="113">
        <f t="shared" si="58"/>
        <v>0</v>
      </c>
      <c r="T1884" s="113">
        <f t="shared" si="59"/>
        <v>0</v>
      </c>
    </row>
    <row r="1885" spans="8:20" x14ac:dyDescent="0.2">
      <c r="H1885" s="124"/>
      <c r="I1885" s="133" t="str">
        <f>IF(H1885&gt;0,(#REF!*H1885),"-")</f>
        <v>-</v>
      </c>
      <c r="S1885" s="113">
        <f t="shared" si="58"/>
        <v>0</v>
      </c>
      <c r="T1885" s="113">
        <f t="shared" si="59"/>
        <v>0</v>
      </c>
    </row>
    <row r="1886" spans="8:20" x14ac:dyDescent="0.2">
      <c r="H1886" s="124"/>
      <c r="I1886" s="133" t="str">
        <f>IF(H1886&gt;0,(#REF!*H1886),"-")</f>
        <v>-</v>
      </c>
      <c r="S1886" s="113">
        <f t="shared" si="58"/>
        <v>0</v>
      </c>
      <c r="T1886" s="113">
        <f t="shared" si="59"/>
        <v>0</v>
      </c>
    </row>
    <row r="1887" spans="8:20" x14ac:dyDescent="0.2">
      <c r="H1887" s="124"/>
      <c r="I1887" s="133" t="str">
        <f>IF(H1887&gt;0,(#REF!*H1887),"-")</f>
        <v>-</v>
      </c>
      <c r="S1887" s="113">
        <f t="shared" si="58"/>
        <v>0</v>
      </c>
      <c r="T1887" s="113">
        <f t="shared" si="59"/>
        <v>0</v>
      </c>
    </row>
    <row r="1888" spans="8:20" x14ac:dyDescent="0.2">
      <c r="H1888" s="124"/>
      <c r="I1888" s="133" t="str">
        <f>IF(H1888&gt;0,(#REF!*H1888),"-")</f>
        <v>-</v>
      </c>
      <c r="S1888" s="113">
        <f t="shared" si="58"/>
        <v>0</v>
      </c>
      <c r="T1888" s="113">
        <f t="shared" si="59"/>
        <v>0</v>
      </c>
    </row>
    <row r="1889" spans="8:20" x14ac:dyDescent="0.2">
      <c r="H1889" s="124"/>
      <c r="I1889" s="133" t="str">
        <f>IF(H1889&gt;0,(#REF!*H1889),"-")</f>
        <v>-</v>
      </c>
      <c r="S1889" s="113">
        <f t="shared" si="58"/>
        <v>0</v>
      </c>
      <c r="T1889" s="113">
        <f t="shared" si="59"/>
        <v>0</v>
      </c>
    </row>
    <row r="1890" spans="8:20" x14ac:dyDescent="0.2">
      <c r="H1890" s="124"/>
      <c r="I1890" s="133" t="str">
        <f>IF(H1890&gt;0,(#REF!*H1890),"-")</f>
        <v>-</v>
      </c>
      <c r="S1890" s="113">
        <f t="shared" si="58"/>
        <v>0</v>
      </c>
      <c r="T1890" s="113">
        <f t="shared" si="59"/>
        <v>0</v>
      </c>
    </row>
    <row r="1891" spans="8:20" x14ac:dyDescent="0.2">
      <c r="H1891" s="124"/>
      <c r="I1891" s="133" t="str">
        <f>IF(H1891&gt;0,(#REF!*H1891),"-")</f>
        <v>-</v>
      </c>
      <c r="S1891" s="113">
        <f t="shared" si="58"/>
        <v>0</v>
      </c>
      <c r="T1891" s="113">
        <f t="shared" si="59"/>
        <v>0</v>
      </c>
    </row>
    <row r="1892" spans="8:20" x14ac:dyDescent="0.2">
      <c r="H1892" s="124"/>
      <c r="I1892" s="133" t="str">
        <f>IF(H1892&gt;0,(#REF!*H1892),"-")</f>
        <v>-</v>
      </c>
      <c r="S1892" s="113">
        <f t="shared" si="58"/>
        <v>0</v>
      </c>
      <c r="T1892" s="113">
        <f t="shared" si="59"/>
        <v>0</v>
      </c>
    </row>
    <row r="1893" spans="8:20" x14ac:dyDescent="0.2">
      <c r="H1893" s="124"/>
      <c r="I1893" s="133" t="str">
        <f>IF(H1893&gt;0,(#REF!*H1893),"-")</f>
        <v>-</v>
      </c>
      <c r="S1893" s="113">
        <f t="shared" si="58"/>
        <v>0</v>
      </c>
      <c r="T1893" s="113">
        <f t="shared" si="59"/>
        <v>0</v>
      </c>
    </row>
    <row r="1894" spans="8:20" x14ac:dyDescent="0.2">
      <c r="H1894" s="124"/>
      <c r="I1894" s="133" t="str">
        <f>IF(H1894&gt;0,(#REF!*H1894),"-")</f>
        <v>-</v>
      </c>
      <c r="S1894" s="113">
        <f t="shared" si="58"/>
        <v>0</v>
      </c>
      <c r="T1894" s="113">
        <f t="shared" si="59"/>
        <v>0</v>
      </c>
    </row>
    <row r="1895" spans="8:20" x14ac:dyDescent="0.2">
      <c r="H1895" s="124"/>
      <c r="I1895" s="133" t="str">
        <f>IF(H1895&gt;0,(#REF!*H1895),"-")</f>
        <v>-</v>
      </c>
      <c r="S1895" s="113">
        <f t="shared" si="58"/>
        <v>0</v>
      </c>
      <c r="T1895" s="113">
        <f t="shared" si="59"/>
        <v>0</v>
      </c>
    </row>
    <row r="1896" spans="8:20" x14ac:dyDescent="0.2">
      <c r="H1896" s="124"/>
      <c r="I1896" s="133" t="str">
        <f>IF(H1896&gt;0,(#REF!*H1896),"-")</f>
        <v>-</v>
      </c>
      <c r="S1896" s="113">
        <f t="shared" si="58"/>
        <v>0</v>
      </c>
      <c r="T1896" s="113">
        <f t="shared" si="59"/>
        <v>0</v>
      </c>
    </row>
    <row r="1897" spans="8:20" x14ac:dyDescent="0.2">
      <c r="H1897" s="124"/>
      <c r="I1897" s="133" t="str">
        <f>IF(H1897&gt;0,(#REF!*H1897),"-")</f>
        <v>-</v>
      </c>
      <c r="S1897" s="113">
        <f t="shared" si="58"/>
        <v>0</v>
      </c>
      <c r="T1897" s="113">
        <f t="shared" si="59"/>
        <v>0</v>
      </c>
    </row>
    <row r="1898" spans="8:20" x14ac:dyDescent="0.2">
      <c r="H1898" s="124"/>
      <c r="I1898" s="133" t="str">
        <f>IF(H1898&gt;0,(#REF!*H1898),"-")</f>
        <v>-</v>
      </c>
      <c r="S1898" s="113">
        <f t="shared" si="58"/>
        <v>0</v>
      </c>
      <c r="T1898" s="113">
        <f t="shared" si="59"/>
        <v>0</v>
      </c>
    </row>
    <row r="1899" spans="8:20" x14ac:dyDescent="0.2">
      <c r="H1899" s="124"/>
      <c r="I1899" s="133" t="str">
        <f>IF(H1899&gt;0,(#REF!*H1899),"-")</f>
        <v>-</v>
      </c>
      <c r="S1899" s="113">
        <f t="shared" si="58"/>
        <v>0</v>
      </c>
      <c r="T1899" s="113">
        <f t="shared" si="59"/>
        <v>0</v>
      </c>
    </row>
    <row r="1900" spans="8:20" x14ac:dyDescent="0.2">
      <c r="H1900" s="124"/>
      <c r="I1900" s="133" t="str">
        <f>IF(H1900&gt;0,(#REF!*H1900),"-")</f>
        <v>-</v>
      </c>
      <c r="S1900" s="113">
        <f t="shared" si="58"/>
        <v>0</v>
      </c>
      <c r="T1900" s="113">
        <f t="shared" si="59"/>
        <v>0</v>
      </c>
    </row>
    <row r="1901" spans="8:20" x14ac:dyDescent="0.2">
      <c r="H1901" s="124"/>
      <c r="I1901" s="133" t="str">
        <f>IF(H1901&gt;0,(#REF!*H1901),"-")</f>
        <v>-</v>
      </c>
      <c r="S1901" s="113">
        <f t="shared" si="58"/>
        <v>0</v>
      </c>
      <c r="T1901" s="113">
        <f t="shared" si="59"/>
        <v>0</v>
      </c>
    </row>
    <row r="1902" spans="8:20" x14ac:dyDescent="0.2">
      <c r="H1902" s="124"/>
      <c r="I1902" s="133" t="str">
        <f>IF(H1902&gt;0,(#REF!*H1902),"-")</f>
        <v>-</v>
      </c>
      <c r="S1902" s="113">
        <f t="shared" si="58"/>
        <v>0</v>
      </c>
      <c r="T1902" s="113">
        <f t="shared" si="59"/>
        <v>0</v>
      </c>
    </row>
    <row r="1903" spans="8:20" x14ac:dyDescent="0.2">
      <c r="H1903" s="124"/>
      <c r="I1903" s="133" t="str">
        <f>IF(H1903&gt;0,(#REF!*H1903),"-")</f>
        <v>-</v>
      </c>
      <c r="S1903" s="113">
        <f t="shared" si="58"/>
        <v>0</v>
      </c>
      <c r="T1903" s="113">
        <f t="shared" si="59"/>
        <v>0</v>
      </c>
    </row>
    <row r="1904" spans="8:20" x14ac:dyDescent="0.2">
      <c r="H1904" s="124"/>
      <c r="I1904" s="133" t="str">
        <f>IF(H1904&gt;0,(#REF!*H1904),"-")</f>
        <v>-</v>
      </c>
      <c r="S1904" s="113">
        <f t="shared" si="58"/>
        <v>0</v>
      </c>
      <c r="T1904" s="113">
        <f t="shared" si="59"/>
        <v>0</v>
      </c>
    </row>
    <row r="1905" spans="8:20" x14ac:dyDescent="0.2">
      <c r="H1905" s="124"/>
      <c r="I1905" s="133" t="str">
        <f>IF(H1905&gt;0,(#REF!*H1905),"-")</f>
        <v>-</v>
      </c>
      <c r="S1905" s="113">
        <f t="shared" si="58"/>
        <v>0</v>
      </c>
      <c r="T1905" s="113">
        <f t="shared" si="59"/>
        <v>0</v>
      </c>
    </row>
    <row r="1906" spans="8:20" x14ac:dyDescent="0.2">
      <c r="H1906" s="124"/>
      <c r="I1906" s="133" t="str">
        <f>IF(H1906&gt;0,(#REF!*H1906),"-")</f>
        <v>-</v>
      </c>
      <c r="S1906" s="113">
        <f t="shared" si="58"/>
        <v>0</v>
      </c>
      <c r="T1906" s="113">
        <f t="shared" si="59"/>
        <v>0</v>
      </c>
    </row>
    <row r="1907" spans="8:20" x14ac:dyDescent="0.2">
      <c r="H1907" s="124"/>
      <c r="I1907" s="133" t="str">
        <f>IF(H1907&gt;0,(#REF!*H1907),"-")</f>
        <v>-</v>
      </c>
      <c r="S1907" s="113">
        <f t="shared" si="58"/>
        <v>0</v>
      </c>
      <c r="T1907" s="113">
        <f t="shared" si="59"/>
        <v>0</v>
      </c>
    </row>
    <row r="1908" spans="8:20" x14ac:dyDescent="0.2">
      <c r="H1908" s="124"/>
      <c r="I1908" s="133" t="str">
        <f>IF(H1908&gt;0,(#REF!*H1908),"-")</f>
        <v>-</v>
      </c>
      <c r="S1908" s="113">
        <f t="shared" si="58"/>
        <v>0</v>
      </c>
      <c r="T1908" s="113">
        <f t="shared" si="59"/>
        <v>0</v>
      </c>
    </row>
    <row r="1909" spans="8:20" x14ac:dyDescent="0.2">
      <c r="H1909" s="124"/>
      <c r="I1909" s="133" t="str">
        <f>IF(H1909&gt;0,(#REF!*H1909),"-")</f>
        <v>-</v>
      </c>
      <c r="S1909" s="113">
        <f t="shared" si="58"/>
        <v>0</v>
      </c>
      <c r="T1909" s="113">
        <f t="shared" si="59"/>
        <v>0</v>
      </c>
    </row>
    <row r="1910" spans="8:20" x14ac:dyDescent="0.2">
      <c r="H1910" s="124"/>
      <c r="I1910" s="133" t="str">
        <f>IF(H1910&gt;0,(#REF!*H1910),"-")</f>
        <v>-</v>
      </c>
      <c r="S1910" s="113">
        <f t="shared" si="58"/>
        <v>0</v>
      </c>
      <c r="T1910" s="113">
        <f t="shared" si="59"/>
        <v>0</v>
      </c>
    </row>
    <row r="1911" spans="8:20" x14ac:dyDescent="0.2">
      <c r="H1911" s="124"/>
      <c r="I1911" s="133" t="str">
        <f>IF(H1911&gt;0,(#REF!*H1911),"-")</f>
        <v>-</v>
      </c>
      <c r="S1911" s="113">
        <f t="shared" si="58"/>
        <v>0</v>
      </c>
      <c r="T1911" s="113">
        <f t="shared" si="59"/>
        <v>0</v>
      </c>
    </row>
    <row r="1912" spans="8:20" x14ac:dyDescent="0.2">
      <c r="H1912" s="124"/>
      <c r="I1912" s="133" t="str">
        <f>IF(H1912&gt;0,(#REF!*H1912),"-")</f>
        <v>-</v>
      </c>
      <c r="S1912" s="113">
        <f t="shared" si="58"/>
        <v>0</v>
      </c>
      <c r="T1912" s="113">
        <f t="shared" si="59"/>
        <v>0</v>
      </c>
    </row>
    <row r="1913" spans="8:20" x14ac:dyDescent="0.2">
      <c r="H1913" s="124"/>
      <c r="I1913" s="133" t="str">
        <f>IF(H1913&gt;0,(#REF!*H1913),"-")</f>
        <v>-</v>
      </c>
      <c r="S1913" s="113">
        <f t="shared" si="58"/>
        <v>0</v>
      </c>
      <c r="T1913" s="113">
        <f t="shared" si="59"/>
        <v>0</v>
      </c>
    </row>
    <row r="1914" spans="8:20" x14ac:dyDescent="0.2">
      <c r="H1914" s="124"/>
      <c r="I1914" s="133" t="str">
        <f>IF(H1914&gt;0,(#REF!*H1914),"-")</f>
        <v>-</v>
      </c>
      <c r="S1914" s="113">
        <f t="shared" si="58"/>
        <v>0</v>
      </c>
      <c r="T1914" s="113">
        <f t="shared" si="59"/>
        <v>0</v>
      </c>
    </row>
    <row r="1915" spans="8:20" x14ac:dyDescent="0.2">
      <c r="H1915" s="124"/>
      <c r="I1915" s="133" t="str">
        <f>IF(H1915&gt;0,(#REF!*H1915),"-")</f>
        <v>-</v>
      </c>
      <c r="S1915" s="113">
        <f t="shared" si="58"/>
        <v>0</v>
      </c>
      <c r="T1915" s="113">
        <f t="shared" si="59"/>
        <v>0</v>
      </c>
    </row>
    <row r="1916" spans="8:20" x14ac:dyDescent="0.2">
      <c r="H1916" s="124"/>
      <c r="I1916" s="133" t="str">
        <f>IF(H1916&gt;0,(#REF!*H1916),"-")</f>
        <v>-</v>
      </c>
      <c r="S1916" s="113">
        <f t="shared" si="58"/>
        <v>0</v>
      </c>
      <c r="T1916" s="113">
        <f t="shared" si="59"/>
        <v>0</v>
      </c>
    </row>
    <row r="1917" spans="8:20" x14ac:dyDescent="0.2">
      <c r="H1917" s="124"/>
      <c r="I1917" s="133" t="str">
        <f>IF(H1917&gt;0,(#REF!*H1917),"-")</f>
        <v>-</v>
      </c>
      <c r="S1917" s="113">
        <f t="shared" si="58"/>
        <v>0</v>
      </c>
      <c r="T1917" s="113">
        <f t="shared" si="59"/>
        <v>0</v>
      </c>
    </row>
    <row r="1918" spans="8:20" x14ac:dyDescent="0.2">
      <c r="H1918" s="124"/>
      <c r="I1918" s="133" t="str">
        <f>IF(H1918&gt;0,(#REF!*H1918),"-")</f>
        <v>-</v>
      </c>
      <c r="S1918" s="113">
        <f t="shared" si="58"/>
        <v>0</v>
      </c>
      <c r="T1918" s="113">
        <f t="shared" si="59"/>
        <v>0</v>
      </c>
    </row>
    <row r="1919" spans="8:20" x14ac:dyDescent="0.2">
      <c r="H1919" s="124"/>
      <c r="I1919" s="133" t="str">
        <f>IF(H1919&gt;0,(#REF!*H1919),"-")</f>
        <v>-</v>
      </c>
      <c r="S1919" s="113">
        <f t="shared" si="58"/>
        <v>0</v>
      </c>
      <c r="T1919" s="113">
        <f t="shared" si="59"/>
        <v>0</v>
      </c>
    </row>
    <row r="1920" spans="8:20" x14ac:dyDescent="0.2">
      <c r="H1920" s="124"/>
      <c r="I1920" s="133" t="str">
        <f>IF(H1920&gt;0,(#REF!*H1920),"-")</f>
        <v>-</v>
      </c>
      <c r="S1920" s="113">
        <f t="shared" si="58"/>
        <v>0</v>
      </c>
      <c r="T1920" s="113">
        <f t="shared" si="59"/>
        <v>0</v>
      </c>
    </row>
    <row r="1921" spans="8:20" x14ac:dyDescent="0.2">
      <c r="H1921" s="124"/>
      <c r="I1921" s="133" t="str">
        <f>IF(H1921&gt;0,(#REF!*H1921),"-")</f>
        <v>-</v>
      </c>
      <c r="S1921" s="113">
        <f t="shared" si="58"/>
        <v>0</v>
      </c>
      <c r="T1921" s="113">
        <f t="shared" si="59"/>
        <v>0</v>
      </c>
    </row>
    <row r="1922" spans="8:20" x14ac:dyDescent="0.2">
      <c r="H1922" s="124"/>
      <c r="I1922" s="133" t="str">
        <f>IF(H1922&gt;0,(#REF!*H1922),"-")</f>
        <v>-</v>
      </c>
      <c r="S1922" s="113">
        <f t="shared" ref="S1922:S1985" si="60">Q1922*H1922</f>
        <v>0</v>
      </c>
      <c r="T1922" s="113">
        <f t="shared" ref="T1922:T1985" si="61">R1922*H1922</f>
        <v>0</v>
      </c>
    </row>
    <row r="1923" spans="8:20" x14ac:dyDescent="0.2">
      <c r="H1923" s="124"/>
      <c r="I1923" s="133" t="str">
        <f>IF(H1923&gt;0,(#REF!*H1923),"-")</f>
        <v>-</v>
      </c>
      <c r="S1923" s="113">
        <f t="shared" si="60"/>
        <v>0</v>
      </c>
      <c r="T1923" s="113">
        <f t="shared" si="61"/>
        <v>0</v>
      </c>
    </row>
    <row r="1924" spans="8:20" x14ac:dyDescent="0.2">
      <c r="H1924" s="124"/>
      <c r="I1924" s="133" t="str">
        <f>IF(H1924&gt;0,(#REF!*H1924),"-")</f>
        <v>-</v>
      </c>
      <c r="S1924" s="113">
        <f t="shared" si="60"/>
        <v>0</v>
      </c>
      <c r="T1924" s="113">
        <f t="shared" si="61"/>
        <v>0</v>
      </c>
    </row>
    <row r="1925" spans="8:20" x14ac:dyDescent="0.2">
      <c r="H1925" s="124"/>
      <c r="I1925" s="133" t="str">
        <f>IF(H1925&gt;0,(#REF!*H1925),"-")</f>
        <v>-</v>
      </c>
      <c r="S1925" s="113">
        <f t="shared" si="60"/>
        <v>0</v>
      </c>
      <c r="T1925" s="113">
        <f t="shared" si="61"/>
        <v>0</v>
      </c>
    </row>
    <row r="1926" spans="8:20" x14ac:dyDescent="0.2">
      <c r="H1926" s="124"/>
      <c r="I1926" s="133" t="str">
        <f>IF(H1926&gt;0,(#REF!*H1926),"-")</f>
        <v>-</v>
      </c>
      <c r="S1926" s="113">
        <f t="shared" si="60"/>
        <v>0</v>
      </c>
      <c r="T1926" s="113">
        <f t="shared" si="61"/>
        <v>0</v>
      </c>
    </row>
    <row r="1927" spans="8:20" x14ac:dyDescent="0.2">
      <c r="H1927" s="124"/>
      <c r="I1927" s="133" t="str">
        <f>IF(H1927&gt;0,(#REF!*H1927),"-")</f>
        <v>-</v>
      </c>
      <c r="S1927" s="113">
        <f t="shared" si="60"/>
        <v>0</v>
      </c>
      <c r="T1927" s="113">
        <f t="shared" si="61"/>
        <v>0</v>
      </c>
    </row>
    <row r="1928" spans="8:20" x14ac:dyDescent="0.2">
      <c r="H1928" s="124"/>
      <c r="I1928" s="133" t="str">
        <f>IF(H1928&gt;0,(#REF!*H1928),"-")</f>
        <v>-</v>
      </c>
      <c r="S1928" s="113">
        <f t="shared" si="60"/>
        <v>0</v>
      </c>
      <c r="T1928" s="113">
        <f t="shared" si="61"/>
        <v>0</v>
      </c>
    </row>
    <row r="1929" spans="8:20" x14ac:dyDescent="0.2">
      <c r="H1929" s="124"/>
      <c r="I1929" s="133" t="str">
        <f>IF(H1929&gt;0,(#REF!*H1929),"-")</f>
        <v>-</v>
      </c>
      <c r="S1929" s="113">
        <f t="shared" si="60"/>
        <v>0</v>
      </c>
      <c r="T1929" s="113">
        <f t="shared" si="61"/>
        <v>0</v>
      </c>
    </row>
    <row r="1930" spans="8:20" x14ac:dyDescent="0.2">
      <c r="H1930" s="124"/>
      <c r="I1930" s="133" t="str">
        <f>IF(H1930&gt;0,(#REF!*H1930),"-")</f>
        <v>-</v>
      </c>
      <c r="S1930" s="113">
        <f t="shared" si="60"/>
        <v>0</v>
      </c>
      <c r="T1930" s="113">
        <f t="shared" si="61"/>
        <v>0</v>
      </c>
    </row>
    <row r="1931" spans="8:20" x14ac:dyDescent="0.2">
      <c r="H1931" s="124"/>
      <c r="I1931" s="133" t="str">
        <f>IF(H1931&gt;0,(#REF!*H1931),"-")</f>
        <v>-</v>
      </c>
      <c r="S1931" s="113">
        <f t="shared" si="60"/>
        <v>0</v>
      </c>
      <c r="T1931" s="113">
        <f t="shared" si="61"/>
        <v>0</v>
      </c>
    </row>
    <row r="1932" spans="8:20" x14ac:dyDescent="0.2">
      <c r="H1932" s="124"/>
      <c r="I1932" s="133" t="str">
        <f>IF(H1932&gt;0,(#REF!*H1932),"-")</f>
        <v>-</v>
      </c>
      <c r="S1932" s="113">
        <f t="shared" si="60"/>
        <v>0</v>
      </c>
      <c r="T1932" s="113">
        <f t="shared" si="61"/>
        <v>0</v>
      </c>
    </row>
    <row r="1933" spans="8:20" x14ac:dyDescent="0.2">
      <c r="H1933" s="124"/>
      <c r="I1933" s="133" t="str">
        <f>IF(H1933&gt;0,(#REF!*H1933),"-")</f>
        <v>-</v>
      </c>
      <c r="S1933" s="113">
        <f t="shared" si="60"/>
        <v>0</v>
      </c>
      <c r="T1933" s="113">
        <f t="shared" si="61"/>
        <v>0</v>
      </c>
    </row>
    <row r="1934" spans="8:20" x14ac:dyDescent="0.2">
      <c r="H1934" s="124"/>
      <c r="I1934" s="133" t="str">
        <f>IF(H1934&gt;0,(#REF!*H1934),"-")</f>
        <v>-</v>
      </c>
      <c r="S1934" s="113">
        <f t="shared" si="60"/>
        <v>0</v>
      </c>
      <c r="T1934" s="113">
        <f t="shared" si="61"/>
        <v>0</v>
      </c>
    </row>
    <row r="1935" spans="8:20" x14ac:dyDescent="0.2">
      <c r="H1935" s="124"/>
      <c r="I1935" s="133" t="str">
        <f>IF(H1935&gt;0,(#REF!*H1935),"-")</f>
        <v>-</v>
      </c>
      <c r="S1935" s="113">
        <f t="shared" si="60"/>
        <v>0</v>
      </c>
      <c r="T1935" s="113">
        <f t="shared" si="61"/>
        <v>0</v>
      </c>
    </row>
    <row r="1936" spans="8:20" x14ac:dyDescent="0.2">
      <c r="H1936" s="124"/>
      <c r="I1936" s="133" t="str">
        <f>IF(H1936&gt;0,(#REF!*H1936),"-")</f>
        <v>-</v>
      </c>
      <c r="S1936" s="113">
        <f t="shared" si="60"/>
        <v>0</v>
      </c>
      <c r="T1936" s="113">
        <f t="shared" si="61"/>
        <v>0</v>
      </c>
    </row>
    <row r="1937" spans="8:20" x14ac:dyDescent="0.2">
      <c r="H1937" s="124"/>
      <c r="I1937" s="133" t="str">
        <f>IF(H1937&gt;0,(#REF!*H1937),"-")</f>
        <v>-</v>
      </c>
      <c r="S1937" s="113">
        <f t="shared" si="60"/>
        <v>0</v>
      </c>
      <c r="T1937" s="113">
        <f t="shared" si="61"/>
        <v>0</v>
      </c>
    </row>
    <row r="1938" spans="8:20" x14ac:dyDescent="0.2">
      <c r="H1938" s="124"/>
      <c r="I1938" s="133" t="str">
        <f>IF(H1938&gt;0,(#REF!*H1938),"-")</f>
        <v>-</v>
      </c>
      <c r="S1938" s="113">
        <f t="shared" si="60"/>
        <v>0</v>
      </c>
      <c r="T1938" s="113">
        <f t="shared" si="61"/>
        <v>0</v>
      </c>
    </row>
    <row r="1939" spans="8:20" x14ac:dyDescent="0.2">
      <c r="H1939" s="124"/>
      <c r="I1939" s="133" t="str">
        <f>IF(H1939&gt;0,(#REF!*H1939),"-")</f>
        <v>-</v>
      </c>
      <c r="S1939" s="113">
        <f t="shared" si="60"/>
        <v>0</v>
      </c>
      <c r="T1939" s="113">
        <f t="shared" si="61"/>
        <v>0</v>
      </c>
    </row>
    <row r="1940" spans="8:20" x14ac:dyDescent="0.2">
      <c r="H1940" s="124"/>
      <c r="I1940" s="133" t="str">
        <f>IF(H1940&gt;0,(#REF!*H1940),"-")</f>
        <v>-</v>
      </c>
      <c r="S1940" s="113">
        <f t="shared" si="60"/>
        <v>0</v>
      </c>
      <c r="T1940" s="113">
        <f t="shared" si="61"/>
        <v>0</v>
      </c>
    </row>
    <row r="1941" spans="8:20" x14ac:dyDescent="0.2">
      <c r="H1941" s="124"/>
      <c r="I1941" s="133" t="str">
        <f>IF(H1941&gt;0,(#REF!*H1941),"-")</f>
        <v>-</v>
      </c>
      <c r="S1941" s="113">
        <f t="shared" si="60"/>
        <v>0</v>
      </c>
      <c r="T1941" s="113">
        <f t="shared" si="61"/>
        <v>0</v>
      </c>
    </row>
    <row r="1942" spans="8:20" x14ac:dyDescent="0.2">
      <c r="H1942" s="124"/>
      <c r="I1942" s="133" t="str">
        <f>IF(H1942&gt;0,(#REF!*H1942),"-")</f>
        <v>-</v>
      </c>
      <c r="S1942" s="113">
        <f t="shared" si="60"/>
        <v>0</v>
      </c>
      <c r="T1942" s="113">
        <f t="shared" si="61"/>
        <v>0</v>
      </c>
    </row>
    <row r="1943" spans="8:20" x14ac:dyDescent="0.2">
      <c r="H1943" s="124"/>
      <c r="I1943" s="133" t="str">
        <f>IF(H1943&gt;0,(#REF!*H1943),"-")</f>
        <v>-</v>
      </c>
      <c r="S1943" s="113">
        <f t="shared" si="60"/>
        <v>0</v>
      </c>
      <c r="T1943" s="113">
        <f t="shared" si="61"/>
        <v>0</v>
      </c>
    </row>
    <row r="1944" spans="8:20" x14ac:dyDescent="0.2">
      <c r="H1944" s="124"/>
      <c r="I1944" s="133" t="str">
        <f>IF(H1944&gt;0,(#REF!*H1944),"-")</f>
        <v>-</v>
      </c>
      <c r="S1944" s="113">
        <f t="shared" si="60"/>
        <v>0</v>
      </c>
      <c r="T1944" s="113">
        <f t="shared" si="61"/>
        <v>0</v>
      </c>
    </row>
    <row r="1945" spans="8:20" x14ac:dyDescent="0.2">
      <c r="H1945" s="124"/>
      <c r="I1945" s="133" t="str">
        <f>IF(H1945&gt;0,(#REF!*H1945),"-")</f>
        <v>-</v>
      </c>
      <c r="S1945" s="113">
        <f t="shared" si="60"/>
        <v>0</v>
      </c>
      <c r="T1945" s="113">
        <f t="shared" si="61"/>
        <v>0</v>
      </c>
    </row>
    <row r="1946" spans="8:20" x14ac:dyDescent="0.2">
      <c r="H1946" s="124"/>
      <c r="I1946" s="133" t="str">
        <f>IF(H1946&gt;0,(#REF!*H1946),"-")</f>
        <v>-</v>
      </c>
      <c r="S1946" s="113">
        <f t="shared" si="60"/>
        <v>0</v>
      </c>
      <c r="T1946" s="113">
        <f t="shared" si="61"/>
        <v>0</v>
      </c>
    </row>
    <row r="1947" spans="8:20" x14ac:dyDescent="0.2">
      <c r="H1947" s="124"/>
      <c r="I1947" s="133" t="str">
        <f>IF(H1947&gt;0,(#REF!*H1947),"-")</f>
        <v>-</v>
      </c>
      <c r="S1947" s="113">
        <f t="shared" si="60"/>
        <v>0</v>
      </c>
      <c r="T1947" s="113">
        <f t="shared" si="61"/>
        <v>0</v>
      </c>
    </row>
    <row r="1948" spans="8:20" x14ac:dyDescent="0.2">
      <c r="H1948" s="124"/>
      <c r="I1948" s="133" t="str">
        <f>IF(H1948&gt;0,(#REF!*H1948),"-")</f>
        <v>-</v>
      </c>
      <c r="S1948" s="113">
        <f t="shared" si="60"/>
        <v>0</v>
      </c>
      <c r="T1948" s="113">
        <f t="shared" si="61"/>
        <v>0</v>
      </c>
    </row>
    <row r="1949" spans="8:20" x14ac:dyDescent="0.2">
      <c r="H1949" s="124"/>
      <c r="I1949" s="133" t="str">
        <f>IF(H1949&gt;0,(#REF!*H1949),"-")</f>
        <v>-</v>
      </c>
      <c r="S1949" s="113">
        <f t="shared" si="60"/>
        <v>0</v>
      </c>
      <c r="T1949" s="113">
        <f t="shared" si="61"/>
        <v>0</v>
      </c>
    </row>
    <row r="1950" spans="8:20" x14ac:dyDescent="0.2">
      <c r="H1950" s="124"/>
      <c r="I1950" s="133" t="str">
        <f>IF(H1950&gt;0,(#REF!*H1950),"-")</f>
        <v>-</v>
      </c>
      <c r="S1950" s="113">
        <f t="shared" si="60"/>
        <v>0</v>
      </c>
      <c r="T1950" s="113">
        <f t="shared" si="61"/>
        <v>0</v>
      </c>
    </row>
    <row r="1951" spans="8:20" x14ac:dyDescent="0.2">
      <c r="H1951" s="124"/>
      <c r="I1951" s="133" t="str">
        <f>IF(H1951&gt;0,(#REF!*H1951),"-")</f>
        <v>-</v>
      </c>
      <c r="S1951" s="113">
        <f t="shared" si="60"/>
        <v>0</v>
      </c>
      <c r="T1951" s="113">
        <f t="shared" si="61"/>
        <v>0</v>
      </c>
    </row>
    <row r="1952" spans="8:20" x14ac:dyDescent="0.2">
      <c r="H1952" s="124"/>
      <c r="I1952" s="133" t="str">
        <f>IF(H1952&gt;0,(#REF!*H1952),"-")</f>
        <v>-</v>
      </c>
      <c r="S1952" s="113">
        <f t="shared" si="60"/>
        <v>0</v>
      </c>
      <c r="T1952" s="113">
        <f t="shared" si="61"/>
        <v>0</v>
      </c>
    </row>
    <row r="1953" spans="8:20" x14ac:dyDescent="0.2">
      <c r="H1953" s="124"/>
      <c r="I1953" s="133" t="str">
        <f>IF(H1953&gt;0,(#REF!*H1953),"-")</f>
        <v>-</v>
      </c>
      <c r="S1953" s="113">
        <f t="shared" si="60"/>
        <v>0</v>
      </c>
      <c r="T1953" s="113">
        <f t="shared" si="61"/>
        <v>0</v>
      </c>
    </row>
    <row r="1954" spans="8:20" x14ac:dyDescent="0.2">
      <c r="H1954" s="124"/>
      <c r="I1954" s="133" t="str">
        <f>IF(H1954&gt;0,(#REF!*H1954),"-")</f>
        <v>-</v>
      </c>
      <c r="S1954" s="113">
        <f t="shared" si="60"/>
        <v>0</v>
      </c>
      <c r="T1954" s="113">
        <f t="shared" si="61"/>
        <v>0</v>
      </c>
    </row>
    <row r="1955" spans="8:20" x14ac:dyDescent="0.2">
      <c r="H1955" s="124"/>
      <c r="I1955" s="133" t="str">
        <f>IF(H1955&gt;0,(#REF!*H1955),"-")</f>
        <v>-</v>
      </c>
      <c r="S1955" s="113">
        <f t="shared" si="60"/>
        <v>0</v>
      </c>
      <c r="T1955" s="113">
        <f t="shared" si="61"/>
        <v>0</v>
      </c>
    </row>
    <row r="1956" spans="8:20" x14ac:dyDescent="0.2">
      <c r="H1956" s="124"/>
      <c r="I1956" s="133" t="str">
        <f>IF(H1956&gt;0,(#REF!*H1956),"-")</f>
        <v>-</v>
      </c>
      <c r="S1956" s="113">
        <f t="shared" si="60"/>
        <v>0</v>
      </c>
      <c r="T1956" s="113">
        <f t="shared" si="61"/>
        <v>0</v>
      </c>
    </row>
    <row r="1957" spans="8:20" x14ac:dyDescent="0.2">
      <c r="H1957" s="124"/>
      <c r="I1957" s="133" t="str">
        <f>IF(H1957&gt;0,(#REF!*H1957),"-")</f>
        <v>-</v>
      </c>
      <c r="S1957" s="113">
        <f t="shared" si="60"/>
        <v>0</v>
      </c>
      <c r="T1957" s="113">
        <f t="shared" si="61"/>
        <v>0</v>
      </c>
    </row>
    <row r="1958" spans="8:20" x14ac:dyDescent="0.2">
      <c r="H1958" s="124"/>
      <c r="I1958" s="133" t="str">
        <f>IF(H1958&gt;0,(#REF!*H1958),"-")</f>
        <v>-</v>
      </c>
      <c r="S1958" s="113">
        <f t="shared" si="60"/>
        <v>0</v>
      </c>
      <c r="T1958" s="113">
        <f t="shared" si="61"/>
        <v>0</v>
      </c>
    </row>
    <row r="1959" spans="8:20" x14ac:dyDescent="0.2">
      <c r="H1959" s="124"/>
      <c r="I1959" s="133" t="str">
        <f>IF(H1959&gt;0,(#REF!*H1959),"-")</f>
        <v>-</v>
      </c>
      <c r="S1959" s="113">
        <f t="shared" si="60"/>
        <v>0</v>
      </c>
      <c r="T1959" s="113">
        <f t="shared" si="61"/>
        <v>0</v>
      </c>
    </row>
    <row r="1960" spans="8:20" x14ac:dyDescent="0.2">
      <c r="H1960" s="124"/>
      <c r="I1960" s="133" t="str">
        <f>IF(H1960&gt;0,(#REF!*H1960),"-")</f>
        <v>-</v>
      </c>
      <c r="S1960" s="113">
        <f t="shared" si="60"/>
        <v>0</v>
      </c>
      <c r="T1960" s="113">
        <f t="shared" si="61"/>
        <v>0</v>
      </c>
    </row>
    <row r="1961" spans="8:20" x14ac:dyDescent="0.2">
      <c r="H1961" s="124"/>
      <c r="I1961" s="133" t="str">
        <f>IF(H1961&gt;0,(#REF!*H1961),"-")</f>
        <v>-</v>
      </c>
      <c r="S1961" s="113">
        <f t="shared" si="60"/>
        <v>0</v>
      </c>
      <c r="T1961" s="113">
        <f t="shared" si="61"/>
        <v>0</v>
      </c>
    </row>
    <row r="1962" spans="8:20" x14ac:dyDescent="0.2">
      <c r="H1962" s="124"/>
      <c r="I1962" s="133" t="str">
        <f>IF(H1962&gt;0,(#REF!*H1962),"-")</f>
        <v>-</v>
      </c>
      <c r="S1962" s="113">
        <f t="shared" si="60"/>
        <v>0</v>
      </c>
      <c r="T1962" s="113">
        <f t="shared" si="61"/>
        <v>0</v>
      </c>
    </row>
    <row r="1963" spans="8:20" x14ac:dyDescent="0.2">
      <c r="H1963" s="124"/>
      <c r="I1963" s="133" t="str">
        <f>IF(H1963&gt;0,(#REF!*H1963),"-")</f>
        <v>-</v>
      </c>
      <c r="S1963" s="113">
        <f t="shared" si="60"/>
        <v>0</v>
      </c>
      <c r="T1963" s="113">
        <f t="shared" si="61"/>
        <v>0</v>
      </c>
    </row>
    <row r="1964" spans="8:20" x14ac:dyDescent="0.2">
      <c r="H1964" s="124"/>
      <c r="I1964" s="133" t="str">
        <f>IF(H1964&gt;0,(#REF!*H1964),"-")</f>
        <v>-</v>
      </c>
      <c r="S1964" s="113">
        <f t="shared" si="60"/>
        <v>0</v>
      </c>
      <c r="T1964" s="113">
        <f t="shared" si="61"/>
        <v>0</v>
      </c>
    </row>
    <row r="1965" spans="8:20" x14ac:dyDescent="0.2">
      <c r="H1965" s="124"/>
      <c r="I1965" s="133" t="str">
        <f>IF(H1965&gt;0,(#REF!*H1965),"-")</f>
        <v>-</v>
      </c>
      <c r="S1965" s="113">
        <f t="shared" si="60"/>
        <v>0</v>
      </c>
      <c r="T1965" s="113">
        <f t="shared" si="61"/>
        <v>0</v>
      </c>
    </row>
    <row r="1966" spans="8:20" x14ac:dyDescent="0.2">
      <c r="H1966" s="124"/>
      <c r="I1966" s="133" t="str">
        <f>IF(H1966&gt;0,(#REF!*H1966),"-")</f>
        <v>-</v>
      </c>
      <c r="S1966" s="113">
        <f t="shared" si="60"/>
        <v>0</v>
      </c>
      <c r="T1966" s="113">
        <f t="shared" si="61"/>
        <v>0</v>
      </c>
    </row>
    <row r="1967" spans="8:20" x14ac:dyDescent="0.2">
      <c r="H1967" s="124"/>
      <c r="I1967" s="133" t="str">
        <f>IF(H1967&gt;0,(#REF!*H1967),"-")</f>
        <v>-</v>
      </c>
      <c r="S1967" s="113">
        <f t="shared" si="60"/>
        <v>0</v>
      </c>
      <c r="T1967" s="113">
        <f t="shared" si="61"/>
        <v>0</v>
      </c>
    </row>
    <row r="1968" spans="8:20" x14ac:dyDescent="0.2">
      <c r="H1968" s="124"/>
      <c r="I1968" s="133" t="str">
        <f>IF(H1968&gt;0,(#REF!*H1968),"-")</f>
        <v>-</v>
      </c>
      <c r="S1968" s="113">
        <f t="shared" si="60"/>
        <v>0</v>
      </c>
      <c r="T1968" s="113">
        <f t="shared" si="61"/>
        <v>0</v>
      </c>
    </row>
    <row r="1969" spans="8:20" x14ac:dyDescent="0.2">
      <c r="H1969" s="124"/>
      <c r="I1969" s="133" t="str">
        <f>IF(H1969&gt;0,(#REF!*H1969),"-")</f>
        <v>-</v>
      </c>
      <c r="S1969" s="113">
        <f t="shared" si="60"/>
        <v>0</v>
      </c>
      <c r="T1969" s="113">
        <f t="shared" si="61"/>
        <v>0</v>
      </c>
    </row>
    <row r="1970" spans="8:20" x14ac:dyDescent="0.2">
      <c r="H1970" s="124"/>
      <c r="I1970" s="133" t="str">
        <f>IF(H1970&gt;0,(#REF!*H1970),"-")</f>
        <v>-</v>
      </c>
      <c r="S1970" s="113">
        <f t="shared" si="60"/>
        <v>0</v>
      </c>
      <c r="T1970" s="113">
        <f t="shared" si="61"/>
        <v>0</v>
      </c>
    </row>
    <row r="1971" spans="8:20" x14ac:dyDescent="0.2">
      <c r="H1971" s="124"/>
      <c r="I1971" s="133" t="str">
        <f>IF(H1971&gt;0,(#REF!*H1971),"-")</f>
        <v>-</v>
      </c>
      <c r="S1971" s="113">
        <f t="shared" si="60"/>
        <v>0</v>
      </c>
      <c r="T1971" s="113">
        <f t="shared" si="61"/>
        <v>0</v>
      </c>
    </row>
    <row r="1972" spans="8:20" x14ac:dyDescent="0.2">
      <c r="H1972" s="124"/>
      <c r="I1972" s="133" t="str">
        <f>IF(H1972&gt;0,(#REF!*H1972),"-")</f>
        <v>-</v>
      </c>
      <c r="S1972" s="113">
        <f t="shared" si="60"/>
        <v>0</v>
      </c>
      <c r="T1972" s="113">
        <f t="shared" si="61"/>
        <v>0</v>
      </c>
    </row>
    <row r="1973" spans="8:20" x14ac:dyDescent="0.2">
      <c r="H1973" s="124"/>
      <c r="I1973" s="133" t="str">
        <f>IF(H1973&gt;0,(#REF!*H1973),"-")</f>
        <v>-</v>
      </c>
      <c r="S1973" s="113">
        <f t="shared" si="60"/>
        <v>0</v>
      </c>
      <c r="T1973" s="113">
        <f t="shared" si="61"/>
        <v>0</v>
      </c>
    </row>
    <row r="1974" spans="8:20" x14ac:dyDescent="0.2">
      <c r="H1974" s="124"/>
      <c r="I1974" s="133" t="str">
        <f>IF(H1974&gt;0,(#REF!*H1974),"-")</f>
        <v>-</v>
      </c>
      <c r="S1974" s="113">
        <f t="shared" si="60"/>
        <v>0</v>
      </c>
      <c r="T1974" s="113">
        <f t="shared" si="61"/>
        <v>0</v>
      </c>
    </row>
    <row r="1975" spans="8:20" x14ac:dyDescent="0.2">
      <c r="H1975" s="124"/>
      <c r="I1975" s="133" t="str">
        <f>IF(H1975&gt;0,(#REF!*H1975),"-")</f>
        <v>-</v>
      </c>
      <c r="S1975" s="113">
        <f t="shared" si="60"/>
        <v>0</v>
      </c>
      <c r="T1975" s="113">
        <f t="shared" si="61"/>
        <v>0</v>
      </c>
    </row>
    <row r="1976" spans="8:20" x14ac:dyDescent="0.2">
      <c r="H1976" s="124"/>
      <c r="I1976" s="133" t="str">
        <f>IF(H1976&gt;0,(#REF!*H1976),"-")</f>
        <v>-</v>
      </c>
      <c r="S1976" s="113">
        <f t="shared" si="60"/>
        <v>0</v>
      </c>
      <c r="T1976" s="113">
        <f t="shared" si="61"/>
        <v>0</v>
      </c>
    </row>
    <row r="1977" spans="8:20" x14ac:dyDescent="0.2">
      <c r="H1977" s="124"/>
      <c r="I1977" s="133" t="str">
        <f>IF(H1977&gt;0,(#REF!*H1977),"-")</f>
        <v>-</v>
      </c>
      <c r="S1977" s="113">
        <f t="shared" si="60"/>
        <v>0</v>
      </c>
      <c r="T1977" s="113">
        <f t="shared" si="61"/>
        <v>0</v>
      </c>
    </row>
    <row r="1978" spans="8:20" x14ac:dyDescent="0.2">
      <c r="H1978" s="124"/>
      <c r="I1978" s="133" t="str">
        <f>IF(H1978&gt;0,(#REF!*H1978),"-")</f>
        <v>-</v>
      </c>
      <c r="S1978" s="113">
        <f t="shared" si="60"/>
        <v>0</v>
      </c>
      <c r="T1978" s="113">
        <f t="shared" si="61"/>
        <v>0</v>
      </c>
    </row>
    <row r="1979" spans="8:20" x14ac:dyDescent="0.2">
      <c r="H1979" s="124"/>
      <c r="I1979" s="133" t="str">
        <f>IF(H1979&gt;0,(#REF!*H1979),"-")</f>
        <v>-</v>
      </c>
      <c r="S1979" s="113">
        <f t="shared" si="60"/>
        <v>0</v>
      </c>
      <c r="T1979" s="113">
        <f t="shared" si="61"/>
        <v>0</v>
      </c>
    </row>
    <row r="1980" spans="8:20" x14ac:dyDescent="0.2">
      <c r="H1980" s="124"/>
      <c r="I1980" s="133" t="str">
        <f>IF(H1980&gt;0,(#REF!*H1980),"-")</f>
        <v>-</v>
      </c>
      <c r="S1980" s="113">
        <f t="shared" si="60"/>
        <v>0</v>
      </c>
      <c r="T1980" s="113">
        <f t="shared" si="61"/>
        <v>0</v>
      </c>
    </row>
    <row r="1981" spans="8:20" x14ac:dyDescent="0.2">
      <c r="H1981" s="124"/>
      <c r="I1981" s="133" t="str">
        <f>IF(H1981&gt;0,(#REF!*H1981),"-")</f>
        <v>-</v>
      </c>
      <c r="S1981" s="113">
        <f t="shared" si="60"/>
        <v>0</v>
      </c>
      <c r="T1981" s="113">
        <f t="shared" si="61"/>
        <v>0</v>
      </c>
    </row>
    <row r="1982" spans="8:20" x14ac:dyDescent="0.2">
      <c r="H1982" s="124"/>
      <c r="I1982" s="133" t="str">
        <f>IF(H1982&gt;0,(#REF!*H1982),"-")</f>
        <v>-</v>
      </c>
      <c r="S1982" s="113">
        <f t="shared" si="60"/>
        <v>0</v>
      </c>
      <c r="T1982" s="113">
        <f t="shared" si="61"/>
        <v>0</v>
      </c>
    </row>
    <row r="1983" spans="8:20" x14ac:dyDescent="0.2">
      <c r="H1983" s="124"/>
      <c r="I1983" s="133" t="str">
        <f>IF(H1983&gt;0,(#REF!*H1983),"-")</f>
        <v>-</v>
      </c>
      <c r="S1983" s="113">
        <f t="shared" si="60"/>
        <v>0</v>
      </c>
      <c r="T1983" s="113">
        <f t="shared" si="61"/>
        <v>0</v>
      </c>
    </row>
    <row r="1984" spans="8:20" x14ac:dyDescent="0.2">
      <c r="H1984" s="124"/>
      <c r="I1984" s="133" t="str">
        <f>IF(H1984&gt;0,(#REF!*H1984),"-")</f>
        <v>-</v>
      </c>
      <c r="S1984" s="113">
        <f t="shared" si="60"/>
        <v>0</v>
      </c>
      <c r="T1984" s="113">
        <f t="shared" si="61"/>
        <v>0</v>
      </c>
    </row>
    <row r="1985" spans="8:20" x14ac:dyDescent="0.2">
      <c r="H1985" s="124"/>
      <c r="I1985" s="133" t="str">
        <f>IF(H1985&gt;0,(#REF!*H1985),"-")</f>
        <v>-</v>
      </c>
      <c r="S1985" s="113">
        <f t="shared" si="60"/>
        <v>0</v>
      </c>
      <c r="T1985" s="113">
        <f t="shared" si="61"/>
        <v>0</v>
      </c>
    </row>
    <row r="1986" spans="8:20" x14ac:dyDescent="0.2">
      <c r="H1986" s="124"/>
      <c r="I1986" s="133" t="str">
        <f>IF(H1986&gt;0,(#REF!*H1986),"-")</f>
        <v>-</v>
      </c>
      <c r="S1986" s="113">
        <f t="shared" ref="S1986:S2000" si="62">Q1986*H1986</f>
        <v>0</v>
      </c>
      <c r="T1986" s="113">
        <f t="shared" ref="T1986:T2000" si="63">R1986*H1986</f>
        <v>0</v>
      </c>
    </row>
    <row r="1987" spans="8:20" x14ac:dyDescent="0.2">
      <c r="H1987" s="124"/>
      <c r="I1987" s="133" t="str">
        <f>IF(H1987&gt;0,(#REF!*H1987),"-")</f>
        <v>-</v>
      </c>
      <c r="S1987" s="113">
        <f t="shared" si="62"/>
        <v>0</v>
      </c>
      <c r="T1987" s="113">
        <f t="shared" si="63"/>
        <v>0</v>
      </c>
    </row>
    <row r="1988" spans="8:20" x14ac:dyDescent="0.2">
      <c r="H1988" s="124"/>
      <c r="I1988" s="133" t="str">
        <f>IF(H1988&gt;0,(#REF!*H1988),"-")</f>
        <v>-</v>
      </c>
      <c r="S1988" s="113">
        <f t="shared" si="62"/>
        <v>0</v>
      </c>
      <c r="T1988" s="113">
        <f t="shared" si="63"/>
        <v>0</v>
      </c>
    </row>
    <row r="1989" spans="8:20" x14ac:dyDescent="0.2">
      <c r="H1989" s="124"/>
      <c r="I1989" s="133" t="str">
        <f>IF(H1989&gt;0,(#REF!*H1989),"-")</f>
        <v>-</v>
      </c>
      <c r="S1989" s="113">
        <f t="shared" si="62"/>
        <v>0</v>
      </c>
      <c r="T1989" s="113">
        <f t="shared" si="63"/>
        <v>0</v>
      </c>
    </row>
    <row r="1990" spans="8:20" x14ac:dyDescent="0.2">
      <c r="H1990" s="124"/>
      <c r="I1990" s="133" t="str">
        <f>IF(H1990&gt;0,(#REF!*H1990),"-")</f>
        <v>-</v>
      </c>
      <c r="S1990" s="113">
        <f t="shared" si="62"/>
        <v>0</v>
      </c>
      <c r="T1990" s="113">
        <f t="shared" si="63"/>
        <v>0</v>
      </c>
    </row>
    <row r="1991" spans="8:20" x14ac:dyDescent="0.2">
      <c r="H1991" s="124"/>
      <c r="I1991" s="133" t="str">
        <f>IF(H1991&gt;0,(#REF!*H1991),"-")</f>
        <v>-</v>
      </c>
      <c r="S1991" s="113">
        <f t="shared" si="62"/>
        <v>0</v>
      </c>
      <c r="T1991" s="113">
        <f t="shared" si="63"/>
        <v>0</v>
      </c>
    </row>
    <row r="1992" spans="8:20" x14ac:dyDescent="0.2">
      <c r="H1992" s="124"/>
      <c r="I1992" s="133" t="str">
        <f>IF(H1992&gt;0,(#REF!*H1992),"-")</f>
        <v>-</v>
      </c>
      <c r="S1992" s="113">
        <f t="shared" si="62"/>
        <v>0</v>
      </c>
      <c r="T1992" s="113">
        <f t="shared" si="63"/>
        <v>0</v>
      </c>
    </row>
    <row r="1993" spans="8:20" x14ac:dyDescent="0.2">
      <c r="H1993" s="124"/>
      <c r="I1993" s="133" t="str">
        <f>IF(H1993&gt;0,(#REF!*H1993),"-")</f>
        <v>-</v>
      </c>
      <c r="S1993" s="113">
        <f t="shared" si="62"/>
        <v>0</v>
      </c>
      <c r="T1993" s="113">
        <f t="shared" si="63"/>
        <v>0</v>
      </c>
    </row>
    <row r="1994" spans="8:20" x14ac:dyDescent="0.2">
      <c r="H1994" s="124"/>
      <c r="I1994" s="133" t="str">
        <f>IF(H1994&gt;0,(#REF!*H1994),"-")</f>
        <v>-</v>
      </c>
      <c r="S1994" s="113">
        <f t="shared" si="62"/>
        <v>0</v>
      </c>
      <c r="T1994" s="113">
        <f t="shared" si="63"/>
        <v>0</v>
      </c>
    </row>
    <row r="1995" spans="8:20" x14ac:dyDescent="0.2">
      <c r="H1995" s="124"/>
      <c r="I1995" s="133" t="str">
        <f>IF(H1995&gt;0,(#REF!*H1995),"-")</f>
        <v>-</v>
      </c>
      <c r="S1995" s="113">
        <f t="shared" si="62"/>
        <v>0</v>
      </c>
      <c r="T1995" s="113">
        <f t="shared" si="63"/>
        <v>0</v>
      </c>
    </row>
    <row r="1996" spans="8:20" x14ac:dyDescent="0.2">
      <c r="H1996" s="124"/>
      <c r="I1996" s="133" t="str">
        <f>IF(H1996&gt;0,(#REF!*H1996),"-")</f>
        <v>-</v>
      </c>
      <c r="S1996" s="113">
        <f t="shared" si="62"/>
        <v>0</v>
      </c>
      <c r="T1996" s="113">
        <f t="shared" si="63"/>
        <v>0</v>
      </c>
    </row>
    <row r="1997" spans="8:20" x14ac:dyDescent="0.2">
      <c r="H1997" s="124"/>
      <c r="I1997" s="133" t="str">
        <f>IF(H1997&gt;0,(#REF!*H1997),"-")</f>
        <v>-</v>
      </c>
      <c r="S1997" s="113">
        <f t="shared" si="62"/>
        <v>0</v>
      </c>
      <c r="T1997" s="113">
        <f t="shared" si="63"/>
        <v>0</v>
      </c>
    </row>
    <row r="1998" spans="8:20" x14ac:dyDescent="0.2">
      <c r="H1998" s="124"/>
      <c r="I1998" s="133" t="str">
        <f>IF(H1998&gt;0,(#REF!*H1998),"-")</f>
        <v>-</v>
      </c>
      <c r="S1998" s="113">
        <f t="shared" si="62"/>
        <v>0</v>
      </c>
      <c r="T1998" s="113">
        <f t="shared" si="63"/>
        <v>0</v>
      </c>
    </row>
    <row r="1999" spans="8:20" x14ac:dyDescent="0.2">
      <c r="H1999" s="124"/>
      <c r="I1999" s="133" t="str">
        <f>IF(H1999&gt;0,(#REF!*H1999),"-")</f>
        <v>-</v>
      </c>
      <c r="S1999" s="113">
        <f t="shared" si="62"/>
        <v>0</v>
      </c>
      <c r="T1999" s="113">
        <f t="shared" si="63"/>
        <v>0</v>
      </c>
    </row>
    <row r="2000" spans="8:20" x14ac:dyDescent="0.2">
      <c r="H2000" s="124"/>
      <c r="I2000" s="133" t="str">
        <f>IF(H2000&gt;0,(#REF!*H2000),"-")</f>
        <v>-</v>
      </c>
      <c r="S2000" s="113">
        <f t="shared" si="62"/>
        <v>0</v>
      </c>
      <c r="T2000" s="113">
        <f t="shared" si="63"/>
        <v>0</v>
      </c>
    </row>
  </sheetData>
  <autoFilter ref="A1:T2000" xr:uid="{00000000-0009-0000-0000-000002000000}">
    <sortState xmlns:xlrd2="http://schemas.microsoft.com/office/spreadsheetml/2017/richdata2" ref="A2:T2000">
      <sortCondition descending="1" ref="A1:A2000"/>
    </sortState>
  </autoFilter>
  <printOptions headings="1"/>
  <pageMargins left="0.75294117647058834" right="0.75294117647058834" top="0.75294117647058834" bottom="0.75294117647058834" header="0.50980392156862753" footer="0.50980392156862753"/>
  <pageSetup paperSize="9" scale="59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G2309"/>
  <sheetViews>
    <sheetView workbookViewId="0">
      <pane ySplit="4" topLeftCell="A5" activePane="bottomLeft" state="frozen"/>
      <selection pane="bottomLeft" activeCell="M15" sqref="M15"/>
    </sheetView>
  </sheetViews>
  <sheetFormatPr defaultColWidth="9.140625" defaultRowHeight="14.25" customHeight="1" x14ac:dyDescent="0.2"/>
  <cols>
    <col min="1" max="1" width="15.42578125" style="70" customWidth="1"/>
    <col min="2" max="2" width="15.42578125" style="81" customWidth="1"/>
    <col min="3" max="3" width="44.140625" style="69" bestFit="1" customWidth="1"/>
    <col min="4" max="4" width="17.42578125" style="69" customWidth="1"/>
    <col min="5" max="5" width="15.85546875" style="69" customWidth="1"/>
    <col min="6" max="6" width="69.140625" style="69" bestFit="1" customWidth="1"/>
    <col min="7" max="16384" width="9.140625" style="74"/>
  </cols>
  <sheetData>
    <row r="1" spans="1:85" ht="14.25" customHeight="1" x14ac:dyDescent="0.2">
      <c r="A1" s="258" t="s">
        <v>6798</v>
      </c>
      <c r="B1" s="259"/>
      <c r="C1" s="259"/>
      <c r="D1" s="259"/>
      <c r="E1" s="259"/>
      <c r="F1" s="260"/>
    </row>
    <row r="2" spans="1:85" ht="14.25" customHeight="1" x14ac:dyDescent="0.2">
      <c r="A2" s="258" t="s">
        <v>6799</v>
      </c>
      <c r="B2" s="259"/>
      <c r="C2" s="259"/>
      <c r="D2" s="259"/>
      <c r="E2" s="259"/>
      <c r="F2" s="260"/>
    </row>
    <row r="3" spans="1:85" ht="14.25" customHeight="1" x14ac:dyDescent="0.2">
      <c r="A3" s="258" t="s">
        <v>6800</v>
      </c>
      <c r="B3" s="259"/>
      <c r="C3" s="259"/>
      <c r="D3" s="259"/>
      <c r="E3" s="259"/>
      <c r="F3" s="260"/>
    </row>
    <row r="4" spans="1:85" s="62" customFormat="1" ht="38.25" customHeight="1" x14ac:dyDescent="0.2">
      <c r="A4" s="63" t="s">
        <v>6801</v>
      </c>
      <c r="B4" s="80" t="s">
        <v>6802</v>
      </c>
      <c r="C4" s="80"/>
      <c r="D4" s="64" t="s">
        <v>6803</v>
      </c>
      <c r="E4" s="64" t="s">
        <v>6804</v>
      </c>
      <c r="F4" s="64" t="s">
        <v>6805</v>
      </c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</row>
    <row r="5" spans="1:85" ht="14.25" customHeight="1" x14ac:dyDescent="0.2">
      <c r="A5" s="65" t="s">
        <v>6806</v>
      </c>
      <c r="B5" s="65" t="s">
        <v>6807</v>
      </c>
      <c r="C5" s="65" t="s">
        <v>6808</v>
      </c>
      <c r="D5" s="66">
        <v>43901</v>
      </c>
      <c r="E5" s="65" t="s">
        <v>6809</v>
      </c>
      <c r="F5" s="79" t="s">
        <v>6810</v>
      </c>
      <c r="G5" s="61"/>
      <c r="I5" s="78"/>
    </row>
    <row r="6" spans="1:85" ht="14.25" customHeight="1" x14ac:dyDescent="0.2">
      <c r="A6" s="65" t="s">
        <v>6811</v>
      </c>
      <c r="B6" s="65" t="s">
        <v>6812</v>
      </c>
      <c r="C6" s="65" t="s">
        <v>6813</v>
      </c>
      <c r="D6" s="66">
        <v>43900</v>
      </c>
      <c r="E6" s="65" t="s">
        <v>6809</v>
      </c>
      <c r="F6" s="79" t="s">
        <v>6814</v>
      </c>
      <c r="G6" s="61"/>
      <c r="I6" s="78"/>
    </row>
    <row r="7" spans="1:85" ht="14.25" customHeight="1" x14ac:dyDescent="0.2">
      <c r="A7" s="65" t="s">
        <v>6815</v>
      </c>
      <c r="B7" s="65" t="s">
        <v>6816</v>
      </c>
      <c r="C7" s="65" t="s">
        <v>6817</v>
      </c>
      <c r="D7" s="66">
        <v>43900</v>
      </c>
      <c r="E7" s="65" t="s">
        <v>6809</v>
      </c>
      <c r="F7" s="79" t="s">
        <v>6814</v>
      </c>
      <c r="G7" s="61"/>
      <c r="I7" s="78"/>
    </row>
    <row r="8" spans="1:85" ht="14.25" customHeight="1" x14ac:dyDescent="0.2">
      <c r="A8" s="65" t="s">
        <v>6818</v>
      </c>
      <c r="B8" s="65" t="s">
        <v>6819</v>
      </c>
      <c r="C8" s="65" t="s">
        <v>6820</v>
      </c>
      <c r="D8" s="66">
        <v>43900</v>
      </c>
      <c r="E8" s="65" t="s">
        <v>6809</v>
      </c>
      <c r="F8" s="79" t="s">
        <v>6814</v>
      </c>
      <c r="G8" s="61"/>
      <c r="I8" s="78"/>
    </row>
    <row r="9" spans="1:85" ht="14.25" customHeight="1" x14ac:dyDescent="0.2">
      <c r="A9" s="65" t="s">
        <v>6821</v>
      </c>
      <c r="B9" s="65" t="s">
        <v>6822</v>
      </c>
      <c r="C9" s="65" t="s">
        <v>6823</v>
      </c>
      <c r="D9" s="66">
        <v>43900</v>
      </c>
      <c r="E9" s="65" t="s">
        <v>6809</v>
      </c>
      <c r="F9" s="79" t="s">
        <v>6824</v>
      </c>
      <c r="G9" s="61"/>
      <c r="I9" s="78"/>
    </row>
    <row r="10" spans="1:85" ht="14.25" customHeight="1" x14ac:dyDescent="0.2">
      <c r="A10" s="65" t="s">
        <v>6825</v>
      </c>
      <c r="B10" s="65" t="s">
        <v>6826</v>
      </c>
      <c r="C10" s="65" t="s">
        <v>6827</v>
      </c>
      <c r="D10" s="66">
        <v>43900</v>
      </c>
      <c r="E10" s="65" t="s">
        <v>6809</v>
      </c>
      <c r="F10" s="79" t="s">
        <v>6810</v>
      </c>
      <c r="G10" s="61"/>
      <c r="I10" s="78"/>
    </row>
    <row r="11" spans="1:85" ht="14.25" customHeight="1" x14ac:dyDescent="0.2">
      <c r="A11" s="65" t="s">
        <v>6828</v>
      </c>
      <c r="B11" s="65" t="s">
        <v>6829</v>
      </c>
      <c r="C11" s="65" t="s">
        <v>6830</v>
      </c>
      <c r="D11" s="66">
        <v>43894</v>
      </c>
      <c r="E11" s="65" t="s">
        <v>6809</v>
      </c>
      <c r="F11" s="79" t="s">
        <v>6810</v>
      </c>
      <c r="G11" s="61"/>
      <c r="I11" s="78"/>
    </row>
    <row r="12" spans="1:85" ht="14.25" customHeight="1" x14ac:dyDescent="0.2">
      <c r="A12" s="65" t="s">
        <v>6831</v>
      </c>
      <c r="B12" s="65" t="s">
        <v>6832</v>
      </c>
      <c r="C12" s="65" t="s">
        <v>6833</v>
      </c>
      <c r="D12" s="66">
        <v>43894</v>
      </c>
      <c r="E12" s="65" t="s">
        <v>6809</v>
      </c>
      <c r="F12" s="79" t="s">
        <v>6810</v>
      </c>
      <c r="G12" s="61"/>
      <c r="I12" s="78"/>
    </row>
    <row r="13" spans="1:85" ht="14.25" customHeight="1" x14ac:dyDescent="0.2">
      <c r="A13" s="65" t="s">
        <v>6834</v>
      </c>
      <c r="B13" s="65" t="s">
        <v>6835</v>
      </c>
      <c r="C13" s="65" t="s">
        <v>6836</v>
      </c>
      <c r="D13" s="66">
        <v>43894</v>
      </c>
      <c r="E13" s="65" t="s">
        <v>6809</v>
      </c>
      <c r="F13" s="79" t="s">
        <v>6810</v>
      </c>
      <c r="G13" s="61"/>
      <c r="I13" s="78"/>
    </row>
    <row r="14" spans="1:85" ht="14.25" customHeight="1" x14ac:dyDescent="0.2">
      <c r="A14" s="65" t="s">
        <v>6837</v>
      </c>
      <c r="B14" s="65" t="s">
        <v>6838</v>
      </c>
      <c r="C14" s="65" t="s">
        <v>6839</v>
      </c>
      <c r="D14" s="66">
        <v>43894</v>
      </c>
      <c r="E14" s="65" t="s">
        <v>6809</v>
      </c>
      <c r="F14" s="79" t="s">
        <v>6810</v>
      </c>
      <c r="G14" s="61"/>
      <c r="I14" s="78"/>
    </row>
    <row r="15" spans="1:85" ht="14.25" customHeight="1" x14ac:dyDescent="0.2">
      <c r="A15" s="65" t="s">
        <v>6840</v>
      </c>
      <c r="B15" s="65" t="s">
        <v>6841</v>
      </c>
      <c r="C15" s="65" t="s">
        <v>6842</v>
      </c>
      <c r="D15" s="66">
        <v>43894</v>
      </c>
      <c r="E15" s="65" t="s">
        <v>6809</v>
      </c>
      <c r="F15" s="79" t="s">
        <v>6810</v>
      </c>
      <c r="G15" s="61"/>
      <c r="I15" s="78"/>
    </row>
    <row r="16" spans="1:85" ht="14.25" customHeight="1" x14ac:dyDescent="0.2">
      <c r="A16" s="65" t="s">
        <v>6843</v>
      </c>
      <c r="B16" s="65" t="s">
        <v>6844</v>
      </c>
      <c r="C16" s="65" t="s">
        <v>6845</v>
      </c>
      <c r="D16" s="66">
        <v>43894</v>
      </c>
      <c r="E16" s="65" t="s">
        <v>6809</v>
      </c>
      <c r="F16" s="79" t="s">
        <v>6810</v>
      </c>
      <c r="G16" s="61"/>
      <c r="I16" s="78"/>
    </row>
    <row r="17" spans="1:9" ht="14.25" customHeight="1" x14ac:dyDescent="0.2">
      <c r="A17" s="65" t="s">
        <v>6846</v>
      </c>
      <c r="B17" s="65" t="s">
        <v>6847</v>
      </c>
      <c r="C17" s="65" t="s">
        <v>6848</v>
      </c>
      <c r="D17" s="66">
        <v>43892</v>
      </c>
      <c r="E17" s="65" t="s">
        <v>6809</v>
      </c>
      <c r="F17" s="79" t="s">
        <v>6810</v>
      </c>
      <c r="G17" s="61"/>
      <c r="I17" s="78"/>
    </row>
    <row r="18" spans="1:9" ht="14.25" customHeight="1" x14ac:dyDescent="0.2">
      <c r="A18" s="65" t="s">
        <v>6849</v>
      </c>
      <c r="B18" s="65" t="s">
        <v>6850</v>
      </c>
      <c r="C18" s="65" t="s">
        <v>6851</v>
      </c>
      <c r="D18" s="66">
        <v>43888</v>
      </c>
      <c r="E18" s="65" t="s">
        <v>6809</v>
      </c>
      <c r="F18" s="79" t="s">
        <v>6810</v>
      </c>
      <c r="G18" s="61"/>
      <c r="I18" s="78"/>
    </row>
    <row r="19" spans="1:9" ht="14.25" customHeight="1" x14ac:dyDescent="0.2">
      <c r="A19" s="65" t="s">
        <v>6852</v>
      </c>
      <c r="B19" s="65" t="s">
        <v>6853</v>
      </c>
      <c r="C19" s="65" t="s">
        <v>6854</v>
      </c>
      <c r="D19" s="66">
        <v>43886</v>
      </c>
      <c r="E19" s="65" t="s">
        <v>6809</v>
      </c>
      <c r="F19" s="79" t="s">
        <v>6814</v>
      </c>
      <c r="G19" s="61"/>
      <c r="I19" s="78"/>
    </row>
    <row r="20" spans="1:9" ht="14.25" customHeight="1" x14ac:dyDescent="0.2">
      <c r="A20" s="65" t="s">
        <v>6855</v>
      </c>
      <c r="B20" s="65" t="s">
        <v>6856</v>
      </c>
      <c r="C20" s="65" t="s">
        <v>6857</v>
      </c>
      <c r="D20" s="66">
        <v>43886</v>
      </c>
      <c r="E20" s="65" t="s">
        <v>6809</v>
      </c>
      <c r="F20" s="79" t="s">
        <v>6824</v>
      </c>
      <c r="G20" s="61"/>
      <c r="I20" s="78"/>
    </row>
    <row r="21" spans="1:9" ht="14.25" customHeight="1" x14ac:dyDescent="0.2">
      <c r="A21" s="65" t="s">
        <v>6858</v>
      </c>
      <c r="B21" s="65" t="s">
        <v>6859</v>
      </c>
      <c r="C21" s="65" t="s">
        <v>6860</v>
      </c>
      <c r="D21" s="66">
        <v>43886</v>
      </c>
      <c r="E21" s="65" t="s">
        <v>6809</v>
      </c>
      <c r="F21" s="79" t="s">
        <v>6824</v>
      </c>
      <c r="G21" s="61"/>
      <c r="I21" s="78"/>
    </row>
    <row r="22" spans="1:9" ht="14.25" customHeight="1" x14ac:dyDescent="0.2">
      <c r="A22" s="65" t="s">
        <v>6861</v>
      </c>
      <c r="B22" s="65" t="s">
        <v>6862</v>
      </c>
      <c r="C22" s="65" t="s">
        <v>6863</v>
      </c>
      <c r="D22" s="66">
        <v>43879</v>
      </c>
      <c r="E22" s="65" t="s">
        <v>6809</v>
      </c>
      <c r="F22" s="79" t="s">
        <v>6814</v>
      </c>
      <c r="G22" s="61"/>
      <c r="I22" s="78"/>
    </row>
    <row r="23" spans="1:9" ht="14.25" customHeight="1" x14ac:dyDescent="0.2">
      <c r="A23" s="65" t="s">
        <v>6864</v>
      </c>
      <c r="B23" s="65" t="s">
        <v>6865</v>
      </c>
      <c r="C23" s="65" t="s">
        <v>6866</v>
      </c>
      <c r="D23" s="66">
        <v>43879</v>
      </c>
      <c r="E23" s="65" t="s">
        <v>6809</v>
      </c>
      <c r="F23" s="79" t="s">
        <v>6810</v>
      </c>
      <c r="G23" s="61"/>
      <c r="I23" s="78"/>
    </row>
    <row r="24" spans="1:9" ht="14.25" customHeight="1" x14ac:dyDescent="0.2">
      <c r="A24" s="65" t="s">
        <v>6867</v>
      </c>
      <c r="B24" s="65" t="s">
        <v>6868</v>
      </c>
      <c r="C24" s="65" t="s">
        <v>6869</v>
      </c>
      <c r="D24" s="66">
        <v>43873</v>
      </c>
      <c r="E24" s="65" t="s">
        <v>6809</v>
      </c>
      <c r="F24" s="79" t="s">
        <v>6824</v>
      </c>
      <c r="G24" s="61"/>
      <c r="I24" s="78"/>
    </row>
    <row r="25" spans="1:9" ht="14.25" customHeight="1" x14ac:dyDescent="0.2">
      <c r="A25" s="65" t="s">
        <v>6870</v>
      </c>
      <c r="B25" s="65" t="s">
        <v>6871</v>
      </c>
      <c r="C25" s="65" t="s">
        <v>6872</v>
      </c>
      <c r="D25" s="66">
        <v>43872</v>
      </c>
      <c r="E25" s="65" t="s">
        <v>6809</v>
      </c>
      <c r="F25" s="79" t="s">
        <v>6824</v>
      </c>
      <c r="G25" s="61"/>
      <c r="I25" s="78"/>
    </row>
    <row r="26" spans="1:9" ht="14.25" customHeight="1" x14ac:dyDescent="0.2">
      <c r="A26" s="65" t="s">
        <v>6873</v>
      </c>
      <c r="B26" s="65" t="s">
        <v>6874</v>
      </c>
      <c r="C26" s="65" t="s">
        <v>6875</v>
      </c>
      <c r="D26" s="66">
        <v>43871</v>
      </c>
      <c r="E26" s="65" t="s">
        <v>6809</v>
      </c>
      <c r="F26" s="79" t="s">
        <v>6814</v>
      </c>
      <c r="G26" s="61"/>
      <c r="I26" s="78"/>
    </row>
    <row r="27" spans="1:9" ht="14.25" customHeight="1" x14ac:dyDescent="0.2">
      <c r="A27" s="65" t="s">
        <v>6876</v>
      </c>
      <c r="B27" s="65" t="s">
        <v>6877</v>
      </c>
      <c r="C27" s="65" t="s">
        <v>6878</v>
      </c>
      <c r="D27" s="66">
        <v>43871</v>
      </c>
      <c r="E27" s="65" t="s">
        <v>6809</v>
      </c>
      <c r="F27" s="79" t="s">
        <v>6814</v>
      </c>
      <c r="G27" s="61"/>
      <c r="I27" s="78"/>
    </row>
    <row r="28" spans="1:9" ht="14.25" customHeight="1" x14ac:dyDescent="0.2">
      <c r="A28" s="65" t="s">
        <v>6879</v>
      </c>
      <c r="B28" s="65" t="s">
        <v>6880</v>
      </c>
      <c r="C28" s="65" t="s">
        <v>6881</v>
      </c>
      <c r="D28" s="66">
        <v>43871</v>
      </c>
      <c r="E28" s="65" t="s">
        <v>6809</v>
      </c>
      <c r="F28" s="79" t="s">
        <v>6814</v>
      </c>
      <c r="G28" s="61"/>
      <c r="I28" s="78"/>
    </row>
    <row r="29" spans="1:9" ht="14.25" customHeight="1" x14ac:dyDescent="0.2">
      <c r="A29" s="65" t="s">
        <v>6882</v>
      </c>
      <c r="B29" s="65" t="s">
        <v>6883</v>
      </c>
      <c r="C29" s="65" t="s">
        <v>6884</v>
      </c>
      <c r="D29" s="66">
        <v>43871</v>
      </c>
      <c r="E29" s="65" t="s">
        <v>6809</v>
      </c>
      <c r="F29" s="79" t="s">
        <v>6814</v>
      </c>
      <c r="G29" s="61"/>
      <c r="I29" s="78"/>
    </row>
    <row r="30" spans="1:9" ht="14.25" customHeight="1" x14ac:dyDescent="0.2">
      <c r="A30" s="65" t="s">
        <v>6885</v>
      </c>
      <c r="B30" s="65" t="s">
        <v>6886</v>
      </c>
      <c r="C30" s="65" t="s">
        <v>6887</v>
      </c>
      <c r="D30" s="66">
        <v>43871</v>
      </c>
      <c r="E30" s="65" t="s">
        <v>6809</v>
      </c>
      <c r="F30" s="79" t="s">
        <v>6814</v>
      </c>
      <c r="G30" s="61"/>
      <c r="I30" s="78"/>
    </row>
    <row r="31" spans="1:9" ht="14.25" customHeight="1" x14ac:dyDescent="0.2">
      <c r="A31" s="65" t="s">
        <v>6888</v>
      </c>
      <c r="B31" s="65" t="s">
        <v>6889</v>
      </c>
      <c r="C31" s="65" t="s">
        <v>6890</v>
      </c>
      <c r="D31" s="66">
        <v>43871</v>
      </c>
      <c r="E31" s="65" t="s">
        <v>6809</v>
      </c>
      <c r="F31" s="79" t="s">
        <v>6824</v>
      </c>
      <c r="G31" s="61"/>
      <c r="I31" s="78"/>
    </row>
    <row r="32" spans="1:9" ht="14.25" customHeight="1" x14ac:dyDescent="0.2">
      <c r="A32" s="65" t="s">
        <v>6891</v>
      </c>
      <c r="B32" s="65" t="s">
        <v>6892</v>
      </c>
      <c r="C32" s="65" t="s">
        <v>6893</v>
      </c>
      <c r="D32" s="66">
        <v>43871</v>
      </c>
      <c r="E32" s="65" t="s">
        <v>6809</v>
      </c>
      <c r="F32" s="79" t="s">
        <v>6824</v>
      </c>
      <c r="G32" s="61"/>
      <c r="I32" s="78"/>
    </row>
    <row r="33" spans="1:9" ht="14.25" customHeight="1" x14ac:dyDescent="0.2">
      <c r="A33" s="65" t="s">
        <v>6894</v>
      </c>
      <c r="B33" s="65" t="s">
        <v>6895</v>
      </c>
      <c r="C33" s="65" t="s">
        <v>6896</v>
      </c>
      <c r="D33" s="66">
        <v>43871</v>
      </c>
      <c r="E33" s="65" t="s">
        <v>6809</v>
      </c>
      <c r="F33" s="79" t="s">
        <v>6814</v>
      </c>
      <c r="G33" s="61"/>
      <c r="I33" s="78"/>
    </row>
    <row r="34" spans="1:9" ht="14.25" customHeight="1" x14ac:dyDescent="0.2">
      <c r="A34" s="65" t="s">
        <v>6897</v>
      </c>
      <c r="B34" s="65" t="s">
        <v>6898</v>
      </c>
      <c r="C34" s="65" t="s">
        <v>6899</v>
      </c>
      <c r="D34" s="66">
        <v>43865</v>
      </c>
      <c r="E34" s="65" t="s">
        <v>6809</v>
      </c>
      <c r="F34" s="79" t="s">
        <v>6814</v>
      </c>
      <c r="G34" s="61"/>
      <c r="I34" s="78"/>
    </row>
    <row r="35" spans="1:9" ht="14.25" customHeight="1" x14ac:dyDescent="0.2">
      <c r="A35" s="65" t="s">
        <v>6900</v>
      </c>
      <c r="B35" s="65" t="s">
        <v>6901</v>
      </c>
      <c r="C35" s="65" t="s">
        <v>6902</v>
      </c>
      <c r="D35" s="66">
        <v>43865</v>
      </c>
      <c r="E35" s="65" t="s">
        <v>6809</v>
      </c>
      <c r="F35" s="79" t="s">
        <v>6824</v>
      </c>
      <c r="G35" s="61"/>
      <c r="I35" s="78"/>
    </row>
    <row r="36" spans="1:9" ht="14.25" customHeight="1" x14ac:dyDescent="0.2">
      <c r="A36" s="65" t="s">
        <v>6903</v>
      </c>
      <c r="B36" s="65" t="s">
        <v>6904</v>
      </c>
      <c r="C36" s="65" t="s">
        <v>6905</v>
      </c>
      <c r="D36" s="66">
        <v>43861</v>
      </c>
      <c r="E36" s="65" t="s">
        <v>6809</v>
      </c>
      <c r="F36" s="79" t="s">
        <v>6814</v>
      </c>
      <c r="G36" s="61"/>
      <c r="I36" s="78"/>
    </row>
    <row r="37" spans="1:9" ht="14.25" customHeight="1" x14ac:dyDescent="0.2">
      <c r="A37" s="65" t="s">
        <v>6906</v>
      </c>
      <c r="B37" s="65" t="s">
        <v>6907</v>
      </c>
      <c r="C37" s="65" t="s">
        <v>6908</v>
      </c>
      <c r="D37" s="66">
        <v>43859</v>
      </c>
      <c r="E37" s="65" t="s">
        <v>6809</v>
      </c>
      <c r="F37" s="79" t="s">
        <v>6824</v>
      </c>
      <c r="G37" s="61"/>
      <c r="I37" s="78"/>
    </row>
    <row r="38" spans="1:9" ht="14.25" customHeight="1" x14ac:dyDescent="0.2">
      <c r="A38" s="65" t="s">
        <v>6909</v>
      </c>
      <c r="B38" s="65" t="s">
        <v>6910</v>
      </c>
      <c r="C38" s="65" t="s">
        <v>6911</v>
      </c>
      <c r="D38" s="66">
        <v>43857</v>
      </c>
      <c r="E38" s="65" t="s">
        <v>6809</v>
      </c>
      <c r="F38" s="79" t="s">
        <v>6824</v>
      </c>
      <c r="G38" s="61"/>
      <c r="I38" s="78"/>
    </row>
    <row r="39" spans="1:9" ht="14.25" customHeight="1" x14ac:dyDescent="0.2">
      <c r="A39" s="65" t="s">
        <v>6912</v>
      </c>
      <c r="B39" s="65" t="s">
        <v>6913</v>
      </c>
      <c r="C39" s="65" t="s">
        <v>6914</v>
      </c>
      <c r="D39" s="66">
        <v>43855</v>
      </c>
      <c r="E39" s="65" t="s">
        <v>6809</v>
      </c>
      <c r="F39" s="79" t="s">
        <v>6824</v>
      </c>
      <c r="G39" s="61"/>
      <c r="I39" s="78"/>
    </row>
    <row r="40" spans="1:9" ht="14.25" customHeight="1" x14ac:dyDescent="0.2">
      <c r="A40" s="65" t="s">
        <v>6915</v>
      </c>
      <c r="B40" s="65" t="s">
        <v>6916</v>
      </c>
      <c r="C40" s="65" t="s">
        <v>6917</v>
      </c>
      <c r="D40" s="66">
        <v>43851</v>
      </c>
      <c r="E40" s="65" t="s">
        <v>6809</v>
      </c>
      <c r="F40" s="79" t="s">
        <v>6810</v>
      </c>
      <c r="G40" s="61"/>
      <c r="I40" s="78"/>
    </row>
    <row r="41" spans="1:9" ht="14.25" customHeight="1" x14ac:dyDescent="0.2">
      <c r="A41" s="65" t="s">
        <v>6918</v>
      </c>
      <c r="B41" s="65" t="s">
        <v>6919</v>
      </c>
      <c r="C41" s="65" t="s">
        <v>6920</v>
      </c>
      <c r="D41" s="66">
        <v>43851</v>
      </c>
      <c r="E41" s="65" t="s">
        <v>6809</v>
      </c>
      <c r="F41" s="79" t="s">
        <v>6814</v>
      </c>
      <c r="G41" s="61"/>
      <c r="I41" s="78"/>
    </row>
    <row r="42" spans="1:9" ht="14.25" customHeight="1" x14ac:dyDescent="0.2">
      <c r="A42" s="65" t="s">
        <v>6921</v>
      </c>
      <c r="B42" s="65" t="s">
        <v>6922</v>
      </c>
      <c r="C42" s="65" t="s">
        <v>6923</v>
      </c>
      <c r="D42" s="66">
        <v>43851</v>
      </c>
      <c r="E42" s="65" t="s">
        <v>6809</v>
      </c>
      <c r="F42" s="79" t="s">
        <v>6824</v>
      </c>
      <c r="G42" s="61"/>
      <c r="I42" s="78"/>
    </row>
    <row r="43" spans="1:9" ht="14.25" customHeight="1" x14ac:dyDescent="0.2">
      <c r="A43" s="65" t="s">
        <v>6924</v>
      </c>
      <c r="B43" s="65" t="s">
        <v>6925</v>
      </c>
      <c r="C43" s="65" t="s">
        <v>6926</v>
      </c>
      <c r="D43" s="66">
        <v>43846</v>
      </c>
      <c r="E43" s="65" t="s">
        <v>6809</v>
      </c>
      <c r="F43" s="79" t="s">
        <v>6814</v>
      </c>
      <c r="G43" s="61"/>
      <c r="I43" s="78"/>
    </row>
    <row r="44" spans="1:9" ht="14.25" customHeight="1" x14ac:dyDescent="0.2">
      <c r="A44" s="65" t="s">
        <v>6927</v>
      </c>
      <c r="B44" s="65" t="s">
        <v>6928</v>
      </c>
      <c r="C44" s="65" t="s">
        <v>6929</v>
      </c>
      <c r="D44" s="66">
        <v>43845</v>
      </c>
      <c r="E44" s="65" t="s">
        <v>6809</v>
      </c>
      <c r="F44" s="79" t="s">
        <v>6824</v>
      </c>
      <c r="G44" s="61"/>
      <c r="I44" s="78"/>
    </row>
    <row r="45" spans="1:9" ht="14.25" customHeight="1" x14ac:dyDescent="0.2">
      <c r="A45" s="65" t="s">
        <v>6930</v>
      </c>
      <c r="B45" s="65" t="s">
        <v>6931</v>
      </c>
      <c r="C45" s="65" t="s">
        <v>6932</v>
      </c>
      <c r="D45" s="66">
        <v>43845</v>
      </c>
      <c r="E45" s="65" t="s">
        <v>6809</v>
      </c>
      <c r="F45" s="79" t="s">
        <v>6824</v>
      </c>
      <c r="G45" s="61"/>
      <c r="I45" s="78"/>
    </row>
    <row r="46" spans="1:9" ht="14.25" customHeight="1" x14ac:dyDescent="0.2">
      <c r="A46" s="65" t="s">
        <v>6933</v>
      </c>
      <c r="B46" s="65" t="s">
        <v>6934</v>
      </c>
      <c r="C46" s="65" t="s">
        <v>6935</v>
      </c>
      <c r="D46" s="66">
        <v>43843</v>
      </c>
      <c r="E46" s="65" t="s">
        <v>6809</v>
      </c>
      <c r="F46" s="79" t="s">
        <v>6814</v>
      </c>
      <c r="G46" s="61"/>
      <c r="I46" s="78"/>
    </row>
    <row r="47" spans="1:9" ht="14.25" customHeight="1" x14ac:dyDescent="0.2">
      <c r="A47" s="65" t="s">
        <v>6936</v>
      </c>
      <c r="B47" s="65" t="s">
        <v>6937</v>
      </c>
      <c r="C47" s="65" t="s">
        <v>6938</v>
      </c>
      <c r="D47" s="66">
        <v>43843</v>
      </c>
      <c r="E47" s="65" t="s">
        <v>6809</v>
      </c>
      <c r="F47" s="79" t="s">
        <v>6814</v>
      </c>
      <c r="G47" s="61"/>
      <c r="I47" s="78"/>
    </row>
    <row r="48" spans="1:9" ht="14.25" customHeight="1" x14ac:dyDescent="0.2">
      <c r="A48" s="65" t="s">
        <v>6939</v>
      </c>
      <c r="B48" s="65" t="s">
        <v>1870</v>
      </c>
      <c r="C48" s="65" t="s">
        <v>6940</v>
      </c>
      <c r="D48" s="66">
        <v>43843</v>
      </c>
      <c r="E48" s="65" t="s">
        <v>6809</v>
      </c>
      <c r="F48" s="82" t="s">
        <v>6941</v>
      </c>
      <c r="G48" s="61"/>
      <c r="I48" s="78"/>
    </row>
    <row r="49" spans="1:9" ht="14.25" customHeight="1" x14ac:dyDescent="0.2">
      <c r="A49" s="65" t="s">
        <v>6942</v>
      </c>
      <c r="B49" s="65" t="s">
        <v>6943</v>
      </c>
      <c r="C49" s="65" t="s">
        <v>6944</v>
      </c>
      <c r="D49" s="66">
        <v>43843</v>
      </c>
      <c r="E49" s="65" t="s">
        <v>6809</v>
      </c>
      <c r="F49" s="79" t="s">
        <v>6824</v>
      </c>
      <c r="G49" s="61"/>
      <c r="I49" s="78"/>
    </row>
    <row r="50" spans="1:9" ht="14.25" customHeight="1" x14ac:dyDescent="0.2">
      <c r="A50" s="65" t="s">
        <v>6945</v>
      </c>
      <c r="B50" s="65" t="s">
        <v>6946</v>
      </c>
      <c r="C50" s="65" t="s">
        <v>6947</v>
      </c>
      <c r="D50" s="66">
        <v>43843</v>
      </c>
      <c r="E50" s="65" t="s">
        <v>6809</v>
      </c>
      <c r="F50" s="79" t="s">
        <v>6810</v>
      </c>
      <c r="G50" s="61"/>
      <c r="I50" s="78"/>
    </row>
    <row r="51" spans="1:9" ht="14.25" customHeight="1" x14ac:dyDescent="0.2">
      <c r="A51" s="65" t="s">
        <v>6948</v>
      </c>
      <c r="B51" s="65" t="s">
        <v>6949</v>
      </c>
      <c r="C51" s="65" t="s">
        <v>6950</v>
      </c>
      <c r="D51" s="66">
        <v>43843</v>
      </c>
      <c r="E51" s="65" t="s">
        <v>6809</v>
      </c>
      <c r="F51" s="79" t="s">
        <v>6810</v>
      </c>
      <c r="G51" s="61"/>
      <c r="I51" s="78"/>
    </row>
    <row r="52" spans="1:9" ht="14.25" customHeight="1" x14ac:dyDescent="0.2">
      <c r="A52" s="65" t="s">
        <v>6951</v>
      </c>
      <c r="B52" s="65" t="s">
        <v>6952</v>
      </c>
      <c r="C52" s="65" t="s">
        <v>6953</v>
      </c>
      <c r="D52" s="66">
        <v>43843</v>
      </c>
      <c r="E52" s="65" t="s">
        <v>6809</v>
      </c>
      <c r="F52" s="79" t="s">
        <v>6810</v>
      </c>
      <c r="G52" s="61"/>
      <c r="I52" s="78"/>
    </row>
    <row r="53" spans="1:9" ht="14.25" customHeight="1" x14ac:dyDescent="0.2">
      <c r="A53" s="65" t="s">
        <v>6954</v>
      </c>
      <c r="B53" s="65" t="s">
        <v>6955</v>
      </c>
      <c r="C53" s="65" t="s">
        <v>6956</v>
      </c>
      <c r="D53" s="66">
        <v>43843</v>
      </c>
      <c r="E53" s="65" t="s">
        <v>6809</v>
      </c>
      <c r="F53" s="79" t="s">
        <v>6810</v>
      </c>
      <c r="G53" s="61"/>
      <c r="I53" s="78"/>
    </row>
    <row r="54" spans="1:9" ht="14.25" customHeight="1" x14ac:dyDescent="0.2">
      <c r="A54" s="65" t="s">
        <v>6957</v>
      </c>
      <c r="B54" s="65" t="s">
        <v>6958</v>
      </c>
      <c r="C54" s="65" t="s">
        <v>6959</v>
      </c>
      <c r="D54" s="66">
        <v>43843</v>
      </c>
      <c r="E54" s="65" t="s">
        <v>6809</v>
      </c>
      <c r="F54" s="79" t="s">
        <v>6810</v>
      </c>
      <c r="G54" s="61"/>
      <c r="I54" s="78"/>
    </row>
    <row r="55" spans="1:9" ht="14.25" customHeight="1" x14ac:dyDescent="0.2">
      <c r="A55" s="65" t="s">
        <v>6960</v>
      </c>
      <c r="B55" s="65" t="s">
        <v>6961</v>
      </c>
      <c r="C55" s="65" t="s">
        <v>6962</v>
      </c>
      <c r="D55" s="66">
        <v>43843</v>
      </c>
      <c r="E55" s="65" t="s">
        <v>6809</v>
      </c>
      <c r="F55" s="79" t="s">
        <v>6810</v>
      </c>
      <c r="G55" s="61"/>
      <c r="I55" s="78"/>
    </row>
    <row r="56" spans="1:9" ht="14.25" customHeight="1" x14ac:dyDescent="0.2">
      <c r="A56" s="65" t="s">
        <v>6963</v>
      </c>
      <c r="B56" s="65" t="s">
        <v>6964</v>
      </c>
      <c r="C56" s="65" t="s">
        <v>6965</v>
      </c>
      <c r="D56" s="66">
        <v>43843</v>
      </c>
      <c r="E56" s="65" t="s">
        <v>6809</v>
      </c>
      <c r="F56" s="79" t="s">
        <v>6810</v>
      </c>
      <c r="G56" s="61"/>
      <c r="I56" s="78"/>
    </row>
    <row r="57" spans="1:9" ht="14.25" customHeight="1" x14ac:dyDescent="0.2">
      <c r="A57" s="65" t="s">
        <v>6966</v>
      </c>
      <c r="B57" s="65" t="s">
        <v>6967</v>
      </c>
      <c r="C57" s="65" t="s">
        <v>6968</v>
      </c>
      <c r="D57" s="66">
        <v>43843</v>
      </c>
      <c r="E57" s="65" t="s">
        <v>6809</v>
      </c>
      <c r="F57" s="79" t="s">
        <v>6810</v>
      </c>
      <c r="G57" s="61"/>
      <c r="I57" s="78"/>
    </row>
    <row r="58" spans="1:9" ht="14.25" customHeight="1" x14ac:dyDescent="0.2">
      <c r="A58" s="65" t="s">
        <v>6969</v>
      </c>
      <c r="B58" s="65" t="s">
        <v>6970</v>
      </c>
      <c r="C58" s="65" t="s">
        <v>6971</v>
      </c>
      <c r="D58" s="66">
        <v>43843</v>
      </c>
      <c r="E58" s="65" t="s">
        <v>6809</v>
      </c>
      <c r="F58" s="79" t="s">
        <v>6810</v>
      </c>
      <c r="G58" s="61"/>
      <c r="I58" s="78"/>
    </row>
    <row r="59" spans="1:9" ht="14.25" customHeight="1" x14ac:dyDescent="0.2">
      <c r="A59" s="65" t="s">
        <v>6972</v>
      </c>
      <c r="B59" s="65" t="s">
        <v>6973</v>
      </c>
      <c r="C59" s="65" t="s">
        <v>6974</v>
      </c>
      <c r="D59" s="66">
        <v>43843</v>
      </c>
      <c r="E59" s="65" t="s">
        <v>6809</v>
      </c>
      <c r="F59" s="79" t="s">
        <v>6810</v>
      </c>
      <c r="G59" s="61"/>
      <c r="I59" s="78"/>
    </row>
    <row r="60" spans="1:9" ht="14.25" customHeight="1" x14ac:dyDescent="0.2">
      <c r="A60" s="65" t="s">
        <v>6975</v>
      </c>
      <c r="B60" s="65" t="s">
        <v>6976</v>
      </c>
      <c r="C60" s="65" t="s">
        <v>6977</v>
      </c>
      <c r="D60" s="66">
        <v>43843</v>
      </c>
      <c r="E60" s="65" t="s">
        <v>6809</v>
      </c>
      <c r="F60" s="79" t="s">
        <v>6810</v>
      </c>
      <c r="G60" s="61"/>
      <c r="I60" s="78"/>
    </row>
    <row r="61" spans="1:9" ht="14.25" customHeight="1" x14ac:dyDescent="0.2">
      <c r="A61" s="65" t="s">
        <v>6978</v>
      </c>
      <c r="B61" s="65" t="s">
        <v>6979</v>
      </c>
      <c r="C61" s="65" t="s">
        <v>6980</v>
      </c>
      <c r="D61" s="66">
        <v>43838</v>
      </c>
      <c r="E61" s="65" t="s">
        <v>6809</v>
      </c>
      <c r="F61" s="79" t="s">
        <v>6810</v>
      </c>
      <c r="G61" s="61"/>
      <c r="I61" s="78"/>
    </row>
    <row r="62" spans="1:9" ht="14.25" customHeight="1" x14ac:dyDescent="0.2">
      <c r="A62" s="65" t="s">
        <v>6981</v>
      </c>
      <c r="B62" s="65" t="s">
        <v>6982</v>
      </c>
      <c r="C62" s="65" t="s">
        <v>6983</v>
      </c>
      <c r="D62" s="66">
        <v>43838</v>
      </c>
      <c r="E62" s="65" t="s">
        <v>6809</v>
      </c>
      <c r="F62" s="79" t="s">
        <v>6810</v>
      </c>
      <c r="G62" s="61"/>
      <c r="I62" s="78"/>
    </row>
    <row r="63" spans="1:9" ht="14.25" customHeight="1" x14ac:dyDescent="0.2">
      <c r="A63" s="65" t="s">
        <v>6984</v>
      </c>
      <c r="B63" s="65" t="s">
        <v>6985</v>
      </c>
      <c r="C63" s="65" t="s">
        <v>6986</v>
      </c>
      <c r="D63" s="66">
        <v>43837</v>
      </c>
      <c r="E63" s="65" t="s">
        <v>6809</v>
      </c>
      <c r="F63" s="79" t="s">
        <v>6810</v>
      </c>
      <c r="G63" s="61"/>
      <c r="I63" s="78"/>
    </row>
    <row r="64" spans="1:9" ht="14.25" customHeight="1" x14ac:dyDescent="0.2">
      <c r="A64" s="65" t="s">
        <v>6987</v>
      </c>
      <c r="B64" s="65" t="s">
        <v>6988</v>
      </c>
      <c r="C64" s="65" t="s">
        <v>6989</v>
      </c>
      <c r="D64" s="66">
        <v>43837</v>
      </c>
      <c r="E64" s="65" t="s">
        <v>6809</v>
      </c>
      <c r="F64" s="79" t="s">
        <v>6810</v>
      </c>
      <c r="G64" s="61"/>
      <c r="I64" s="78"/>
    </row>
    <row r="65" spans="1:9" ht="14.25" customHeight="1" x14ac:dyDescent="0.2">
      <c r="A65" s="65" t="s">
        <v>6990</v>
      </c>
      <c r="B65" s="65" t="s">
        <v>6991</v>
      </c>
      <c r="C65" s="65" t="s">
        <v>6992</v>
      </c>
      <c r="D65" s="66">
        <v>43836</v>
      </c>
      <c r="E65" s="65" t="s">
        <v>6809</v>
      </c>
      <c r="F65" s="79" t="s">
        <v>6810</v>
      </c>
      <c r="G65" s="61"/>
      <c r="I65" s="78"/>
    </row>
    <row r="66" spans="1:9" ht="14.25" customHeight="1" x14ac:dyDescent="0.2">
      <c r="A66" s="65" t="s">
        <v>6993</v>
      </c>
      <c r="B66" s="65" t="s">
        <v>6994</v>
      </c>
      <c r="C66" s="65" t="s">
        <v>6995</v>
      </c>
      <c r="D66" s="66">
        <v>43832</v>
      </c>
      <c r="E66" s="65" t="s">
        <v>6809</v>
      </c>
      <c r="F66" s="79" t="s">
        <v>6814</v>
      </c>
      <c r="G66" s="61"/>
      <c r="I66" s="78"/>
    </row>
    <row r="67" spans="1:9" ht="14.25" customHeight="1" x14ac:dyDescent="0.2">
      <c r="A67" s="65" t="s">
        <v>6996</v>
      </c>
      <c r="B67" s="65" t="s">
        <v>6997</v>
      </c>
      <c r="C67" s="65" t="s">
        <v>6998</v>
      </c>
      <c r="D67" s="66">
        <v>43830</v>
      </c>
      <c r="E67" s="65" t="s">
        <v>6809</v>
      </c>
      <c r="F67" s="79" t="s">
        <v>6810</v>
      </c>
      <c r="G67" s="61"/>
      <c r="I67" s="78"/>
    </row>
    <row r="68" spans="1:9" ht="14.25" customHeight="1" x14ac:dyDescent="0.2">
      <c r="A68" s="65" t="s">
        <v>6999</v>
      </c>
      <c r="B68" s="65" t="s">
        <v>7000</v>
      </c>
      <c r="C68" s="65" t="s">
        <v>7001</v>
      </c>
      <c r="D68" s="66">
        <v>43830</v>
      </c>
      <c r="E68" s="65" t="s">
        <v>6809</v>
      </c>
      <c r="F68" s="79" t="s">
        <v>6810</v>
      </c>
      <c r="G68" s="61"/>
      <c r="I68" s="78"/>
    </row>
    <row r="69" spans="1:9" ht="14.25" customHeight="1" x14ac:dyDescent="0.2">
      <c r="A69" s="65" t="s">
        <v>7002</v>
      </c>
      <c r="B69" s="65" t="s">
        <v>7003</v>
      </c>
      <c r="C69" s="65" t="s">
        <v>7004</v>
      </c>
      <c r="D69" s="66">
        <v>43830</v>
      </c>
      <c r="E69" s="65" t="s">
        <v>6809</v>
      </c>
      <c r="F69" s="79" t="s">
        <v>6824</v>
      </c>
      <c r="G69" s="61"/>
      <c r="I69" s="78"/>
    </row>
    <row r="70" spans="1:9" ht="14.25" customHeight="1" x14ac:dyDescent="0.2">
      <c r="A70" s="65" t="s">
        <v>7005</v>
      </c>
      <c r="B70" s="65" t="s">
        <v>7006</v>
      </c>
      <c r="C70" s="65" t="s">
        <v>7007</v>
      </c>
      <c r="D70" s="66">
        <v>43819</v>
      </c>
      <c r="E70" s="65" t="s">
        <v>6809</v>
      </c>
      <c r="F70" s="79" t="s">
        <v>6814</v>
      </c>
      <c r="G70" s="61"/>
      <c r="I70" s="78"/>
    </row>
    <row r="71" spans="1:9" ht="14.25" customHeight="1" x14ac:dyDescent="0.2">
      <c r="A71" s="65" t="s">
        <v>7008</v>
      </c>
      <c r="B71" s="65" t="s">
        <v>7009</v>
      </c>
      <c r="C71" s="65" t="s">
        <v>7010</v>
      </c>
      <c r="D71" s="66">
        <v>43819</v>
      </c>
      <c r="E71" s="65" t="s">
        <v>6809</v>
      </c>
      <c r="F71" s="79" t="s">
        <v>6814</v>
      </c>
      <c r="G71" s="61"/>
      <c r="I71" s="78"/>
    </row>
    <row r="72" spans="1:9" ht="14.25" customHeight="1" x14ac:dyDescent="0.2">
      <c r="A72" s="65" t="s">
        <v>7011</v>
      </c>
      <c r="B72" s="65" t="s">
        <v>7012</v>
      </c>
      <c r="C72" s="65" t="s">
        <v>7013</v>
      </c>
      <c r="D72" s="66">
        <v>43819</v>
      </c>
      <c r="E72" s="65" t="s">
        <v>6809</v>
      </c>
      <c r="F72" s="79" t="s">
        <v>6814</v>
      </c>
      <c r="G72" s="61"/>
      <c r="I72" s="78"/>
    </row>
    <row r="73" spans="1:9" ht="14.25" customHeight="1" x14ac:dyDescent="0.2">
      <c r="A73" s="65" t="s">
        <v>7014</v>
      </c>
      <c r="B73" s="65" t="s">
        <v>7015</v>
      </c>
      <c r="C73" s="65" t="s">
        <v>7016</v>
      </c>
      <c r="D73" s="66">
        <v>43819</v>
      </c>
      <c r="E73" s="65" t="s">
        <v>6809</v>
      </c>
      <c r="F73" s="79" t="s">
        <v>6814</v>
      </c>
      <c r="G73" s="61"/>
      <c r="I73" s="78"/>
    </row>
    <row r="74" spans="1:9" ht="14.25" customHeight="1" x14ac:dyDescent="0.2">
      <c r="A74" s="65" t="s">
        <v>7017</v>
      </c>
      <c r="B74" s="65" t="s">
        <v>7018</v>
      </c>
      <c r="C74" s="65" t="s">
        <v>7019</v>
      </c>
      <c r="D74" s="66">
        <v>43819</v>
      </c>
      <c r="E74" s="65" t="s">
        <v>6809</v>
      </c>
      <c r="F74" s="79" t="s">
        <v>6824</v>
      </c>
      <c r="G74" s="61"/>
      <c r="I74" s="78"/>
    </row>
    <row r="75" spans="1:9" ht="14.25" customHeight="1" x14ac:dyDescent="0.2">
      <c r="A75" s="65" t="s">
        <v>7020</v>
      </c>
      <c r="B75" s="65" t="s">
        <v>7021</v>
      </c>
      <c r="C75" s="65" t="s">
        <v>7022</v>
      </c>
      <c r="D75" s="66">
        <v>43818</v>
      </c>
      <c r="E75" s="65" t="s">
        <v>6809</v>
      </c>
      <c r="F75" s="79" t="s">
        <v>6814</v>
      </c>
      <c r="G75" s="61"/>
      <c r="I75" s="78"/>
    </row>
    <row r="76" spans="1:9" ht="14.25" customHeight="1" x14ac:dyDescent="0.2">
      <c r="A76" s="65" t="s">
        <v>7023</v>
      </c>
      <c r="B76" s="65" t="s">
        <v>7024</v>
      </c>
      <c r="C76" s="65" t="s">
        <v>7025</v>
      </c>
      <c r="D76" s="66">
        <v>43818</v>
      </c>
      <c r="E76" s="65" t="s">
        <v>6809</v>
      </c>
      <c r="F76" s="79" t="s">
        <v>6814</v>
      </c>
      <c r="G76" s="61"/>
      <c r="I76" s="78"/>
    </row>
    <row r="77" spans="1:9" ht="14.25" customHeight="1" x14ac:dyDescent="0.2">
      <c r="A77" s="65" t="s">
        <v>7026</v>
      </c>
      <c r="B77" s="65" t="s">
        <v>7027</v>
      </c>
      <c r="C77" s="65" t="s">
        <v>144</v>
      </c>
      <c r="D77" s="66">
        <v>43818</v>
      </c>
      <c r="E77" s="65" t="s">
        <v>6809</v>
      </c>
      <c r="F77" s="79" t="s">
        <v>6824</v>
      </c>
      <c r="G77" s="61"/>
      <c r="I77" s="78"/>
    </row>
    <row r="78" spans="1:9" ht="14.25" customHeight="1" x14ac:dyDescent="0.2">
      <c r="A78" s="65" t="s">
        <v>7028</v>
      </c>
      <c r="B78" s="65" t="s">
        <v>7029</v>
      </c>
      <c r="C78" s="65" t="s">
        <v>7030</v>
      </c>
      <c r="D78" s="66">
        <v>43818</v>
      </c>
      <c r="E78" s="65" t="s">
        <v>6809</v>
      </c>
      <c r="F78" s="79" t="s">
        <v>6824</v>
      </c>
      <c r="G78" s="61"/>
      <c r="I78" s="78"/>
    </row>
    <row r="79" spans="1:9" ht="14.25" customHeight="1" x14ac:dyDescent="0.2">
      <c r="A79" s="65" t="s">
        <v>7031</v>
      </c>
      <c r="B79" s="65" t="s">
        <v>7032</v>
      </c>
      <c r="C79" s="65" t="s">
        <v>7033</v>
      </c>
      <c r="D79" s="66">
        <v>43817</v>
      </c>
      <c r="E79" s="65" t="s">
        <v>6809</v>
      </c>
      <c r="F79" s="79" t="s">
        <v>6810</v>
      </c>
      <c r="G79" s="61"/>
      <c r="I79" s="78"/>
    </row>
    <row r="80" spans="1:9" ht="14.25" customHeight="1" x14ac:dyDescent="0.2">
      <c r="A80" s="65" t="s">
        <v>7034</v>
      </c>
      <c r="B80" s="65" t="s">
        <v>7035</v>
      </c>
      <c r="C80" s="65" t="s">
        <v>7036</v>
      </c>
      <c r="D80" s="66">
        <v>43817</v>
      </c>
      <c r="E80" s="65" t="s">
        <v>6809</v>
      </c>
      <c r="F80" s="79" t="s">
        <v>6824</v>
      </c>
      <c r="G80" s="61"/>
      <c r="I80" s="78"/>
    </row>
    <row r="81" spans="1:9" ht="14.25" customHeight="1" x14ac:dyDescent="0.2">
      <c r="A81" s="65" t="s">
        <v>7037</v>
      </c>
      <c r="B81" s="65" t="s">
        <v>7038</v>
      </c>
      <c r="C81" s="65" t="s">
        <v>7039</v>
      </c>
      <c r="D81" s="66">
        <v>43816</v>
      </c>
      <c r="E81" s="65" t="s">
        <v>6809</v>
      </c>
      <c r="F81" s="79" t="s">
        <v>6824</v>
      </c>
      <c r="G81" s="61"/>
      <c r="I81" s="78"/>
    </row>
    <row r="82" spans="1:9" ht="14.25" customHeight="1" x14ac:dyDescent="0.2">
      <c r="A82" s="65" t="s">
        <v>7040</v>
      </c>
      <c r="B82" s="65" t="s">
        <v>7041</v>
      </c>
      <c r="C82" s="65" t="s">
        <v>7042</v>
      </c>
      <c r="D82" s="66">
        <v>43816</v>
      </c>
      <c r="E82" s="65" t="s">
        <v>6809</v>
      </c>
      <c r="F82" s="79" t="s">
        <v>6814</v>
      </c>
      <c r="G82" s="61"/>
      <c r="I82" s="78"/>
    </row>
    <row r="83" spans="1:9" ht="14.25" customHeight="1" x14ac:dyDescent="0.2">
      <c r="A83" s="65" t="s">
        <v>7043</v>
      </c>
      <c r="B83" s="65" t="s">
        <v>7044</v>
      </c>
      <c r="C83" s="65" t="s">
        <v>7045</v>
      </c>
      <c r="D83" s="66">
        <v>43816</v>
      </c>
      <c r="E83" s="65" t="s">
        <v>6809</v>
      </c>
      <c r="F83" s="79" t="s">
        <v>6814</v>
      </c>
      <c r="G83" s="61"/>
      <c r="I83" s="78"/>
    </row>
    <row r="84" spans="1:9" ht="14.25" customHeight="1" x14ac:dyDescent="0.2">
      <c r="A84" s="65" t="s">
        <v>7046</v>
      </c>
      <c r="B84" s="65" t="s">
        <v>7047</v>
      </c>
      <c r="C84" s="65" t="s">
        <v>7048</v>
      </c>
      <c r="D84" s="66">
        <v>43812</v>
      </c>
      <c r="E84" s="65" t="s">
        <v>6809</v>
      </c>
      <c r="F84" s="79" t="s">
        <v>6810</v>
      </c>
      <c r="G84" s="61"/>
      <c r="I84" s="78"/>
    </row>
    <row r="85" spans="1:9" ht="14.25" customHeight="1" x14ac:dyDescent="0.2">
      <c r="A85" s="65" t="s">
        <v>7049</v>
      </c>
      <c r="B85" s="65" t="s">
        <v>7050</v>
      </c>
      <c r="C85" s="65" t="s">
        <v>7051</v>
      </c>
      <c r="D85" s="66">
        <v>43812</v>
      </c>
      <c r="E85" s="65" t="s">
        <v>6809</v>
      </c>
      <c r="F85" s="79" t="s">
        <v>6814</v>
      </c>
      <c r="G85" s="61"/>
      <c r="I85" s="78"/>
    </row>
    <row r="86" spans="1:9" ht="14.25" customHeight="1" x14ac:dyDescent="0.2">
      <c r="A86" s="65" t="s">
        <v>7052</v>
      </c>
      <c r="B86" s="65" t="s">
        <v>7053</v>
      </c>
      <c r="C86" s="65" t="s">
        <v>7054</v>
      </c>
      <c r="D86" s="66">
        <v>43812</v>
      </c>
      <c r="E86" s="65" t="s">
        <v>6809</v>
      </c>
      <c r="F86" s="79" t="s">
        <v>6810</v>
      </c>
      <c r="G86" s="61"/>
      <c r="I86" s="78"/>
    </row>
    <row r="87" spans="1:9" ht="14.25" customHeight="1" x14ac:dyDescent="0.2">
      <c r="A87" s="65" t="s">
        <v>7055</v>
      </c>
      <c r="B87" s="65" t="s">
        <v>7056</v>
      </c>
      <c r="C87" s="65" t="s">
        <v>7057</v>
      </c>
      <c r="D87" s="66">
        <v>43812</v>
      </c>
      <c r="E87" s="65" t="s">
        <v>6809</v>
      </c>
      <c r="F87" s="79" t="s">
        <v>6814</v>
      </c>
      <c r="G87" s="61"/>
      <c r="I87" s="78"/>
    </row>
    <row r="88" spans="1:9" ht="14.25" customHeight="1" x14ac:dyDescent="0.2">
      <c r="A88" s="65" t="s">
        <v>7058</v>
      </c>
      <c r="B88" s="65" t="s">
        <v>7059</v>
      </c>
      <c r="C88" s="65" t="s">
        <v>7060</v>
      </c>
      <c r="D88" s="66">
        <v>43812</v>
      </c>
      <c r="E88" s="65" t="s">
        <v>6809</v>
      </c>
      <c r="F88" s="79" t="s">
        <v>6814</v>
      </c>
      <c r="G88" s="61"/>
      <c r="I88" s="78"/>
    </row>
    <row r="89" spans="1:9" ht="14.25" customHeight="1" x14ac:dyDescent="0.2">
      <c r="A89" s="65" t="s">
        <v>7061</v>
      </c>
      <c r="B89" s="65" t="s">
        <v>7062</v>
      </c>
      <c r="C89" s="65" t="s">
        <v>7063</v>
      </c>
      <c r="D89" s="66">
        <v>43812</v>
      </c>
      <c r="E89" s="65" t="s">
        <v>6809</v>
      </c>
      <c r="F89" s="79" t="s">
        <v>6824</v>
      </c>
      <c r="G89" s="61"/>
      <c r="I89" s="78"/>
    </row>
    <row r="90" spans="1:9" ht="14.25" customHeight="1" x14ac:dyDescent="0.2">
      <c r="A90" s="65" t="s">
        <v>7064</v>
      </c>
      <c r="B90" s="65" t="s">
        <v>7065</v>
      </c>
      <c r="C90" s="65" t="s">
        <v>7066</v>
      </c>
      <c r="D90" s="66">
        <v>43802</v>
      </c>
      <c r="E90" s="65" t="s">
        <v>6809</v>
      </c>
      <c r="F90" s="79" t="s">
        <v>7067</v>
      </c>
      <c r="G90" s="61"/>
      <c r="I90" s="78"/>
    </row>
    <row r="91" spans="1:9" ht="14.25" customHeight="1" x14ac:dyDescent="0.2">
      <c r="A91" s="65" t="s">
        <v>7068</v>
      </c>
      <c r="B91" s="65" t="s">
        <v>7069</v>
      </c>
      <c r="C91" s="65" t="s">
        <v>7070</v>
      </c>
      <c r="D91" s="66">
        <v>43798</v>
      </c>
      <c r="E91" s="65" t="s">
        <v>6809</v>
      </c>
      <c r="F91" s="79" t="s">
        <v>6824</v>
      </c>
      <c r="G91" s="61"/>
      <c r="I91" s="78"/>
    </row>
    <row r="92" spans="1:9" ht="14.25" customHeight="1" x14ac:dyDescent="0.2">
      <c r="A92" s="65" t="s">
        <v>7071</v>
      </c>
      <c r="B92" s="65" t="s">
        <v>7072</v>
      </c>
      <c r="C92" s="65" t="s">
        <v>7073</v>
      </c>
      <c r="D92" s="66">
        <v>43795</v>
      </c>
      <c r="E92" s="65" t="s">
        <v>6809</v>
      </c>
      <c r="F92" s="79" t="s">
        <v>6814</v>
      </c>
      <c r="G92" s="61"/>
      <c r="I92" s="78"/>
    </row>
    <row r="93" spans="1:9" ht="14.25" customHeight="1" x14ac:dyDescent="0.2">
      <c r="A93" s="65" t="s">
        <v>7074</v>
      </c>
      <c r="B93" s="65" t="s">
        <v>7075</v>
      </c>
      <c r="C93" s="65" t="s">
        <v>7076</v>
      </c>
      <c r="D93" s="66">
        <v>43795</v>
      </c>
      <c r="E93" s="65" t="s">
        <v>6809</v>
      </c>
      <c r="F93" s="79" t="s">
        <v>6814</v>
      </c>
      <c r="G93" s="61"/>
      <c r="I93" s="78"/>
    </row>
    <row r="94" spans="1:9" ht="14.25" customHeight="1" x14ac:dyDescent="0.2">
      <c r="A94" s="65" t="s">
        <v>7077</v>
      </c>
      <c r="B94" s="65" t="s">
        <v>7078</v>
      </c>
      <c r="C94" s="65" t="s">
        <v>7079</v>
      </c>
      <c r="D94" s="66">
        <v>43795</v>
      </c>
      <c r="E94" s="65" t="s">
        <v>6809</v>
      </c>
      <c r="F94" s="79" t="s">
        <v>6814</v>
      </c>
      <c r="G94" s="61"/>
      <c r="I94" s="78"/>
    </row>
    <row r="95" spans="1:9" ht="14.25" customHeight="1" x14ac:dyDescent="0.2">
      <c r="A95" s="65" t="s">
        <v>7080</v>
      </c>
      <c r="B95" s="65" t="s">
        <v>3256</v>
      </c>
      <c r="C95" s="65" t="s">
        <v>7081</v>
      </c>
      <c r="D95" s="66">
        <v>43795</v>
      </c>
      <c r="E95" s="65" t="s">
        <v>6809</v>
      </c>
      <c r="F95" s="79" t="s">
        <v>6814</v>
      </c>
      <c r="G95" s="61"/>
      <c r="I95" s="78"/>
    </row>
    <row r="96" spans="1:9" ht="14.25" customHeight="1" x14ac:dyDescent="0.2">
      <c r="A96" s="65" t="s">
        <v>7082</v>
      </c>
      <c r="B96" s="65" t="s">
        <v>7083</v>
      </c>
      <c r="C96" s="65" t="s">
        <v>7084</v>
      </c>
      <c r="D96" s="66">
        <v>43790</v>
      </c>
      <c r="E96" s="65" t="s">
        <v>6809</v>
      </c>
      <c r="F96" s="79" t="s">
        <v>6824</v>
      </c>
      <c r="G96" s="61"/>
      <c r="I96" s="78"/>
    </row>
    <row r="97" spans="1:9" ht="14.25" customHeight="1" x14ac:dyDescent="0.2">
      <c r="A97" s="65" t="s">
        <v>7085</v>
      </c>
      <c r="B97" s="65" t="s">
        <v>7086</v>
      </c>
      <c r="C97" s="65" t="s">
        <v>7087</v>
      </c>
      <c r="D97" s="66">
        <v>43790</v>
      </c>
      <c r="E97" s="65" t="s">
        <v>6809</v>
      </c>
      <c r="F97" s="79" t="s">
        <v>6824</v>
      </c>
      <c r="G97" s="61"/>
      <c r="I97" s="78"/>
    </row>
    <row r="98" spans="1:9" ht="14.25" customHeight="1" x14ac:dyDescent="0.2">
      <c r="A98" s="65" t="s">
        <v>7088</v>
      </c>
      <c r="B98" s="65" t="s">
        <v>7089</v>
      </c>
      <c r="C98" s="65" t="s">
        <v>7090</v>
      </c>
      <c r="D98" s="66">
        <v>43790</v>
      </c>
      <c r="E98" s="65" t="s">
        <v>6809</v>
      </c>
      <c r="F98" s="79" t="s">
        <v>6824</v>
      </c>
      <c r="G98" s="61"/>
      <c r="I98" s="78"/>
    </row>
    <row r="99" spans="1:9" ht="14.25" customHeight="1" x14ac:dyDescent="0.2">
      <c r="A99" s="65">
        <v>60220999005</v>
      </c>
      <c r="B99" s="65" t="s">
        <v>7091</v>
      </c>
      <c r="C99" s="65" t="s">
        <v>7092</v>
      </c>
      <c r="D99" s="66">
        <v>43790</v>
      </c>
      <c r="E99" s="65" t="s">
        <v>6809</v>
      </c>
      <c r="F99" s="79" t="s">
        <v>6824</v>
      </c>
      <c r="G99" s="61"/>
      <c r="I99" s="78"/>
    </row>
    <row r="100" spans="1:9" ht="14.25" customHeight="1" x14ac:dyDescent="0.2">
      <c r="A100" s="65" t="s">
        <v>7093</v>
      </c>
      <c r="B100" s="65" t="s">
        <v>1850</v>
      </c>
      <c r="C100" s="65" t="s">
        <v>7094</v>
      </c>
      <c r="D100" s="66">
        <v>43790</v>
      </c>
      <c r="E100" s="65" t="s">
        <v>289</v>
      </c>
      <c r="F100" s="82" t="s">
        <v>7095</v>
      </c>
      <c r="G100" s="61"/>
      <c r="I100" s="78"/>
    </row>
    <row r="101" spans="1:9" ht="14.25" customHeight="1" x14ac:dyDescent="0.2">
      <c r="A101" s="65" t="s">
        <v>7096</v>
      </c>
      <c r="B101" s="65" t="s">
        <v>7097</v>
      </c>
      <c r="C101" s="65" t="s">
        <v>7098</v>
      </c>
      <c r="D101" s="66">
        <v>43790</v>
      </c>
      <c r="E101" s="65" t="s">
        <v>6809</v>
      </c>
      <c r="F101" s="79" t="s">
        <v>6824</v>
      </c>
      <c r="G101" s="61"/>
      <c r="I101" s="78"/>
    </row>
    <row r="102" spans="1:9" ht="14.25" customHeight="1" x14ac:dyDescent="0.2">
      <c r="A102" s="65">
        <v>99120201078</v>
      </c>
      <c r="B102" s="65" t="s">
        <v>7099</v>
      </c>
      <c r="C102" s="65" t="s">
        <v>7100</v>
      </c>
      <c r="D102" s="66">
        <v>43790</v>
      </c>
      <c r="E102" s="65" t="s">
        <v>6809</v>
      </c>
      <c r="F102" s="79" t="s">
        <v>6814</v>
      </c>
      <c r="G102" s="61"/>
      <c r="I102" s="78"/>
    </row>
    <row r="103" spans="1:9" ht="14.25" customHeight="1" x14ac:dyDescent="0.2">
      <c r="A103" s="65">
        <v>99220101016</v>
      </c>
      <c r="B103" s="65" t="s">
        <v>7101</v>
      </c>
      <c r="C103" s="65" t="s">
        <v>7102</v>
      </c>
      <c r="D103" s="66">
        <v>43790</v>
      </c>
      <c r="E103" s="65" t="s">
        <v>6809</v>
      </c>
      <c r="F103" s="79" t="s">
        <v>6824</v>
      </c>
      <c r="G103" s="61"/>
      <c r="I103" s="78"/>
    </row>
    <row r="104" spans="1:9" ht="14.25" customHeight="1" x14ac:dyDescent="0.2">
      <c r="A104" s="65">
        <v>99220101017</v>
      </c>
      <c r="B104" s="65" t="s">
        <v>7103</v>
      </c>
      <c r="C104" s="65" t="s">
        <v>7104</v>
      </c>
      <c r="D104" s="66">
        <v>43790</v>
      </c>
      <c r="E104" s="65" t="s">
        <v>6809</v>
      </c>
      <c r="F104" s="79" t="s">
        <v>6824</v>
      </c>
      <c r="G104" s="61"/>
      <c r="I104" s="78"/>
    </row>
    <row r="105" spans="1:9" ht="14.25" customHeight="1" x14ac:dyDescent="0.2">
      <c r="A105" s="65">
        <v>99220207002</v>
      </c>
      <c r="B105" s="65" t="s">
        <v>7105</v>
      </c>
      <c r="C105" s="65" t="s">
        <v>7106</v>
      </c>
      <c r="D105" s="66">
        <v>43790</v>
      </c>
      <c r="E105" s="65" t="s">
        <v>6809</v>
      </c>
      <c r="F105" s="79" t="s">
        <v>6824</v>
      </c>
      <c r="G105" s="61"/>
      <c r="I105" s="78"/>
    </row>
    <row r="106" spans="1:9" ht="14.25" customHeight="1" x14ac:dyDescent="0.2">
      <c r="A106" s="65" t="s">
        <v>7107</v>
      </c>
      <c r="B106" s="65" t="s">
        <v>7108</v>
      </c>
      <c r="C106" s="65" t="s">
        <v>7109</v>
      </c>
      <c r="D106" s="66">
        <v>43789</v>
      </c>
      <c r="E106" s="65" t="s">
        <v>6809</v>
      </c>
      <c r="F106" s="79" t="s">
        <v>6810</v>
      </c>
      <c r="G106" s="61"/>
      <c r="I106" s="78"/>
    </row>
    <row r="107" spans="1:9" ht="14.25" customHeight="1" x14ac:dyDescent="0.2">
      <c r="A107" s="65" t="s">
        <v>7110</v>
      </c>
      <c r="B107" s="65" t="s">
        <v>7111</v>
      </c>
      <c r="C107" s="65" t="s">
        <v>7112</v>
      </c>
      <c r="D107" s="66">
        <v>43788</v>
      </c>
      <c r="E107" s="65" t="s">
        <v>6809</v>
      </c>
      <c r="F107" s="79" t="s">
        <v>6814</v>
      </c>
      <c r="G107" s="61"/>
      <c r="I107" s="78"/>
    </row>
    <row r="108" spans="1:9" ht="14.25" customHeight="1" x14ac:dyDescent="0.2">
      <c r="A108" s="65" t="s">
        <v>7113</v>
      </c>
      <c r="B108" s="65" t="s">
        <v>7114</v>
      </c>
      <c r="C108" s="65" t="s">
        <v>7115</v>
      </c>
      <c r="D108" s="66">
        <v>43787</v>
      </c>
      <c r="E108" s="65" t="s">
        <v>6809</v>
      </c>
      <c r="F108" s="79" t="s">
        <v>6814</v>
      </c>
      <c r="G108" s="61"/>
      <c r="I108" s="78"/>
    </row>
    <row r="109" spans="1:9" ht="14.25" customHeight="1" x14ac:dyDescent="0.2">
      <c r="A109" s="65" t="s">
        <v>7116</v>
      </c>
      <c r="B109" s="65" t="s">
        <v>7117</v>
      </c>
      <c r="C109" s="65" t="s">
        <v>7118</v>
      </c>
      <c r="D109" s="66">
        <v>43784</v>
      </c>
      <c r="E109" s="65" t="s">
        <v>6809</v>
      </c>
      <c r="F109" s="79" t="s">
        <v>6824</v>
      </c>
      <c r="G109" s="61"/>
      <c r="I109" s="78"/>
    </row>
    <row r="110" spans="1:9" ht="14.25" customHeight="1" x14ac:dyDescent="0.2">
      <c r="A110" s="65" t="s">
        <v>7119</v>
      </c>
      <c r="B110" s="65" t="s">
        <v>7120</v>
      </c>
      <c r="C110" s="65" t="s">
        <v>7121</v>
      </c>
      <c r="D110" s="66">
        <v>43779</v>
      </c>
      <c r="E110" s="65" t="s">
        <v>6809</v>
      </c>
      <c r="F110" s="79" t="s">
        <v>6824</v>
      </c>
      <c r="G110" s="61"/>
      <c r="I110" s="78"/>
    </row>
    <row r="111" spans="1:9" ht="14.25" customHeight="1" x14ac:dyDescent="0.2">
      <c r="A111" s="65" t="s">
        <v>7122</v>
      </c>
      <c r="B111" s="65" t="s">
        <v>7123</v>
      </c>
      <c r="C111" s="65" t="s">
        <v>7124</v>
      </c>
      <c r="D111" s="66">
        <v>43776</v>
      </c>
      <c r="E111" s="65" t="s">
        <v>6809</v>
      </c>
      <c r="F111" s="79" t="s">
        <v>6824</v>
      </c>
      <c r="G111" s="61"/>
      <c r="I111" s="78"/>
    </row>
    <row r="112" spans="1:9" ht="14.25" customHeight="1" x14ac:dyDescent="0.2">
      <c r="A112" s="65" t="s">
        <v>7125</v>
      </c>
      <c r="B112" s="65" t="s">
        <v>7126</v>
      </c>
      <c r="C112" s="65" t="s">
        <v>7127</v>
      </c>
      <c r="D112" s="66">
        <v>43776</v>
      </c>
      <c r="E112" s="65" t="s">
        <v>6809</v>
      </c>
      <c r="F112" s="79" t="s">
        <v>6814</v>
      </c>
      <c r="G112" s="61"/>
      <c r="I112" s="78"/>
    </row>
    <row r="113" spans="1:9" ht="14.25" customHeight="1" x14ac:dyDescent="0.2">
      <c r="A113" s="65" t="s">
        <v>7128</v>
      </c>
      <c r="B113" s="65" t="s">
        <v>7129</v>
      </c>
      <c r="C113" s="65" t="s">
        <v>7130</v>
      </c>
      <c r="D113" s="66">
        <v>43776</v>
      </c>
      <c r="E113" s="65" t="s">
        <v>6809</v>
      </c>
      <c r="F113" s="79" t="s">
        <v>6824</v>
      </c>
      <c r="G113" s="61"/>
      <c r="I113" s="78"/>
    </row>
    <row r="114" spans="1:9" ht="14.25" customHeight="1" x14ac:dyDescent="0.2">
      <c r="A114" s="65" t="s">
        <v>7131</v>
      </c>
      <c r="B114" s="65" t="s">
        <v>7132</v>
      </c>
      <c r="C114" s="65" t="s">
        <v>7133</v>
      </c>
      <c r="D114" s="66">
        <v>43776</v>
      </c>
      <c r="E114" s="65" t="s">
        <v>6809</v>
      </c>
      <c r="F114" s="79" t="s">
        <v>6814</v>
      </c>
      <c r="G114" s="61"/>
      <c r="I114" s="78"/>
    </row>
    <row r="115" spans="1:9" ht="14.25" customHeight="1" x14ac:dyDescent="0.2">
      <c r="A115" s="65" t="s">
        <v>7134</v>
      </c>
      <c r="B115" s="65" t="s">
        <v>7135</v>
      </c>
      <c r="C115" s="65" t="s">
        <v>7136</v>
      </c>
      <c r="D115" s="66">
        <v>43774</v>
      </c>
      <c r="E115" s="65" t="s">
        <v>6809</v>
      </c>
      <c r="F115" s="79" t="s">
        <v>6810</v>
      </c>
      <c r="G115" s="61"/>
      <c r="I115" s="78"/>
    </row>
    <row r="116" spans="1:9" ht="14.25" customHeight="1" x14ac:dyDescent="0.2">
      <c r="A116" s="65" t="s">
        <v>7137</v>
      </c>
      <c r="B116" s="65" t="s">
        <v>7138</v>
      </c>
      <c r="C116" s="65" t="s">
        <v>7139</v>
      </c>
      <c r="D116" s="66">
        <v>43773</v>
      </c>
      <c r="E116" s="65" t="s">
        <v>6809</v>
      </c>
      <c r="F116" s="79" t="s">
        <v>6814</v>
      </c>
      <c r="G116" s="61"/>
      <c r="I116" s="78"/>
    </row>
    <row r="117" spans="1:9" ht="14.25" customHeight="1" x14ac:dyDescent="0.2">
      <c r="A117" s="65" t="s">
        <v>7140</v>
      </c>
      <c r="B117" s="65" t="s">
        <v>7141</v>
      </c>
      <c r="C117" s="65" t="s">
        <v>7142</v>
      </c>
      <c r="D117" s="66">
        <v>43773</v>
      </c>
      <c r="E117" s="65" t="s">
        <v>6809</v>
      </c>
      <c r="F117" s="79" t="s">
        <v>6824</v>
      </c>
      <c r="G117" s="61"/>
      <c r="I117" s="78"/>
    </row>
    <row r="118" spans="1:9" ht="14.25" customHeight="1" x14ac:dyDescent="0.2">
      <c r="A118" s="65" t="s">
        <v>7143</v>
      </c>
      <c r="B118" s="65" t="s">
        <v>7144</v>
      </c>
      <c r="C118" s="65" t="s">
        <v>7145</v>
      </c>
      <c r="D118" s="66">
        <v>43773</v>
      </c>
      <c r="E118" s="65" t="s">
        <v>6809</v>
      </c>
      <c r="F118" s="79" t="s">
        <v>6824</v>
      </c>
      <c r="G118" s="61"/>
      <c r="I118" s="78"/>
    </row>
    <row r="119" spans="1:9" ht="14.25" customHeight="1" x14ac:dyDescent="0.2">
      <c r="A119" s="65" t="s">
        <v>7146</v>
      </c>
      <c r="B119" s="65" t="s">
        <v>7147</v>
      </c>
      <c r="C119" s="65" t="s">
        <v>7148</v>
      </c>
      <c r="D119" s="66">
        <v>43773</v>
      </c>
      <c r="E119" s="65" t="s">
        <v>6809</v>
      </c>
      <c r="F119" s="79" t="s">
        <v>6810</v>
      </c>
      <c r="G119" s="61"/>
      <c r="I119" s="78"/>
    </row>
    <row r="120" spans="1:9" ht="14.25" customHeight="1" x14ac:dyDescent="0.2">
      <c r="A120" s="65" t="s">
        <v>7149</v>
      </c>
      <c r="B120" s="65" t="s">
        <v>7150</v>
      </c>
      <c r="C120" s="65" t="s">
        <v>7151</v>
      </c>
      <c r="D120" s="66">
        <v>43773</v>
      </c>
      <c r="E120" s="65" t="s">
        <v>6809</v>
      </c>
      <c r="F120" s="79" t="s">
        <v>6814</v>
      </c>
      <c r="G120" s="61"/>
      <c r="I120" s="78"/>
    </row>
    <row r="121" spans="1:9" ht="14.25" customHeight="1" x14ac:dyDescent="0.2">
      <c r="A121" s="65" t="s">
        <v>7152</v>
      </c>
      <c r="B121" s="65" t="s">
        <v>7153</v>
      </c>
      <c r="C121" s="65" t="s">
        <v>7154</v>
      </c>
      <c r="D121" s="66">
        <v>43770</v>
      </c>
      <c r="E121" s="65" t="s">
        <v>6809</v>
      </c>
      <c r="F121" s="79" t="s">
        <v>6814</v>
      </c>
      <c r="G121" s="61"/>
      <c r="I121" s="78"/>
    </row>
    <row r="122" spans="1:9" ht="14.25" customHeight="1" x14ac:dyDescent="0.2">
      <c r="A122" s="65" t="s">
        <v>7155</v>
      </c>
      <c r="B122" s="65" t="s">
        <v>7156</v>
      </c>
      <c r="C122" s="65" t="s">
        <v>7157</v>
      </c>
      <c r="D122" s="66">
        <v>43769</v>
      </c>
      <c r="E122" s="65" t="s">
        <v>6809</v>
      </c>
      <c r="F122" s="79" t="s">
        <v>6824</v>
      </c>
      <c r="G122" s="61"/>
      <c r="I122" s="78"/>
    </row>
    <row r="123" spans="1:9" ht="14.25" customHeight="1" x14ac:dyDescent="0.2">
      <c r="A123" s="65" t="s">
        <v>7158</v>
      </c>
      <c r="B123" s="65" t="s">
        <v>7159</v>
      </c>
      <c r="C123" s="65" t="s">
        <v>7160</v>
      </c>
      <c r="D123" s="66">
        <v>43769</v>
      </c>
      <c r="E123" s="65" t="s">
        <v>6809</v>
      </c>
      <c r="F123" s="79" t="s">
        <v>7161</v>
      </c>
      <c r="G123" s="61"/>
      <c r="I123" s="78"/>
    </row>
    <row r="124" spans="1:9" ht="14.25" customHeight="1" x14ac:dyDescent="0.2">
      <c r="A124" s="65" t="s">
        <v>7162</v>
      </c>
      <c r="B124" s="65" t="s">
        <v>7163</v>
      </c>
      <c r="C124" s="65" t="s">
        <v>7164</v>
      </c>
      <c r="D124" s="66">
        <v>43769</v>
      </c>
      <c r="E124" s="65" t="s">
        <v>6809</v>
      </c>
      <c r="F124" s="79" t="s">
        <v>6814</v>
      </c>
      <c r="G124" s="61"/>
      <c r="I124" s="78"/>
    </row>
    <row r="125" spans="1:9" ht="14.25" customHeight="1" x14ac:dyDescent="0.2">
      <c r="A125" s="65" t="s">
        <v>7165</v>
      </c>
      <c r="B125" s="65" t="s">
        <v>7166</v>
      </c>
      <c r="C125" s="65" t="s">
        <v>7167</v>
      </c>
      <c r="D125" s="66">
        <v>43769</v>
      </c>
      <c r="E125" s="65" t="s">
        <v>6809</v>
      </c>
      <c r="F125" s="79" t="s">
        <v>6814</v>
      </c>
      <c r="G125" s="61"/>
      <c r="I125" s="78"/>
    </row>
    <row r="126" spans="1:9" ht="14.25" customHeight="1" x14ac:dyDescent="0.2">
      <c r="A126" s="65" t="s">
        <v>7168</v>
      </c>
      <c r="B126" s="65" t="s">
        <v>7169</v>
      </c>
      <c r="C126" s="65" t="s">
        <v>7170</v>
      </c>
      <c r="D126" s="66">
        <v>43769</v>
      </c>
      <c r="E126" s="65" t="s">
        <v>6809</v>
      </c>
      <c r="F126" s="79" t="s">
        <v>6814</v>
      </c>
      <c r="G126" s="61"/>
      <c r="I126" s="78"/>
    </row>
    <row r="127" spans="1:9" ht="14.25" customHeight="1" x14ac:dyDescent="0.2">
      <c r="A127" s="65" t="s">
        <v>7171</v>
      </c>
      <c r="B127" s="65" t="s">
        <v>7172</v>
      </c>
      <c r="C127" s="65" t="s">
        <v>7173</v>
      </c>
      <c r="D127" s="66">
        <v>43760</v>
      </c>
      <c r="E127" s="65" t="s">
        <v>6809</v>
      </c>
      <c r="F127" s="79" t="s">
        <v>6814</v>
      </c>
      <c r="G127" s="61"/>
      <c r="I127" s="78"/>
    </row>
    <row r="128" spans="1:9" ht="14.25" customHeight="1" x14ac:dyDescent="0.2">
      <c r="A128" s="65" t="s">
        <v>7174</v>
      </c>
      <c r="B128" s="65" t="s">
        <v>7175</v>
      </c>
      <c r="C128" s="65" t="s">
        <v>7176</v>
      </c>
      <c r="D128" s="66">
        <v>43760</v>
      </c>
      <c r="E128" s="65" t="s">
        <v>6809</v>
      </c>
      <c r="F128" s="79" t="s">
        <v>6810</v>
      </c>
      <c r="G128" s="61"/>
      <c r="I128" s="78"/>
    </row>
    <row r="129" spans="1:9" ht="14.25" customHeight="1" x14ac:dyDescent="0.2">
      <c r="A129" s="65" t="s">
        <v>7177</v>
      </c>
      <c r="B129" s="65" t="s">
        <v>7178</v>
      </c>
      <c r="C129" s="65" t="s">
        <v>7179</v>
      </c>
      <c r="D129" s="66">
        <v>43742</v>
      </c>
      <c r="E129" s="65" t="s">
        <v>6809</v>
      </c>
      <c r="F129" s="79" t="s">
        <v>6810</v>
      </c>
      <c r="G129" s="61"/>
      <c r="I129" s="78"/>
    </row>
    <row r="130" spans="1:9" ht="14.25" customHeight="1" x14ac:dyDescent="0.2">
      <c r="A130" s="65" t="s">
        <v>7180</v>
      </c>
      <c r="B130" s="65" t="s">
        <v>7181</v>
      </c>
      <c r="C130" s="65" t="s">
        <v>7182</v>
      </c>
      <c r="D130" s="66">
        <v>43742</v>
      </c>
      <c r="E130" s="65" t="s">
        <v>6809</v>
      </c>
      <c r="F130" s="79" t="s">
        <v>6810</v>
      </c>
      <c r="G130" s="61"/>
      <c r="I130" s="78"/>
    </row>
    <row r="131" spans="1:9" ht="14.25" customHeight="1" x14ac:dyDescent="0.2">
      <c r="A131" s="65" t="s">
        <v>7183</v>
      </c>
      <c r="B131" s="65" t="s">
        <v>7184</v>
      </c>
      <c r="C131" s="65" t="s">
        <v>7185</v>
      </c>
      <c r="D131" s="66">
        <v>43742</v>
      </c>
      <c r="E131" s="65" t="s">
        <v>6809</v>
      </c>
      <c r="F131" s="79" t="s">
        <v>6824</v>
      </c>
      <c r="G131" s="61"/>
      <c r="I131" s="78"/>
    </row>
    <row r="132" spans="1:9" ht="14.25" customHeight="1" x14ac:dyDescent="0.2">
      <c r="A132" s="87" t="s">
        <v>7077</v>
      </c>
      <c r="B132" s="87" t="s">
        <v>7078</v>
      </c>
      <c r="C132" s="87" t="s">
        <v>7079</v>
      </c>
      <c r="D132" s="88">
        <v>43742</v>
      </c>
      <c r="E132" s="87" t="s">
        <v>6809</v>
      </c>
      <c r="F132" s="87" t="s">
        <v>7186</v>
      </c>
      <c r="G132" s="61"/>
      <c r="I132" s="78"/>
    </row>
    <row r="133" spans="1:9" ht="14.25" customHeight="1" x14ac:dyDescent="0.2">
      <c r="A133" s="65" t="s">
        <v>7187</v>
      </c>
      <c r="B133" s="65" t="s">
        <v>7188</v>
      </c>
      <c r="C133" s="65" t="s">
        <v>7189</v>
      </c>
      <c r="D133" s="66">
        <v>43742</v>
      </c>
      <c r="E133" s="65" t="s">
        <v>6809</v>
      </c>
      <c r="F133" s="79" t="s">
        <v>6824</v>
      </c>
      <c r="G133" s="61"/>
      <c r="I133" s="78"/>
    </row>
    <row r="134" spans="1:9" ht="14.25" customHeight="1" x14ac:dyDescent="0.2">
      <c r="A134" s="65" t="s">
        <v>7190</v>
      </c>
      <c r="B134" s="65" t="s">
        <v>7191</v>
      </c>
      <c r="C134" s="65" t="s">
        <v>7192</v>
      </c>
      <c r="D134" s="66">
        <v>43742</v>
      </c>
      <c r="E134" s="65" t="s">
        <v>6809</v>
      </c>
      <c r="F134" s="79" t="s">
        <v>6824</v>
      </c>
      <c r="G134" s="61"/>
      <c r="I134" s="78"/>
    </row>
    <row r="135" spans="1:9" ht="14.25" customHeight="1" x14ac:dyDescent="0.2">
      <c r="A135" s="65" t="s">
        <v>7193</v>
      </c>
      <c r="B135" s="65" t="s">
        <v>7194</v>
      </c>
      <c r="C135" s="65" t="s">
        <v>7195</v>
      </c>
      <c r="D135" s="66">
        <v>43742</v>
      </c>
      <c r="E135" s="65" t="s">
        <v>6809</v>
      </c>
      <c r="F135" s="79" t="s">
        <v>6824</v>
      </c>
      <c r="G135" s="61"/>
      <c r="I135" s="78"/>
    </row>
    <row r="136" spans="1:9" ht="14.25" customHeight="1" x14ac:dyDescent="0.2">
      <c r="A136" s="65" t="s">
        <v>7196</v>
      </c>
      <c r="B136" s="65" t="s">
        <v>7197</v>
      </c>
      <c r="C136" s="65" t="s">
        <v>7198</v>
      </c>
      <c r="D136" s="66">
        <v>43740</v>
      </c>
      <c r="E136" s="65" t="s">
        <v>6809</v>
      </c>
      <c r="F136" s="79" t="s">
        <v>6810</v>
      </c>
      <c r="G136" s="61"/>
      <c r="I136" s="78"/>
    </row>
    <row r="137" spans="1:9" ht="14.25" customHeight="1" x14ac:dyDescent="0.2">
      <c r="A137" s="65" t="s">
        <v>7199</v>
      </c>
      <c r="B137" s="65" t="s">
        <v>7200</v>
      </c>
      <c r="C137" s="65" t="s">
        <v>7201</v>
      </c>
      <c r="D137" s="66">
        <v>43740</v>
      </c>
      <c r="E137" s="65" t="s">
        <v>6809</v>
      </c>
      <c r="F137" s="79" t="s">
        <v>6810</v>
      </c>
      <c r="G137" s="61"/>
      <c r="I137" s="78"/>
    </row>
    <row r="138" spans="1:9" ht="14.25" customHeight="1" x14ac:dyDescent="0.2">
      <c r="A138" s="65" t="s">
        <v>7202</v>
      </c>
      <c r="B138" s="65" t="s">
        <v>7203</v>
      </c>
      <c r="C138" s="65" t="s">
        <v>7204</v>
      </c>
      <c r="D138" s="66">
        <v>43740</v>
      </c>
      <c r="E138" s="65" t="s">
        <v>6809</v>
      </c>
      <c r="F138" s="79" t="s">
        <v>6810</v>
      </c>
      <c r="G138" s="61"/>
      <c r="I138" s="78"/>
    </row>
    <row r="139" spans="1:9" ht="14.25" customHeight="1" x14ac:dyDescent="0.2">
      <c r="A139" s="65" t="s">
        <v>7205</v>
      </c>
      <c r="B139" s="65" t="s">
        <v>7206</v>
      </c>
      <c r="C139" s="65" t="s">
        <v>7207</v>
      </c>
      <c r="D139" s="66">
        <v>43739</v>
      </c>
      <c r="E139" s="65" t="s">
        <v>6809</v>
      </c>
      <c r="F139" s="79" t="s">
        <v>6814</v>
      </c>
      <c r="G139" s="61"/>
      <c r="I139" s="78"/>
    </row>
    <row r="140" spans="1:9" ht="14.25" customHeight="1" x14ac:dyDescent="0.2">
      <c r="A140" s="65" t="s">
        <v>7208</v>
      </c>
      <c r="B140" s="65" t="s">
        <v>7209</v>
      </c>
      <c r="C140" s="65" t="s">
        <v>7210</v>
      </c>
      <c r="D140" s="66">
        <v>43739</v>
      </c>
      <c r="E140" s="65" t="s">
        <v>6809</v>
      </c>
      <c r="F140" s="79" t="s">
        <v>6814</v>
      </c>
      <c r="G140" s="61"/>
      <c r="I140" s="78"/>
    </row>
    <row r="141" spans="1:9" ht="14.25" customHeight="1" x14ac:dyDescent="0.2">
      <c r="A141" s="65" t="s">
        <v>7211</v>
      </c>
      <c r="B141" s="65" t="s">
        <v>7212</v>
      </c>
      <c r="C141" s="65" t="s">
        <v>7213</v>
      </c>
      <c r="D141" s="66">
        <v>43739</v>
      </c>
      <c r="E141" s="65" t="s">
        <v>6809</v>
      </c>
      <c r="F141" s="79" t="s">
        <v>6824</v>
      </c>
      <c r="G141" s="61"/>
      <c r="I141" s="78"/>
    </row>
    <row r="142" spans="1:9" ht="14.25" customHeight="1" x14ac:dyDescent="0.2">
      <c r="A142" s="65" t="s">
        <v>7214</v>
      </c>
      <c r="B142" s="65" t="s">
        <v>7215</v>
      </c>
      <c r="C142" s="65" t="s">
        <v>7216</v>
      </c>
      <c r="D142" s="66">
        <v>43739</v>
      </c>
      <c r="E142" s="65" t="s">
        <v>6809</v>
      </c>
      <c r="F142" s="79" t="s">
        <v>6824</v>
      </c>
      <c r="G142" s="61"/>
      <c r="I142" s="78"/>
    </row>
    <row r="143" spans="1:9" ht="14.25" customHeight="1" x14ac:dyDescent="0.2">
      <c r="A143" s="65" t="s">
        <v>7217</v>
      </c>
      <c r="B143" s="65" t="s">
        <v>7218</v>
      </c>
      <c r="C143" s="65" t="s">
        <v>7219</v>
      </c>
      <c r="D143" s="66">
        <v>43739</v>
      </c>
      <c r="E143" s="65" t="s">
        <v>6809</v>
      </c>
      <c r="F143" s="79" t="s">
        <v>6824</v>
      </c>
      <c r="G143" s="61"/>
      <c r="I143" s="78"/>
    </row>
    <row r="144" spans="1:9" ht="14.25" customHeight="1" x14ac:dyDescent="0.2">
      <c r="A144" s="65" t="s">
        <v>7220</v>
      </c>
      <c r="B144" s="65" t="s">
        <v>7221</v>
      </c>
      <c r="C144" s="65" t="s">
        <v>7222</v>
      </c>
      <c r="D144" s="66">
        <v>43739</v>
      </c>
      <c r="E144" s="65" t="s">
        <v>6809</v>
      </c>
      <c r="F144" s="79" t="s">
        <v>6810</v>
      </c>
      <c r="G144" s="61"/>
      <c r="I144" s="78"/>
    </row>
    <row r="145" spans="1:9" ht="14.25" customHeight="1" x14ac:dyDescent="0.2">
      <c r="A145" s="65">
        <v>99121463011</v>
      </c>
      <c r="B145" s="65" t="s">
        <v>7223</v>
      </c>
      <c r="C145" s="65" t="s">
        <v>7224</v>
      </c>
      <c r="D145" s="66">
        <v>43739</v>
      </c>
      <c r="E145" s="65" t="s">
        <v>6809</v>
      </c>
      <c r="F145" s="79" t="s">
        <v>6810</v>
      </c>
      <c r="G145" s="61"/>
      <c r="I145" s="78"/>
    </row>
    <row r="146" spans="1:9" ht="14.25" customHeight="1" x14ac:dyDescent="0.2">
      <c r="A146" s="65">
        <v>99121464019</v>
      </c>
      <c r="B146" s="65" t="s">
        <v>7225</v>
      </c>
      <c r="C146" s="65" t="s">
        <v>7226</v>
      </c>
      <c r="D146" s="66">
        <v>43739</v>
      </c>
      <c r="E146" s="65" t="s">
        <v>6809</v>
      </c>
      <c r="F146" s="79" t="s">
        <v>6810</v>
      </c>
      <c r="G146" s="61"/>
      <c r="I146" s="78"/>
    </row>
    <row r="147" spans="1:9" ht="14.25" customHeight="1" x14ac:dyDescent="0.2">
      <c r="A147" s="65">
        <v>99121464020</v>
      </c>
      <c r="B147" s="65" t="s">
        <v>7227</v>
      </c>
      <c r="C147" s="65" t="s">
        <v>7228</v>
      </c>
      <c r="D147" s="66">
        <v>43739</v>
      </c>
      <c r="E147" s="65" t="s">
        <v>6809</v>
      </c>
      <c r="F147" s="79" t="s">
        <v>6810</v>
      </c>
      <c r="G147" s="61"/>
      <c r="I147" s="78"/>
    </row>
    <row r="148" spans="1:9" ht="14.25" customHeight="1" x14ac:dyDescent="0.2">
      <c r="A148" s="65">
        <v>99121464021</v>
      </c>
      <c r="B148" s="65" t="s">
        <v>7229</v>
      </c>
      <c r="C148" s="65" t="s">
        <v>7230</v>
      </c>
      <c r="D148" s="66">
        <v>43739</v>
      </c>
      <c r="E148" s="65" t="s">
        <v>6809</v>
      </c>
      <c r="F148" s="79" t="s">
        <v>6810</v>
      </c>
      <c r="G148" s="61"/>
      <c r="I148" s="78"/>
    </row>
    <row r="149" spans="1:9" ht="14.25" customHeight="1" x14ac:dyDescent="0.2">
      <c r="A149" s="65">
        <v>99121466011</v>
      </c>
      <c r="B149" s="65" t="s">
        <v>7231</v>
      </c>
      <c r="C149" s="65" t="s">
        <v>7232</v>
      </c>
      <c r="D149" s="66">
        <v>43739</v>
      </c>
      <c r="E149" s="65" t="s">
        <v>6809</v>
      </c>
      <c r="F149" s="79" t="s">
        <v>6810</v>
      </c>
      <c r="G149" s="61"/>
      <c r="I149" s="78"/>
    </row>
    <row r="150" spans="1:9" ht="14.25" customHeight="1" x14ac:dyDescent="0.2">
      <c r="A150" s="65">
        <v>99221499017</v>
      </c>
      <c r="B150" s="65" t="s">
        <v>7156</v>
      </c>
      <c r="C150" s="65" t="s">
        <v>7157</v>
      </c>
      <c r="D150" s="66">
        <v>43739</v>
      </c>
      <c r="E150" s="65" t="s">
        <v>6809</v>
      </c>
      <c r="F150" s="79" t="s">
        <v>6824</v>
      </c>
      <c r="G150" s="61"/>
      <c r="I150" s="78"/>
    </row>
    <row r="151" spans="1:9" ht="14.25" customHeight="1" x14ac:dyDescent="0.2">
      <c r="A151" s="65" t="s">
        <v>7233</v>
      </c>
      <c r="B151" s="65" t="s">
        <v>7234</v>
      </c>
      <c r="C151" s="65" t="s">
        <v>7235</v>
      </c>
      <c r="D151" s="66">
        <v>43734</v>
      </c>
      <c r="E151" s="65" t="s">
        <v>6809</v>
      </c>
      <c r="F151" s="79" t="s">
        <v>6814</v>
      </c>
      <c r="G151" s="61"/>
      <c r="I151" s="78"/>
    </row>
    <row r="152" spans="1:9" ht="14.25" customHeight="1" x14ac:dyDescent="0.2">
      <c r="A152" s="65" t="s">
        <v>7236</v>
      </c>
      <c r="B152" s="65" t="s">
        <v>7237</v>
      </c>
      <c r="C152" s="65" t="s">
        <v>7238</v>
      </c>
      <c r="D152" s="66">
        <v>43725</v>
      </c>
      <c r="E152" s="65" t="s">
        <v>6809</v>
      </c>
      <c r="F152" s="79" t="s">
        <v>6814</v>
      </c>
      <c r="G152" s="61"/>
      <c r="I152" s="78"/>
    </row>
    <row r="153" spans="1:9" ht="14.25" customHeight="1" x14ac:dyDescent="0.2">
      <c r="A153" s="65" t="s">
        <v>7239</v>
      </c>
      <c r="B153" s="65" t="s">
        <v>7240</v>
      </c>
      <c r="C153" s="65" t="s">
        <v>7241</v>
      </c>
      <c r="D153" s="66">
        <v>43724</v>
      </c>
      <c r="E153" s="65" t="s">
        <v>6809</v>
      </c>
      <c r="F153" s="79" t="s">
        <v>7161</v>
      </c>
      <c r="G153" s="61"/>
      <c r="I153" s="78"/>
    </row>
    <row r="154" spans="1:9" ht="14.25" customHeight="1" x14ac:dyDescent="0.2">
      <c r="A154" s="65" t="s">
        <v>7242</v>
      </c>
      <c r="B154" s="65" t="s">
        <v>7243</v>
      </c>
      <c r="C154" s="65" t="s">
        <v>7244</v>
      </c>
      <c r="D154" s="66">
        <v>43724</v>
      </c>
      <c r="E154" s="65" t="s">
        <v>6809</v>
      </c>
      <c r="F154" s="79" t="s">
        <v>6814</v>
      </c>
      <c r="G154" s="61"/>
      <c r="I154" s="78"/>
    </row>
    <row r="155" spans="1:9" ht="14.25" customHeight="1" x14ac:dyDescent="0.2">
      <c r="A155" s="65" t="s">
        <v>7245</v>
      </c>
      <c r="B155" s="65" t="s">
        <v>4984</v>
      </c>
      <c r="C155" s="65" t="s">
        <v>7246</v>
      </c>
      <c r="D155" s="66">
        <v>43724</v>
      </c>
      <c r="E155" s="65" t="s">
        <v>6809</v>
      </c>
      <c r="F155" s="79" t="s">
        <v>6824</v>
      </c>
      <c r="G155" s="61"/>
      <c r="I155" s="78"/>
    </row>
    <row r="156" spans="1:9" ht="14.25" customHeight="1" x14ac:dyDescent="0.2">
      <c r="A156" s="65" t="s">
        <v>7247</v>
      </c>
      <c r="B156" s="65" t="s">
        <v>7248</v>
      </c>
      <c r="C156" s="65" t="s">
        <v>7249</v>
      </c>
      <c r="D156" s="66">
        <v>43717</v>
      </c>
      <c r="E156" s="65" t="s">
        <v>6809</v>
      </c>
      <c r="F156" s="79" t="s">
        <v>6810</v>
      </c>
      <c r="G156" s="61"/>
      <c r="I156" s="78"/>
    </row>
    <row r="157" spans="1:9" ht="14.25" customHeight="1" x14ac:dyDescent="0.2">
      <c r="A157" s="65" t="s">
        <v>7250</v>
      </c>
      <c r="B157" s="65" t="s">
        <v>7251</v>
      </c>
      <c r="C157" s="65" t="s">
        <v>7252</v>
      </c>
      <c r="D157" s="66">
        <v>43717</v>
      </c>
      <c r="E157" s="65" t="s">
        <v>6809</v>
      </c>
      <c r="F157" s="79" t="s">
        <v>6810</v>
      </c>
      <c r="G157" s="61"/>
      <c r="I157" s="78"/>
    </row>
    <row r="158" spans="1:9" ht="14.25" customHeight="1" x14ac:dyDescent="0.2">
      <c r="A158" s="65" t="s">
        <v>4574</v>
      </c>
      <c r="B158" s="65" t="s">
        <v>4573</v>
      </c>
      <c r="C158" s="65" t="s">
        <v>7253</v>
      </c>
      <c r="D158" s="66">
        <v>43712</v>
      </c>
      <c r="E158" s="65" t="s">
        <v>6809</v>
      </c>
      <c r="F158" s="79" t="s">
        <v>6814</v>
      </c>
      <c r="G158" s="61"/>
      <c r="I158" s="78"/>
    </row>
    <row r="159" spans="1:9" ht="14.25" customHeight="1" x14ac:dyDescent="0.2">
      <c r="A159" s="65" t="s">
        <v>7254</v>
      </c>
      <c r="B159" s="65" t="s">
        <v>7255</v>
      </c>
      <c r="C159" s="65" t="s">
        <v>7256</v>
      </c>
      <c r="D159" s="66">
        <v>43712</v>
      </c>
      <c r="E159" s="65" t="s">
        <v>6809</v>
      </c>
      <c r="F159" s="79" t="s">
        <v>6814</v>
      </c>
      <c r="G159" s="61"/>
      <c r="I159" s="78"/>
    </row>
    <row r="160" spans="1:9" ht="14.25" customHeight="1" x14ac:dyDescent="0.2">
      <c r="A160" s="65" t="s">
        <v>7257</v>
      </c>
      <c r="B160" s="65" t="s">
        <v>7258</v>
      </c>
      <c r="C160" s="65" t="s">
        <v>7259</v>
      </c>
      <c r="D160" s="66">
        <v>43712</v>
      </c>
      <c r="E160" s="65" t="s">
        <v>6809</v>
      </c>
      <c r="F160" s="79" t="s">
        <v>6824</v>
      </c>
      <c r="G160" s="61"/>
      <c r="I160" s="78"/>
    </row>
    <row r="161" spans="1:9" ht="14.25" customHeight="1" x14ac:dyDescent="0.2">
      <c r="A161" s="65" t="s">
        <v>7260</v>
      </c>
      <c r="B161" s="65" t="s">
        <v>7261</v>
      </c>
      <c r="C161" s="65" t="s">
        <v>7262</v>
      </c>
      <c r="D161" s="66">
        <v>43706</v>
      </c>
      <c r="E161" s="65" t="s">
        <v>6809</v>
      </c>
      <c r="F161" s="79" t="s">
        <v>6810</v>
      </c>
      <c r="G161" s="61"/>
      <c r="I161" s="78"/>
    </row>
    <row r="162" spans="1:9" ht="14.25" customHeight="1" x14ac:dyDescent="0.2">
      <c r="A162" s="65" t="s">
        <v>7263</v>
      </c>
      <c r="B162" s="65" t="s">
        <v>7264</v>
      </c>
      <c r="C162" s="65" t="s">
        <v>7265</v>
      </c>
      <c r="D162" s="66">
        <v>43706</v>
      </c>
      <c r="E162" s="65" t="s">
        <v>6809</v>
      </c>
      <c r="F162" s="79" t="s">
        <v>6824</v>
      </c>
      <c r="G162" s="61"/>
      <c r="I162" s="78"/>
    </row>
    <row r="163" spans="1:9" ht="14.25" customHeight="1" x14ac:dyDescent="0.2">
      <c r="A163" s="65" t="s">
        <v>7266</v>
      </c>
      <c r="B163" s="65" t="s">
        <v>7267</v>
      </c>
      <c r="C163" s="65" t="s">
        <v>7268</v>
      </c>
      <c r="D163" s="66">
        <v>43706</v>
      </c>
      <c r="E163" s="65" t="s">
        <v>6809</v>
      </c>
      <c r="F163" s="79" t="s">
        <v>6824</v>
      </c>
      <c r="G163" s="61"/>
      <c r="I163" s="78"/>
    </row>
    <row r="164" spans="1:9" ht="14.25" customHeight="1" x14ac:dyDescent="0.2">
      <c r="A164" s="65" t="s">
        <v>7269</v>
      </c>
      <c r="B164" s="65" t="s">
        <v>7270</v>
      </c>
      <c r="C164" s="65" t="s">
        <v>7271</v>
      </c>
      <c r="D164" s="66">
        <v>43706</v>
      </c>
      <c r="E164" s="65" t="s">
        <v>6809</v>
      </c>
      <c r="F164" s="79" t="s">
        <v>6824</v>
      </c>
      <c r="G164" s="61"/>
      <c r="I164" s="78"/>
    </row>
    <row r="165" spans="1:9" ht="14.25" customHeight="1" x14ac:dyDescent="0.2">
      <c r="A165" s="65" t="s">
        <v>7272</v>
      </c>
      <c r="B165" s="65" t="s">
        <v>7273</v>
      </c>
      <c r="C165" s="65" t="s">
        <v>7274</v>
      </c>
      <c r="D165" s="66">
        <v>43706</v>
      </c>
      <c r="E165" s="65" t="s">
        <v>6809</v>
      </c>
      <c r="F165" s="79" t="s">
        <v>6824</v>
      </c>
      <c r="G165" s="61"/>
      <c r="I165" s="78"/>
    </row>
    <row r="166" spans="1:9" ht="14.25" customHeight="1" x14ac:dyDescent="0.2">
      <c r="A166" s="65" t="s">
        <v>7275</v>
      </c>
      <c r="B166" s="65" t="s">
        <v>7276</v>
      </c>
      <c r="C166" s="65" t="s">
        <v>7277</v>
      </c>
      <c r="D166" s="66">
        <v>43706</v>
      </c>
      <c r="E166" s="65" t="s">
        <v>6809</v>
      </c>
      <c r="F166" s="79" t="s">
        <v>6824</v>
      </c>
      <c r="G166" s="61"/>
      <c r="I166" s="78"/>
    </row>
    <row r="167" spans="1:9" ht="14.25" customHeight="1" x14ac:dyDescent="0.2">
      <c r="A167" s="65" t="s">
        <v>7278</v>
      </c>
      <c r="B167" s="65" t="s">
        <v>7279</v>
      </c>
      <c r="C167" s="65" t="s">
        <v>7280</v>
      </c>
      <c r="D167" s="66">
        <v>43706</v>
      </c>
      <c r="E167" s="65" t="s">
        <v>6809</v>
      </c>
      <c r="F167" s="79" t="s">
        <v>6810</v>
      </c>
      <c r="G167" s="61"/>
      <c r="I167" s="78"/>
    </row>
    <row r="168" spans="1:9" ht="14.25" customHeight="1" x14ac:dyDescent="0.2">
      <c r="A168" s="65" t="s">
        <v>7281</v>
      </c>
      <c r="B168" s="65" t="s">
        <v>7282</v>
      </c>
      <c r="C168" s="65" t="s">
        <v>7283</v>
      </c>
      <c r="D168" s="66">
        <v>43706</v>
      </c>
      <c r="E168" s="65" t="s">
        <v>6809</v>
      </c>
      <c r="F168" s="79" t="s">
        <v>6824</v>
      </c>
      <c r="G168" s="61"/>
      <c r="I168" s="78"/>
    </row>
    <row r="169" spans="1:9" ht="14.25" customHeight="1" x14ac:dyDescent="0.2">
      <c r="A169" s="65" t="s">
        <v>7284</v>
      </c>
      <c r="B169" s="65" t="s">
        <v>7285</v>
      </c>
      <c r="C169" s="65" t="s">
        <v>7286</v>
      </c>
      <c r="D169" s="66">
        <v>43706</v>
      </c>
      <c r="E169" s="65" t="s">
        <v>207</v>
      </c>
      <c r="F169" s="79" t="s">
        <v>6810</v>
      </c>
      <c r="G169" s="61"/>
      <c r="I169" s="78"/>
    </row>
    <row r="170" spans="1:9" ht="14.25" customHeight="1" x14ac:dyDescent="0.2">
      <c r="A170" s="65" t="s">
        <v>7287</v>
      </c>
      <c r="B170" s="65" t="s">
        <v>7288</v>
      </c>
      <c r="C170" s="65" t="s">
        <v>7289</v>
      </c>
      <c r="D170" s="66">
        <v>43706</v>
      </c>
      <c r="E170" s="65" t="s">
        <v>289</v>
      </c>
      <c r="F170" s="79" t="s">
        <v>6810</v>
      </c>
      <c r="G170" s="61"/>
      <c r="I170" s="78"/>
    </row>
    <row r="171" spans="1:9" ht="14.25" customHeight="1" x14ac:dyDescent="0.2">
      <c r="A171" s="65" t="s">
        <v>7290</v>
      </c>
      <c r="B171" s="65" t="s">
        <v>7291</v>
      </c>
      <c r="C171" s="65" t="s">
        <v>7292</v>
      </c>
      <c r="D171" s="66">
        <v>43706</v>
      </c>
      <c r="E171" s="65" t="s">
        <v>289</v>
      </c>
      <c r="F171" s="79" t="s">
        <v>6810</v>
      </c>
      <c r="G171" s="61"/>
      <c r="I171" s="78"/>
    </row>
    <row r="172" spans="1:9" ht="14.25" customHeight="1" x14ac:dyDescent="0.2">
      <c r="A172" s="65" t="s">
        <v>7293</v>
      </c>
      <c r="B172" s="65" t="s">
        <v>7294</v>
      </c>
      <c r="C172" s="65" t="s">
        <v>7295</v>
      </c>
      <c r="D172" s="66">
        <v>43706</v>
      </c>
      <c r="E172" s="65" t="s">
        <v>289</v>
      </c>
      <c r="F172" s="79" t="s">
        <v>6810</v>
      </c>
      <c r="G172" s="61"/>
      <c r="I172" s="78"/>
    </row>
    <row r="173" spans="1:9" ht="14.25" customHeight="1" x14ac:dyDescent="0.2">
      <c r="A173" s="65" t="s">
        <v>7296</v>
      </c>
      <c r="B173" s="65" t="s">
        <v>7297</v>
      </c>
      <c r="C173" s="65" t="s">
        <v>7298</v>
      </c>
      <c r="D173" s="66">
        <v>43706</v>
      </c>
      <c r="E173" s="65" t="s">
        <v>289</v>
      </c>
      <c r="F173" s="79" t="s">
        <v>6810</v>
      </c>
      <c r="G173" s="61"/>
      <c r="I173" s="78"/>
    </row>
    <row r="174" spans="1:9" ht="14.25" customHeight="1" x14ac:dyDescent="0.2">
      <c r="A174" s="65" t="s">
        <v>7299</v>
      </c>
      <c r="B174" s="65" t="s">
        <v>7300</v>
      </c>
      <c r="C174" s="65" t="s">
        <v>7301</v>
      </c>
      <c r="D174" s="66">
        <v>43706</v>
      </c>
      <c r="E174" s="65" t="s">
        <v>207</v>
      </c>
      <c r="F174" s="79" t="s">
        <v>6810</v>
      </c>
      <c r="G174" s="61"/>
      <c r="I174" s="78"/>
    </row>
    <row r="175" spans="1:9" ht="14.25" customHeight="1" x14ac:dyDescent="0.2">
      <c r="A175" s="65" t="s">
        <v>7302</v>
      </c>
      <c r="B175" s="65" t="s">
        <v>7303</v>
      </c>
      <c r="C175" s="65" t="s">
        <v>7304</v>
      </c>
      <c r="D175" s="66">
        <v>43706</v>
      </c>
      <c r="E175" s="65" t="s">
        <v>289</v>
      </c>
      <c r="F175" s="79" t="s">
        <v>6810</v>
      </c>
      <c r="G175" s="61"/>
      <c r="I175" s="78"/>
    </row>
    <row r="176" spans="1:9" ht="14.25" customHeight="1" x14ac:dyDescent="0.2">
      <c r="A176" s="65" t="s">
        <v>7305</v>
      </c>
      <c r="B176" s="65" t="s">
        <v>7306</v>
      </c>
      <c r="C176" s="65" t="s">
        <v>7307</v>
      </c>
      <c r="D176" s="66">
        <v>43706</v>
      </c>
      <c r="E176" s="65" t="s">
        <v>6809</v>
      </c>
      <c r="F176" s="79" t="s">
        <v>6824</v>
      </c>
      <c r="G176" s="61"/>
      <c r="I176" s="78"/>
    </row>
    <row r="177" spans="1:9" ht="14.25" customHeight="1" x14ac:dyDescent="0.2">
      <c r="A177" s="65">
        <v>60030209006</v>
      </c>
      <c r="B177" s="65" t="s">
        <v>7308</v>
      </c>
      <c r="C177" s="65" t="s">
        <v>7309</v>
      </c>
      <c r="D177" s="66">
        <v>43706</v>
      </c>
      <c r="E177" s="65" t="s">
        <v>6809</v>
      </c>
      <c r="F177" s="79" t="s">
        <v>6824</v>
      </c>
      <c r="G177" s="61"/>
      <c r="I177" s="78"/>
    </row>
    <row r="178" spans="1:9" ht="14.25" customHeight="1" x14ac:dyDescent="0.2">
      <c r="A178" s="65" t="s">
        <v>7310</v>
      </c>
      <c r="B178" s="65" t="s">
        <v>7311</v>
      </c>
      <c r="C178" s="65" t="s">
        <v>7312</v>
      </c>
      <c r="D178" s="66">
        <v>43705</v>
      </c>
      <c r="E178" s="65" t="s">
        <v>6809</v>
      </c>
      <c r="F178" s="79" t="s">
        <v>6810</v>
      </c>
      <c r="G178" s="61"/>
      <c r="I178" s="78"/>
    </row>
    <row r="179" spans="1:9" ht="14.25" customHeight="1" x14ac:dyDescent="0.2">
      <c r="A179" s="65" t="s">
        <v>7313</v>
      </c>
      <c r="B179" s="65" t="s">
        <v>7314</v>
      </c>
      <c r="C179" s="65" t="s">
        <v>7315</v>
      </c>
      <c r="D179" s="66">
        <v>43692</v>
      </c>
      <c r="E179" s="65" t="s">
        <v>6809</v>
      </c>
      <c r="F179" s="79" t="s">
        <v>6824</v>
      </c>
      <c r="G179" s="61"/>
      <c r="I179" s="78"/>
    </row>
    <row r="180" spans="1:9" ht="14.25" customHeight="1" x14ac:dyDescent="0.2">
      <c r="A180" s="65" t="s">
        <v>7316</v>
      </c>
      <c r="B180" s="65" t="s">
        <v>7317</v>
      </c>
      <c r="C180" s="65" t="s">
        <v>7318</v>
      </c>
      <c r="D180" s="66">
        <v>43692</v>
      </c>
      <c r="E180" s="65" t="s">
        <v>6809</v>
      </c>
      <c r="F180" s="79" t="s">
        <v>6810</v>
      </c>
      <c r="G180" s="61"/>
      <c r="I180" s="78"/>
    </row>
    <row r="181" spans="1:9" ht="14.25" customHeight="1" x14ac:dyDescent="0.2">
      <c r="A181" s="65" t="s">
        <v>7319</v>
      </c>
      <c r="B181" s="65" t="s">
        <v>7320</v>
      </c>
      <c r="C181" s="65" t="s">
        <v>7321</v>
      </c>
      <c r="D181" s="66">
        <v>43691</v>
      </c>
      <c r="E181" s="65" t="s">
        <v>6809</v>
      </c>
      <c r="F181" s="79" t="s">
        <v>6814</v>
      </c>
      <c r="G181" s="61"/>
      <c r="I181" s="78"/>
    </row>
    <row r="182" spans="1:9" ht="14.25" customHeight="1" x14ac:dyDescent="0.2">
      <c r="A182" s="65" t="s">
        <v>7322</v>
      </c>
      <c r="B182" s="65" t="s">
        <v>7323</v>
      </c>
      <c r="C182" s="65" t="s">
        <v>7324</v>
      </c>
      <c r="D182" s="66">
        <v>43691</v>
      </c>
      <c r="E182" s="65" t="s">
        <v>6809</v>
      </c>
      <c r="F182" s="79" t="s">
        <v>6814</v>
      </c>
      <c r="G182" s="61"/>
      <c r="I182" s="78"/>
    </row>
    <row r="183" spans="1:9" ht="14.25" customHeight="1" x14ac:dyDescent="0.2">
      <c r="A183" s="65" t="s">
        <v>7325</v>
      </c>
      <c r="B183" s="65" t="s">
        <v>7326</v>
      </c>
      <c r="C183" s="65" t="s">
        <v>7327</v>
      </c>
      <c r="D183" s="66">
        <v>43691</v>
      </c>
      <c r="E183" s="65" t="s">
        <v>6809</v>
      </c>
      <c r="F183" s="79" t="s">
        <v>6814</v>
      </c>
      <c r="G183" s="61"/>
      <c r="I183" s="78"/>
    </row>
    <row r="184" spans="1:9" ht="14.25" customHeight="1" x14ac:dyDescent="0.2">
      <c r="A184" s="65" t="s">
        <v>7328</v>
      </c>
      <c r="B184" s="65" t="s">
        <v>7329</v>
      </c>
      <c r="C184" s="65" t="s">
        <v>7330</v>
      </c>
      <c r="D184" s="66">
        <v>43689</v>
      </c>
      <c r="E184" s="65" t="s">
        <v>6809</v>
      </c>
      <c r="F184" s="79" t="s">
        <v>6824</v>
      </c>
      <c r="G184" s="61"/>
      <c r="I184" s="78"/>
    </row>
    <row r="185" spans="1:9" ht="14.25" customHeight="1" x14ac:dyDescent="0.2">
      <c r="A185" s="65" t="s">
        <v>7331</v>
      </c>
      <c r="B185" s="65" t="s">
        <v>7332</v>
      </c>
      <c r="C185" s="65" t="s">
        <v>7333</v>
      </c>
      <c r="D185" s="66">
        <v>43689</v>
      </c>
      <c r="E185" s="65" t="s">
        <v>6809</v>
      </c>
      <c r="F185" s="79" t="s">
        <v>6814</v>
      </c>
      <c r="G185" s="61"/>
      <c r="I185" s="78"/>
    </row>
    <row r="186" spans="1:9" ht="14.25" customHeight="1" x14ac:dyDescent="0.2">
      <c r="A186" s="65" t="s">
        <v>7334</v>
      </c>
      <c r="B186" s="65" t="s">
        <v>7335</v>
      </c>
      <c r="C186" s="65" t="s">
        <v>7336</v>
      </c>
      <c r="D186" s="66">
        <v>43689</v>
      </c>
      <c r="E186" s="65" t="s">
        <v>6809</v>
      </c>
      <c r="F186" s="79" t="s">
        <v>6814</v>
      </c>
      <c r="G186" s="61"/>
      <c r="I186" s="78"/>
    </row>
    <row r="187" spans="1:9" ht="14.25" customHeight="1" x14ac:dyDescent="0.2">
      <c r="A187" s="65" t="s">
        <v>7337</v>
      </c>
      <c r="B187" s="65" t="s">
        <v>7338</v>
      </c>
      <c r="C187" s="65" t="s">
        <v>7339</v>
      </c>
      <c r="D187" s="66">
        <v>43686</v>
      </c>
      <c r="E187" s="65" t="s">
        <v>6809</v>
      </c>
      <c r="F187" s="79" t="s">
        <v>6814</v>
      </c>
      <c r="G187" s="61"/>
      <c r="I187" s="78"/>
    </row>
    <row r="188" spans="1:9" ht="14.25" customHeight="1" x14ac:dyDescent="0.2">
      <c r="A188" s="65" t="s">
        <v>7340</v>
      </c>
      <c r="B188" s="65" t="s">
        <v>7341</v>
      </c>
      <c r="C188" s="65" t="s">
        <v>7342</v>
      </c>
      <c r="D188" s="66">
        <v>43686</v>
      </c>
      <c r="E188" s="65" t="s">
        <v>6809</v>
      </c>
      <c r="F188" s="79" t="s">
        <v>6814</v>
      </c>
      <c r="G188" s="61"/>
      <c r="I188" s="78"/>
    </row>
    <row r="189" spans="1:9" ht="14.25" customHeight="1" x14ac:dyDescent="0.2">
      <c r="A189" s="65" t="s">
        <v>7343</v>
      </c>
      <c r="B189" s="65" t="s">
        <v>7344</v>
      </c>
      <c r="C189" s="65" t="s">
        <v>7345</v>
      </c>
      <c r="D189" s="66">
        <v>43686</v>
      </c>
      <c r="E189" s="65" t="s">
        <v>6809</v>
      </c>
      <c r="F189" s="79" t="s">
        <v>6814</v>
      </c>
      <c r="G189" s="61"/>
      <c r="I189" s="78"/>
    </row>
    <row r="190" spans="1:9" ht="14.25" customHeight="1" x14ac:dyDescent="0.2">
      <c r="A190" s="65" t="s">
        <v>7346</v>
      </c>
      <c r="B190" s="65" t="s">
        <v>7347</v>
      </c>
      <c r="C190" s="65" t="s">
        <v>7348</v>
      </c>
      <c r="D190" s="66">
        <v>43684</v>
      </c>
      <c r="E190" s="65" t="s">
        <v>6809</v>
      </c>
      <c r="F190" s="79" t="s">
        <v>6824</v>
      </c>
      <c r="G190" s="61"/>
      <c r="I190" s="78"/>
    </row>
    <row r="191" spans="1:9" ht="14.25" customHeight="1" x14ac:dyDescent="0.2">
      <c r="A191" s="65" t="s">
        <v>7349</v>
      </c>
      <c r="B191" s="65" t="s">
        <v>1130</v>
      </c>
      <c r="C191" s="65" t="s">
        <v>7350</v>
      </c>
      <c r="D191" s="66">
        <v>43682</v>
      </c>
      <c r="E191" s="65" t="s">
        <v>6809</v>
      </c>
      <c r="F191" s="79" t="s">
        <v>7351</v>
      </c>
      <c r="G191" s="61"/>
      <c r="I191" s="78"/>
    </row>
    <row r="192" spans="1:9" ht="14.25" customHeight="1" x14ac:dyDescent="0.2">
      <c r="A192" s="65" t="s">
        <v>7352</v>
      </c>
      <c r="B192" s="65" t="s">
        <v>1809</v>
      </c>
      <c r="C192" s="65" t="s">
        <v>7353</v>
      </c>
      <c r="D192" s="66">
        <v>43682</v>
      </c>
      <c r="E192" s="65" t="s">
        <v>289</v>
      </c>
      <c r="F192" s="79" t="s">
        <v>7354</v>
      </c>
      <c r="G192" s="61"/>
      <c r="I192" s="78"/>
    </row>
    <row r="193" spans="1:9" ht="14.25" customHeight="1" x14ac:dyDescent="0.2">
      <c r="A193" s="65" t="s">
        <v>7355</v>
      </c>
      <c r="B193" s="65" t="s">
        <v>7356</v>
      </c>
      <c r="C193" s="65" t="s">
        <v>7357</v>
      </c>
      <c r="D193" s="66">
        <v>43679</v>
      </c>
      <c r="E193" s="65" t="s">
        <v>6809</v>
      </c>
      <c r="F193" s="79" t="s">
        <v>6814</v>
      </c>
      <c r="G193" s="61"/>
      <c r="I193" s="78"/>
    </row>
    <row r="194" spans="1:9" ht="14.25" customHeight="1" x14ac:dyDescent="0.2">
      <c r="A194" s="65" t="s">
        <v>7358</v>
      </c>
      <c r="B194" s="65" t="s">
        <v>1182</v>
      </c>
      <c r="C194" s="65" t="s">
        <v>7359</v>
      </c>
      <c r="D194" s="66">
        <v>43679</v>
      </c>
      <c r="E194" s="65" t="s">
        <v>289</v>
      </c>
      <c r="F194" s="82" t="s">
        <v>7360</v>
      </c>
      <c r="G194" s="61"/>
      <c r="I194" s="78"/>
    </row>
    <row r="195" spans="1:9" ht="14.25" customHeight="1" x14ac:dyDescent="0.2">
      <c r="A195" s="65" t="s">
        <v>7361</v>
      </c>
      <c r="B195" s="65" t="s">
        <v>7362</v>
      </c>
      <c r="C195" s="65" t="s">
        <v>7363</v>
      </c>
      <c r="D195" s="66">
        <v>43679</v>
      </c>
      <c r="E195" s="65" t="s">
        <v>207</v>
      </c>
      <c r="F195" s="82" t="s">
        <v>7360</v>
      </c>
      <c r="G195" s="61"/>
      <c r="I195" s="78"/>
    </row>
    <row r="196" spans="1:9" ht="14.25" customHeight="1" x14ac:dyDescent="0.2">
      <c r="A196" s="65" t="s">
        <v>7364</v>
      </c>
      <c r="B196" s="65" t="s">
        <v>1198</v>
      </c>
      <c r="C196" s="65" t="s">
        <v>7365</v>
      </c>
      <c r="D196" s="66">
        <v>43679</v>
      </c>
      <c r="E196" s="65" t="s">
        <v>289</v>
      </c>
      <c r="F196" s="82" t="s">
        <v>7366</v>
      </c>
      <c r="G196" s="61"/>
      <c r="I196" s="78"/>
    </row>
    <row r="197" spans="1:9" ht="14.25" customHeight="1" x14ac:dyDescent="0.2">
      <c r="A197" s="65" t="s">
        <v>7367</v>
      </c>
      <c r="B197" s="65" t="s">
        <v>1186</v>
      </c>
      <c r="C197" s="65" t="s">
        <v>7368</v>
      </c>
      <c r="D197" s="66">
        <v>43679</v>
      </c>
      <c r="E197" s="65" t="s">
        <v>289</v>
      </c>
      <c r="F197" s="79" t="s">
        <v>7369</v>
      </c>
      <c r="G197" s="61"/>
      <c r="I197" s="78"/>
    </row>
    <row r="198" spans="1:9" ht="14.25" customHeight="1" x14ac:dyDescent="0.2">
      <c r="A198" s="65" t="s">
        <v>7370</v>
      </c>
      <c r="B198" s="65" t="s">
        <v>1162</v>
      </c>
      <c r="C198" s="65" t="s">
        <v>7371</v>
      </c>
      <c r="D198" s="66">
        <v>43679</v>
      </c>
      <c r="E198" s="65" t="s">
        <v>207</v>
      </c>
      <c r="F198" s="79" t="s">
        <v>7372</v>
      </c>
      <c r="G198" s="61"/>
      <c r="I198" s="78"/>
    </row>
    <row r="199" spans="1:9" ht="14.25" customHeight="1" x14ac:dyDescent="0.2">
      <c r="A199" s="65" t="s">
        <v>7373</v>
      </c>
      <c r="B199" s="65" t="s">
        <v>7374</v>
      </c>
      <c r="C199" s="65" t="s">
        <v>7375</v>
      </c>
      <c r="D199" s="66">
        <v>43679</v>
      </c>
      <c r="E199" s="65" t="s">
        <v>289</v>
      </c>
      <c r="F199" s="79" t="s">
        <v>7376</v>
      </c>
      <c r="G199" s="61"/>
      <c r="I199" s="78"/>
    </row>
    <row r="200" spans="1:9" ht="14.25" customHeight="1" x14ac:dyDescent="0.2">
      <c r="A200" s="65" t="s">
        <v>7377</v>
      </c>
      <c r="B200" s="65" t="s">
        <v>7378</v>
      </c>
      <c r="C200" s="65" t="s">
        <v>7379</v>
      </c>
      <c r="D200" s="66">
        <v>43672</v>
      </c>
      <c r="E200" s="65" t="s">
        <v>6809</v>
      </c>
      <c r="F200" s="79" t="s">
        <v>6824</v>
      </c>
      <c r="G200" s="61"/>
      <c r="I200" s="78"/>
    </row>
    <row r="201" spans="1:9" ht="14.25" customHeight="1" x14ac:dyDescent="0.2">
      <c r="A201" s="65" t="s">
        <v>7380</v>
      </c>
      <c r="B201" s="65" t="s">
        <v>1789</v>
      </c>
      <c r="C201" s="65" t="s">
        <v>7381</v>
      </c>
      <c r="D201" s="66">
        <v>43672</v>
      </c>
      <c r="E201" s="65" t="s">
        <v>207</v>
      </c>
      <c r="F201" s="79" t="s">
        <v>7382</v>
      </c>
      <c r="G201" s="61"/>
      <c r="I201" s="78"/>
    </row>
    <row r="202" spans="1:9" ht="14.25" customHeight="1" x14ac:dyDescent="0.2">
      <c r="A202" s="65" t="s">
        <v>7383</v>
      </c>
      <c r="B202" s="65" t="s">
        <v>7384</v>
      </c>
      <c r="C202" s="65" t="s">
        <v>7385</v>
      </c>
      <c r="D202" s="66">
        <v>43670</v>
      </c>
      <c r="E202" s="65" t="s">
        <v>6809</v>
      </c>
      <c r="F202" s="79" t="s">
        <v>6810</v>
      </c>
      <c r="G202" s="61"/>
      <c r="I202" s="78"/>
    </row>
    <row r="203" spans="1:9" ht="14.25" customHeight="1" x14ac:dyDescent="0.2">
      <c r="A203" s="65" t="s">
        <v>7386</v>
      </c>
      <c r="B203" s="65" t="s">
        <v>7387</v>
      </c>
      <c r="C203" s="65" t="s">
        <v>7388</v>
      </c>
      <c r="D203" s="66">
        <v>43670</v>
      </c>
      <c r="E203" s="65" t="s">
        <v>6809</v>
      </c>
      <c r="F203" s="79" t="s">
        <v>6810</v>
      </c>
      <c r="G203" s="61"/>
      <c r="I203" s="78"/>
    </row>
    <row r="204" spans="1:9" ht="14.25" customHeight="1" x14ac:dyDescent="0.2">
      <c r="A204" s="65">
        <v>99120105072</v>
      </c>
      <c r="B204" s="65" t="s">
        <v>1793</v>
      </c>
      <c r="C204" s="65" t="s">
        <v>7389</v>
      </c>
      <c r="D204" s="66">
        <v>43669</v>
      </c>
      <c r="E204" s="65" t="s">
        <v>289</v>
      </c>
      <c r="F204" s="79" t="s">
        <v>7390</v>
      </c>
      <c r="G204" s="61"/>
      <c r="I204" s="78"/>
    </row>
    <row r="205" spans="1:9" ht="14.25" customHeight="1" x14ac:dyDescent="0.2">
      <c r="A205" s="65" t="s">
        <v>7391</v>
      </c>
      <c r="B205" s="65" t="s">
        <v>7392</v>
      </c>
      <c r="C205" s="65" t="s">
        <v>7393</v>
      </c>
      <c r="D205" s="66">
        <v>43668</v>
      </c>
      <c r="E205" s="65" t="s">
        <v>6809</v>
      </c>
      <c r="F205" s="79" t="s">
        <v>6824</v>
      </c>
      <c r="G205" s="61"/>
      <c r="I205" s="78"/>
    </row>
    <row r="206" spans="1:9" ht="14.25" customHeight="1" x14ac:dyDescent="0.2">
      <c r="A206" s="65" t="s">
        <v>7394</v>
      </c>
      <c r="B206" s="65" t="s">
        <v>1781</v>
      </c>
      <c r="C206" s="65" t="s">
        <v>7395</v>
      </c>
      <c r="D206" s="66">
        <v>43665</v>
      </c>
      <c r="E206" s="65" t="s">
        <v>289</v>
      </c>
      <c r="F206" s="79" t="s">
        <v>7396</v>
      </c>
      <c r="G206" s="61"/>
      <c r="I206" s="78"/>
    </row>
    <row r="207" spans="1:9" ht="14.25" customHeight="1" x14ac:dyDescent="0.2">
      <c r="A207" s="65" t="s">
        <v>7397</v>
      </c>
      <c r="B207" s="65" t="s">
        <v>7398</v>
      </c>
      <c r="C207" s="65" t="s">
        <v>7399</v>
      </c>
      <c r="D207" s="66">
        <v>43665</v>
      </c>
      <c r="E207" s="65" t="s">
        <v>6809</v>
      </c>
      <c r="F207" s="79" t="s">
        <v>6824</v>
      </c>
      <c r="G207" s="61"/>
      <c r="I207" s="78"/>
    </row>
    <row r="208" spans="1:9" ht="14.25" customHeight="1" x14ac:dyDescent="0.2">
      <c r="A208" s="65" t="s">
        <v>7400</v>
      </c>
      <c r="B208" s="65" t="s">
        <v>7401</v>
      </c>
      <c r="C208" s="65" t="s">
        <v>7402</v>
      </c>
      <c r="D208" s="66">
        <v>43664</v>
      </c>
      <c r="E208" s="65" t="s">
        <v>6809</v>
      </c>
      <c r="F208" s="79" t="s">
        <v>6824</v>
      </c>
      <c r="G208" s="61"/>
      <c r="I208" s="78"/>
    </row>
    <row r="209" spans="1:9" ht="14.25" customHeight="1" x14ac:dyDescent="0.2">
      <c r="A209" s="65" t="s">
        <v>1203</v>
      </c>
      <c r="B209" s="65" t="s">
        <v>1202</v>
      </c>
      <c r="C209" s="65" t="s">
        <v>7403</v>
      </c>
      <c r="D209" s="66">
        <v>43661</v>
      </c>
      <c r="E209" s="65" t="s">
        <v>207</v>
      </c>
      <c r="F209" s="79" t="s">
        <v>6810</v>
      </c>
      <c r="G209" s="61"/>
      <c r="I209" s="78"/>
    </row>
    <row r="210" spans="1:9" ht="14.25" customHeight="1" x14ac:dyDescent="0.2">
      <c r="A210" s="65" t="s">
        <v>7404</v>
      </c>
      <c r="B210" s="65" t="s">
        <v>7405</v>
      </c>
      <c r="C210" s="65" t="s">
        <v>7406</v>
      </c>
      <c r="D210" s="66">
        <v>43657</v>
      </c>
      <c r="E210" s="65" t="s">
        <v>6809</v>
      </c>
      <c r="F210" s="79" t="s">
        <v>6824</v>
      </c>
      <c r="G210" s="61"/>
      <c r="I210" s="78"/>
    </row>
    <row r="211" spans="1:9" ht="14.25" customHeight="1" x14ac:dyDescent="0.2">
      <c r="A211" s="65" t="s">
        <v>7407</v>
      </c>
      <c r="B211" s="65" t="s">
        <v>7408</v>
      </c>
      <c r="C211" s="65" t="s">
        <v>7409</v>
      </c>
      <c r="D211" s="66">
        <v>43657</v>
      </c>
      <c r="E211" s="65" t="s">
        <v>6809</v>
      </c>
      <c r="F211" s="79" t="s">
        <v>6824</v>
      </c>
      <c r="G211" s="61"/>
      <c r="I211" s="78"/>
    </row>
    <row r="212" spans="1:9" ht="14.25" customHeight="1" x14ac:dyDescent="0.2">
      <c r="A212" s="65" t="s">
        <v>7410</v>
      </c>
      <c r="B212" s="65" t="s">
        <v>1773</v>
      </c>
      <c r="C212" s="65" t="s">
        <v>7411</v>
      </c>
      <c r="D212" s="66">
        <v>43657</v>
      </c>
      <c r="E212" s="65" t="s">
        <v>207</v>
      </c>
      <c r="F212" s="79" t="s">
        <v>7412</v>
      </c>
      <c r="G212" s="61"/>
      <c r="I212" s="78"/>
    </row>
    <row r="213" spans="1:9" ht="14.25" customHeight="1" x14ac:dyDescent="0.2">
      <c r="A213" s="65" t="s">
        <v>7413</v>
      </c>
      <c r="B213" s="65" t="s">
        <v>1797</v>
      </c>
      <c r="C213" s="65" t="s">
        <v>7414</v>
      </c>
      <c r="D213" s="66">
        <v>43657</v>
      </c>
      <c r="E213" s="65" t="s">
        <v>202</v>
      </c>
      <c r="F213" s="79" t="s">
        <v>7415</v>
      </c>
      <c r="G213" s="61"/>
      <c r="I213" s="78"/>
    </row>
    <row r="214" spans="1:9" ht="14.25" customHeight="1" x14ac:dyDescent="0.2">
      <c r="A214" s="65" t="s">
        <v>7416</v>
      </c>
      <c r="B214" s="65" t="s">
        <v>7417</v>
      </c>
      <c r="C214" s="65" t="s">
        <v>7418</v>
      </c>
      <c r="D214" s="66">
        <v>43657</v>
      </c>
      <c r="E214" s="65" t="s">
        <v>6809</v>
      </c>
      <c r="F214" s="79" t="s">
        <v>6824</v>
      </c>
      <c r="G214" s="61"/>
      <c r="I214" s="78"/>
    </row>
    <row r="215" spans="1:9" ht="14.25" customHeight="1" x14ac:dyDescent="0.2">
      <c r="A215" s="65" t="s">
        <v>7419</v>
      </c>
      <c r="B215" s="65" t="s">
        <v>7420</v>
      </c>
      <c r="C215" s="65" t="s">
        <v>7421</v>
      </c>
      <c r="D215" s="66">
        <v>43657</v>
      </c>
      <c r="E215" s="65" t="s">
        <v>6809</v>
      </c>
      <c r="F215" s="79" t="s">
        <v>6824</v>
      </c>
      <c r="G215" s="61"/>
      <c r="I215" s="78"/>
    </row>
    <row r="216" spans="1:9" ht="14.25" customHeight="1" x14ac:dyDescent="0.2">
      <c r="A216" s="65">
        <v>99120101014</v>
      </c>
      <c r="B216" s="65" t="s">
        <v>7422</v>
      </c>
      <c r="C216" s="65" t="s">
        <v>7423</v>
      </c>
      <c r="D216" s="66">
        <v>43655</v>
      </c>
      <c r="E216" s="65" t="s">
        <v>6809</v>
      </c>
      <c r="F216" s="79" t="s">
        <v>6810</v>
      </c>
      <c r="G216" s="61"/>
      <c r="I216" s="78"/>
    </row>
    <row r="217" spans="1:9" ht="14.25" customHeight="1" x14ac:dyDescent="0.2">
      <c r="A217" s="65" t="s">
        <v>7424</v>
      </c>
      <c r="B217" s="65" t="s">
        <v>276</v>
      </c>
      <c r="C217" s="65" t="s">
        <v>7425</v>
      </c>
      <c r="D217" s="66">
        <v>43655</v>
      </c>
      <c r="E217" s="65" t="s">
        <v>202</v>
      </c>
      <c r="F217" s="79" t="s">
        <v>7426</v>
      </c>
      <c r="G217" s="61"/>
      <c r="I217" s="78"/>
    </row>
    <row r="218" spans="1:9" ht="14.25" customHeight="1" x14ac:dyDescent="0.2">
      <c r="A218" s="65" t="s">
        <v>7427</v>
      </c>
      <c r="B218" s="65" t="s">
        <v>7428</v>
      </c>
      <c r="C218" s="65" t="s">
        <v>7429</v>
      </c>
      <c r="D218" s="66">
        <v>43650</v>
      </c>
      <c r="E218" s="65" t="s">
        <v>6809</v>
      </c>
      <c r="F218" s="79" t="s">
        <v>6824</v>
      </c>
      <c r="G218" s="61"/>
      <c r="I218" s="78"/>
    </row>
    <row r="219" spans="1:9" ht="14.25" customHeight="1" x14ac:dyDescent="0.2">
      <c r="A219" s="65" t="s">
        <v>7430</v>
      </c>
      <c r="B219" s="65" t="s">
        <v>7431</v>
      </c>
      <c r="C219" s="65" t="s">
        <v>7432</v>
      </c>
      <c r="D219" s="66">
        <v>43649</v>
      </c>
      <c r="E219" s="65" t="s">
        <v>6809</v>
      </c>
      <c r="F219" s="79" t="s">
        <v>6824</v>
      </c>
      <c r="G219" s="61"/>
      <c r="I219" s="78"/>
    </row>
    <row r="220" spans="1:9" ht="14.25" customHeight="1" x14ac:dyDescent="0.2">
      <c r="A220" s="65" t="s">
        <v>7433</v>
      </c>
      <c r="B220" s="65" t="s">
        <v>7434</v>
      </c>
      <c r="C220" s="65" t="s">
        <v>7435</v>
      </c>
      <c r="D220" s="66">
        <v>43649</v>
      </c>
      <c r="E220" s="65" t="s">
        <v>6809</v>
      </c>
      <c r="F220" s="79" t="s">
        <v>6824</v>
      </c>
      <c r="G220" s="61"/>
      <c r="I220" s="78"/>
    </row>
    <row r="221" spans="1:9" ht="14.25" customHeight="1" x14ac:dyDescent="0.2">
      <c r="A221" s="65" t="s">
        <v>7436</v>
      </c>
      <c r="B221" s="65" t="s">
        <v>7437</v>
      </c>
      <c r="C221" s="65" t="s">
        <v>7438</v>
      </c>
      <c r="D221" s="66">
        <v>43649</v>
      </c>
      <c r="E221" s="65" t="s">
        <v>6809</v>
      </c>
      <c r="F221" s="79" t="s">
        <v>6824</v>
      </c>
      <c r="G221" s="61"/>
      <c r="I221" s="78"/>
    </row>
    <row r="222" spans="1:9" ht="14.25" customHeight="1" x14ac:dyDescent="0.2">
      <c r="A222" s="65" t="s">
        <v>7439</v>
      </c>
      <c r="B222" s="65" t="s">
        <v>7440</v>
      </c>
      <c r="C222" s="65" t="s">
        <v>7441</v>
      </c>
      <c r="D222" s="66">
        <v>43649</v>
      </c>
      <c r="E222" s="65" t="s">
        <v>6809</v>
      </c>
      <c r="F222" s="79" t="s">
        <v>6824</v>
      </c>
      <c r="G222" s="61"/>
      <c r="I222" s="78"/>
    </row>
    <row r="223" spans="1:9" ht="14.25" customHeight="1" x14ac:dyDescent="0.2">
      <c r="A223" s="65" t="s">
        <v>7442</v>
      </c>
      <c r="B223" s="65" t="s">
        <v>3372</v>
      </c>
      <c r="C223" s="65" t="s">
        <v>7443</v>
      </c>
      <c r="D223" s="66">
        <v>43649</v>
      </c>
      <c r="E223" s="65" t="s">
        <v>6809</v>
      </c>
      <c r="F223" s="79" t="s">
        <v>6814</v>
      </c>
      <c r="G223" s="61"/>
      <c r="I223" s="78"/>
    </row>
    <row r="224" spans="1:9" ht="14.25" customHeight="1" x14ac:dyDescent="0.2">
      <c r="A224" s="65" t="s">
        <v>7444</v>
      </c>
      <c r="B224" s="65" t="s">
        <v>7445</v>
      </c>
      <c r="C224" s="65" t="s">
        <v>7446</v>
      </c>
      <c r="D224" s="66">
        <v>43643</v>
      </c>
      <c r="E224" s="65" t="s">
        <v>6809</v>
      </c>
      <c r="F224" s="79" t="s">
        <v>6814</v>
      </c>
      <c r="G224" s="61"/>
      <c r="I224" s="78"/>
    </row>
    <row r="225" spans="1:9" ht="14.25" customHeight="1" x14ac:dyDescent="0.2">
      <c r="A225" s="65" t="s">
        <v>7447</v>
      </c>
      <c r="B225" s="65" t="s">
        <v>7448</v>
      </c>
      <c r="C225" s="65" t="s">
        <v>7449</v>
      </c>
      <c r="D225" s="66">
        <v>43641</v>
      </c>
      <c r="E225" s="65" t="s">
        <v>6809</v>
      </c>
      <c r="F225" s="79" t="s">
        <v>6810</v>
      </c>
      <c r="G225" s="61"/>
      <c r="I225" s="78"/>
    </row>
    <row r="226" spans="1:9" ht="14.25" customHeight="1" x14ac:dyDescent="0.2">
      <c r="A226" s="65" t="s">
        <v>7450</v>
      </c>
      <c r="B226" s="65" t="s">
        <v>7451</v>
      </c>
      <c r="C226" s="65" t="s">
        <v>7452</v>
      </c>
      <c r="D226" s="66">
        <v>43634</v>
      </c>
      <c r="E226" s="65" t="s">
        <v>6809</v>
      </c>
      <c r="F226" s="79" t="s">
        <v>6824</v>
      </c>
      <c r="G226" s="61"/>
      <c r="I226" s="78"/>
    </row>
    <row r="227" spans="1:9" ht="14.25" customHeight="1" x14ac:dyDescent="0.2">
      <c r="A227" s="65" t="s">
        <v>7453</v>
      </c>
      <c r="B227" s="65" t="s">
        <v>7454</v>
      </c>
      <c r="C227" s="65" t="s">
        <v>7455</v>
      </c>
      <c r="D227" s="66">
        <v>43629</v>
      </c>
      <c r="E227" s="65" t="s">
        <v>959</v>
      </c>
      <c r="F227" s="79" t="s">
        <v>6824</v>
      </c>
      <c r="G227" s="61"/>
      <c r="I227" s="78"/>
    </row>
    <row r="228" spans="1:9" ht="14.25" customHeight="1" x14ac:dyDescent="0.2">
      <c r="A228" s="65" t="s">
        <v>7456</v>
      </c>
      <c r="B228" s="65" t="s">
        <v>3167</v>
      </c>
      <c r="C228" s="65" t="s">
        <v>7457</v>
      </c>
      <c r="D228" s="66">
        <v>43626</v>
      </c>
      <c r="E228" s="65" t="s">
        <v>6809</v>
      </c>
      <c r="F228" s="79" t="s">
        <v>7458</v>
      </c>
      <c r="G228" s="61"/>
      <c r="I228" s="78"/>
    </row>
    <row r="229" spans="1:9" ht="14.25" customHeight="1" x14ac:dyDescent="0.2">
      <c r="A229" s="65" t="s">
        <v>7459</v>
      </c>
      <c r="B229" s="65" t="s">
        <v>7460</v>
      </c>
      <c r="C229" s="65" t="s">
        <v>7461</v>
      </c>
      <c r="D229" s="66">
        <v>43626</v>
      </c>
      <c r="E229" s="65" t="s">
        <v>6809</v>
      </c>
      <c r="F229" s="79" t="s">
        <v>6814</v>
      </c>
      <c r="G229" s="61"/>
      <c r="I229" s="78"/>
    </row>
    <row r="230" spans="1:9" ht="14.25" customHeight="1" x14ac:dyDescent="0.2">
      <c r="A230" s="65" t="s">
        <v>7462</v>
      </c>
      <c r="B230" s="65" t="s">
        <v>7463</v>
      </c>
      <c r="C230" s="65" t="s">
        <v>7464</v>
      </c>
      <c r="D230" s="66">
        <v>43620</v>
      </c>
      <c r="E230" s="65" t="s">
        <v>7465</v>
      </c>
      <c r="F230" s="79" t="s">
        <v>6824</v>
      </c>
      <c r="G230" s="61"/>
      <c r="I230" s="78"/>
    </row>
    <row r="231" spans="1:9" ht="14.25" customHeight="1" x14ac:dyDescent="0.2">
      <c r="A231" s="65" t="s">
        <v>7466</v>
      </c>
      <c r="B231" s="65" t="s">
        <v>7463</v>
      </c>
      <c r="C231" s="65" t="s">
        <v>7467</v>
      </c>
      <c r="D231" s="66">
        <v>43619</v>
      </c>
      <c r="E231" s="65" t="s">
        <v>6809</v>
      </c>
      <c r="F231" s="79" t="s">
        <v>6824</v>
      </c>
      <c r="G231" s="61"/>
      <c r="I231" s="78"/>
    </row>
    <row r="232" spans="1:9" ht="14.25" customHeight="1" x14ac:dyDescent="0.2">
      <c r="A232" s="65" t="s">
        <v>7468</v>
      </c>
      <c r="B232" s="65" t="s">
        <v>7469</v>
      </c>
      <c r="C232" s="65" t="s">
        <v>7470</v>
      </c>
      <c r="D232" s="66">
        <v>43614</v>
      </c>
      <c r="E232" s="65" t="s">
        <v>6809</v>
      </c>
      <c r="F232" s="79" t="s">
        <v>6810</v>
      </c>
      <c r="G232" s="61"/>
      <c r="I232" s="78"/>
    </row>
    <row r="233" spans="1:9" ht="14.25" customHeight="1" x14ac:dyDescent="0.2">
      <c r="A233" s="65" t="s">
        <v>7471</v>
      </c>
      <c r="B233" s="65" t="s">
        <v>7472</v>
      </c>
      <c r="C233" s="65" t="s">
        <v>7473</v>
      </c>
      <c r="D233" s="66">
        <v>43614</v>
      </c>
      <c r="E233" s="65" t="s">
        <v>6809</v>
      </c>
      <c r="F233" s="79" t="s">
        <v>6810</v>
      </c>
      <c r="G233" s="61"/>
      <c r="I233" s="78"/>
    </row>
    <row r="234" spans="1:9" ht="14.25" customHeight="1" x14ac:dyDescent="0.2">
      <c r="A234" s="65" t="s">
        <v>7474</v>
      </c>
      <c r="B234" s="65" t="s">
        <v>7475</v>
      </c>
      <c r="C234" s="65" t="s">
        <v>7476</v>
      </c>
      <c r="D234" s="66">
        <v>43614</v>
      </c>
      <c r="E234" s="65" t="s">
        <v>6809</v>
      </c>
      <c r="F234" s="79" t="s">
        <v>6810</v>
      </c>
      <c r="G234" s="61"/>
      <c r="I234" s="78"/>
    </row>
    <row r="235" spans="1:9" ht="14.25" customHeight="1" x14ac:dyDescent="0.2">
      <c r="A235" s="65" t="s">
        <v>7477</v>
      </c>
      <c r="B235" s="65" t="s">
        <v>7478</v>
      </c>
      <c r="C235" s="65" t="s">
        <v>7479</v>
      </c>
      <c r="D235" s="66">
        <v>43614</v>
      </c>
      <c r="E235" s="65" t="s">
        <v>6809</v>
      </c>
      <c r="F235" s="79" t="s">
        <v>6810</v>
      </c>
      <c r="G235" s="61"/>
      <c r="I235" s="78"/>
    </row>
    <row r="236" spans="1:9" ht="14.25" customHeight="1" x14ac:dyDescent="0.2">
      <c r="A236" s="65" t="s">
        <v>7480</v>
      </c>
      <c r="B236" s="65" t="s">
        <v>7481</v>
      </c>
      <c r="C236" s="65" t="s">
        <v>7482</v>
      </c>
      <c r="D236" s="66">
        <v>43614</v>
      </c>
      <c r="E236" s="65" t="s">
        <v>6809</v>
      </c>
      <c r="F236" s="79" t="s">
        <v>6810</v>
      </c>
      <c r="G236" s="61"/>
      <c r="I236" s="78"/>
    </row>
    <row r="237" spans="1:9" ht="14.25" customHeight="1" x14ac:dyDescent="0.2">
      <c r="A237" s="65" t="s">
        <v>7483</v>
      </c>
      <c r="B237" s="65" t="s">
        <v>7484</v>
      </c>
      <c r="C237" s="65" t="s">
        <v>7485</v>
      </c>
      <c r="D237" s="66">
        <v>43614</v>
      </c>
      <c r="E237" s="65" t="s">
        <v>6809</v>
      </c>
      <c r="F237" s="79" t="s">
        <v>6824</v>
      </c>
      <c r="G237" s="61"/>
      <c r="I237" s="78"/>
    </row>
    <row r="238" spans="1:9" ht="14.25" customHeight="1" x14ac:dyDescent="0.2">
      <c r="A238" s="65" t="s">
        <v>7486</v>
      </c>
      <c r="B238" s="65" t="s">
        <v>7487</v>
      </c>
      <c r="C238" s="65" t="s">
        <v>7488</v>
      </c>
      <c r="D238" s="66">
        <v>43608</v>
      </c>
      <c r="E238" s="65" t="s">
        <v>6809</v>
      </c>
      <c r="F238" s="79" t="s">
        <v>6810</v>
      </c>
      <c r="G238" s="61"/>
      <c r="I238" s="78"/>
    </row>
    <row r="239" spans="1:9" ht="14.25" customHeight="1" x14ac:dyDescent="0.2">
      <c r="A239" s="65" t="s">
        <v>7489</v>
      </c>
      <c r="B239" s="65" t="s">
        <v>7490</v>
      </c>
      <c r="C239" s="65" t="s">
        <v>7491</v>
      </c>
      <c r="D239" s="66">
        <v>43608</v>
      </c>
      <c r="E239" s="65" t="s">
        <v>6809</v>
      </c>
      <c r="F239" s="79" t="s">
        <v>6810</v>
      </c>
      <c r="G239" s="61"/>
      <c r="I239" s="78"/>
    </row>
    <row r="240" spans="1:9" ht="14.25" customHeight="1" x14ac:dyDescent="0.2">
      <c r="A240" s="65" t="s">
        <v>7492</v>
      </c>
      <c r="B240" s="65" t="s">
        <v>7493</v>
      </c>
      <c r="C240" s="65" t="s">
        <v>7494</v>
      </c>
      <c r="D240" s="66">
        <v>43606</v>
      </c>
      <c r="E240" s="65" t="s">
        <v>202</v>
      </c>
      <c r="F240" s="79" t="s">
        <v>6814</v>
      </c>
      <c r="G240" s="61"/>
      <c r="I240" s="78"/>
    </row>
    <row r="241" spans="1:9" ht="14.25" customHeight="1" x14ac:dyDescent="0.2">
      <c r="A241" s="65" t="s">
        <v>7495</v>
      </c>
      <c r="B241" s="65" t="s">
        <v>7496</v>
      </c>
      <c r="C241" s="65" t="s">
        <v>7497</v>
      </c>
      <c r="D241" s="66">
        <v>43605</v>
      </c>
      <c r="E241" s="65" t="s">
        <v>7465</v>
      </c>
      <c r="F241" s="79" t="s">
        <v>6824</v>
      </c>
      <c r="G241" s="61"/>
      <c r="I241" s="78"/>
    </row>
    <row r="242" spans="1:9" ht="14.25" customHeight="1" x14ac:dyDescent="0.2">
      <c r="A242" s="65" t="s">
        <v>7498</v>
      </c>
      <c r="B242" s="65" t="s">
        <v>7499</v>
      </c>
      <c r="C242" s="65" t="s">
        <v>7500</v>
      </c>
      <c r="D242" s="66">
        <v>43602</v>
      </c>
      <c r="E242" s="65" t="s">
        <v>6809</v>
      </c>
      <c r="F242" s="79" t="s">
        <v>6824</v>
      </c>
      <c r="G242" s="61"/>
      <c r="I242" s="78"/>
    </row>
    <row r="243" spans="1:9" ht="14.25" customHeight="1" x14ac:dyDescent="0.2">
      <c r="A243" s="65" t="s">
        <v>7501</v>
      </c>
      <c r="B243" s="65" t="s">
        <v>7502</v>
      </c>
      <c r="C243" s="65" t="s">
        <v>7503</v>
      </c>
      <c r="D243" s="66">
        <v>43602</v>
      </c>
      <c r="E243" s="65" t="s">
        <v>6809</v>
      </c>
      <c r="F243" s="79" t="s">
        <v>6824</v>
      </c>
      <c r="G243" s="61"/>
      <c r="I243" s="78"/>
    </row>
    <row r="244" spans="1:9" ht="14.25" customHeight="1" x14ac:dyDescent="0.2">
      <c r="A244" s="65" t="s">
        <v>7504</v>
      </c>
      <c r="B244" s="65" t="s">
        <v>7505</v>
      </c>
      <c r="C244" s="65" t="s">
        <v>7506</v>
      </c>
      <c r="D244" s="66">
        <v>43602</v>
      </c>
      <c r="E244" s="65" t="s">
        <v>6809</v>
      </c>
      <c r="F244" s="79" t="s">
        <v>6824</v>
      </c>
      <c r="G244" s="61"/>
      <c r="I244" s="78"/>
    </row>
    <row r="245" spans="1:9" ht="14.25" customHeight="1" x14ac:dyDescent="0.2">
      <c r="A245" s="65" t="s">
        <v>7507</v>
      </c>
      <c r="B245" s="65" t="s">
        <v>7508</v>
      </c>
      <c r="C245" s="65" t="s">
        <v>7509</v>
      </c>
      <c r="D245" s="66">
        <v>43602</v>
      </c>
      <c r="E245" s="65" t="s">
        <v>6809</v>
      </c>
      <c r="F245" s="79" t="s">
        <v>6824</v>
      </c>
      <c r="G245" s="61"/>
      <c r="I245" s="78"/>
    </row>
    <row r="246" spans="1:9" ht="14.25" customHeight="1" x14ac:dyDescent="0.2">
      <c r="A246" s="65" t="s">
        <v>7510</v>
      </c>
      <c r="B246" s="65" t="s">
        <v>7511</v>
      </c>
      <c r="C246" s="65" t="s">
        <v>7512</v>
      </c>
      <c r="D246" s="66">
        <v>43602</v>
      </c>
      <c r="E246" s="65" t="s">
        <v>6809</v>
      </c>
      <c r="F246" s="79" t="s">
        <v>6824</v>
      </c>
      <c r="G246" s="61"/>
      <c r="I246" s="78"/>
    </row>
    <row r="247" spans="1:9" ht="14.25" customHeight="1" x14ac:dyDescent="0.2">
      <c r="A247" s="65" t="s">
        <v>7513</v>
      </c>
      <c r="B247" s="65" t="s">
        <v>7514</v>
      </c>
      <c r="C247" s="65" t="s">
        <v>7515</v>
      </c>
      <c r="D247" s="66">
        <v>43602</v>
      </c>
      <c r="E247" s="65" t="s">
        <v>6809</v>
      </c>
      <c r="F247" s="79" t="s">
        <v>6824</v>
      </c>
      <c r="G247" s="61"/>
      <c r="I247" s="78"/>
    </row>
    <row r="248" spans="1:9" ht="14.25" customHeight="1" x14ac:dyDescent="0.2">
      <c r="A248" s="65" t="s">
        <v>7516</v>
      </c>
      <c r="B248" s="65" t="s">
        <v>7517</v>
      </c>
      <c r="C248" s="65" t="s">
        <v>7518</v>
      </c>
      <c r="D248" s="66">
        <v>43602</v>
      </c>
      <c r="E248" s="65" t="s">
        <v>6809</v>
      </c>
      <c r="F248" s="79" t="s">
        <v>6824</v>
      </c>
      <c r="G248" s="61"/>
      <c r="I248" s="78"/>
    </row>
    <row r="249" spans="1:9" ht="14.25" customHeight="1" x14ac:dyDescent="0.2">
      <c r="A249" s="65" t="s">
        <v>7519</v>
      </c>
      <c r="B249" s="65" t="s">
        <v>7520</v>
      </c>
      <c r="C249" s="65" t="s">
        <v>7521</v>
      </c>
      <c r="D249" s="66">
        <v>43602</v>
      </c>
      <c r="E249" s="65"/>
      <c r="F249" s="79" t="s">
        <v>6824</v>
      </c>
      <c r="G249" s="61"/>
      <c r="I249" s="78"/>
    </row>
    <row r="250" spans="1:9" ht="14.25" customHeight="1" x14ac:dyDescent="0.2">
      <c r="A250" s="65" t="s">
        <v>7522</v>
      </c>
      <c r="B250" s="65" t="s">
        <v>6353</v>
      </c>
      <c r="C250" s="65" t="s">
        <v>7523</v>
      </c>
      <c r="D250" s="66">
        <v>43600</v>
      </c>
      <c r="E250" s="65" t="s">
        <v>7465</v>
      </c>
      <c r="F250" s="79" t="s">
        <v>6810</v>
      </c>
      <c r="G250" s="61"/>
      <c r="I250" s="78"/>
    </row>
    <row r="251" spans="1:9" ht="14.25" customHeight="1" x14ac:dyDescent="0.2">
      <c r="A251" s="65" t="s">
        <v>7524</v>
      </c>
      <c r="B251" s="65" t="s">
        <v>7525</v>
      </c>
      <c r="C251" s="65" t="s">
        <v>7526</v>
      </c>
      <c r="D251" s="66">
        <v>43600</v>
      </c>
      <c r="E251" s="65" t="s">
        <v>6809</v>
      </c>
      <c r="F251" s="79" t="s">
        <v>6824</v>
      </c>
      <c r="G251" s="61"/>
      <c r="I251" s="78"/>
    </row>
    <row r="252" spans="1:9" ht="14.25" customHeight="1" x14ac:dyDescent="0.2">
      <c r="A252" s="65" t="s">
        <v>7527</v>
      </c>
      <c r="B252" s="65" t="s">
        <v>7528</v>
      </c>
      <c r="C252" s="65" t="s">
        <v>7529</v>
      </c>
      <c r="D252" s="66">
        <v>43600</v>
      </c>
      <c r="E252" s="65" t="s">
        <v>6809</v>
      </c>
      <c r="F252" s="79" t="s">
        <v>6824</v>
      </c>
      <c r="G252" s="61"/>
      <c r="I252" s="78"/>
    </row>
    <row r="253" spans="1:9" ht="14.25" customHeight="1" x14ac:dyDescent="0.2">
      <c r="A253" s="65" t="s">
        <v>7519</v>
      </c>
      <c r="B253" s="65" t="s">
        <v>7520</v>
      </c>
      <c r="C253" s="65" t="s">
        <v>7521</v>
      </c>
      <c r="D253" s="66">
        <v>43600</v>
      </c>
      <c r="E253" s="65" t="s">
        <v>6809</v>
      </c>
      <c r="F253" s="79" t="s">
        <v>6824</v>
      </c>
      <c r="G253" s="61"/>
      <c r="I253" s="78"/>
    </row>
    <row r="254" spans="1:9" ht="14.25" customHeight="1" x14ac:dyDescent="0.2">
      <c r="A254" s="65" t="s">
        <v>7530</v>
      </c>
      <c r="B254" s="65" t="s">
        <v>7531</v>
      </c>
      <c r="C254" s="65" t="s">
        <v>7532</v>
      </c>
      <c r="D254" s="66">
        <v>43600</v>
      </c>
      <c r="E254" s="65" t="s">
        <v>6809</v>
      </c>
      <c r="F254" s="79" t="s">
        <v>6824</v>
      </c>
      <c r="G254" s="61"/>
      <c r="I254" s="78"/>
    </row>
    <row r="255" spans="1:9" ht="14.25" customHeight="1" x14ac:dyDescent="0.2">
      <c r="A255" s="65" t="s">
        <v>7533</v>
      </c>
      <c r="B255" s="65" t="s">
        <v>7534</v>
      </c>
      <c r="C255" s="65" t="s">
        <v>7535</v>
      </c>
      <c r="D255" s="66">
        <v>43600</v>
      </c>
      <c r="E255" s="65" t="s">
        <v>6809</v>
      </c>
      <c r="F255" s="79" t="s">
        <v>6824</v>
      </c>
      <c r="G255" s="61"/>
      <c r="I255" s="78"/>
    </row>
    <row r="256" spans="1:9" ht="14.25" customHeight="1" x14ac:dyDescent="0.2">
      <c r="A256" s="65" t="s">
        <v>7516</v>
      </c>
      <c r="B256" s="65" t="s">
        <v>7517</v>
      </c>
      <c r="C256" s="65" t="s">
        <v>7518</v>
      </c>
      <c r="D256" s="66">
        <v>43600</v>
      </c>
      <c r="E256" s="65" t="s">
        <v>6809</v>
      </c>
      <c r="F256" s="79" t="s">
        <v>6824</v>
      </c>
      <c r="G256" s="61"/>
      <c r="I256" s="78"/>
    </row>
    <row r="257" spans="1:9" ht="14.25" customHeight="1" x14ac:dyDescent="0.2">
      <c r="A257" s="65" t="s">
        <v>7536</v>
      </c>
      <c r="B257" s="65" t="s">
        <v>7537</v>
      </c>
      <c r="C257" s="65" t="s">
        <v>7538</v>
      </c>
      <c r="D257" s="66">
        <v>43600</v>
      </c>
      <c r="E257" s="65" t="s">
        <v>6809</v>
      </c>
      <c r="F257" s="79" t="s">
        <v>6824</v>
      </c>
      <c r="G257" s="61"/>
      <c r="I257" s="78"/>
    </row>
    <row r="258" spans="1:9" ht="14.25" customHeight="1" x14ac:dyDescent="0.2">
      <c r="A258" s="65" t="s">
        <v>7513</v>
      </c>
      <c r="B258" s="65" t="s">
        <v>7514</v>
      </c>
      <c r="C258" s="65" t="s">
        <v>7515</v>
      </c>
      <c r="D258" s="66">
        <v>43600</v>
      </c>
      <c r="E258" s="65" t="s">
        <v>6809</v>
      </c>
      <c r="F258" s="79" t="s">
        <v>6824</v>
      </c>
      <c r="G258" s="61"/>
      <c r="I258" s="78"/>
    </row>
    <row r="259" spans="1:9" ht="14.25" customHeight="1" x14ac:dyDescent="0.2">
      <c r="A259" s="65" t="s">
        <v>7539</v>
      </c>
      <c r="B259" s="65" t="s">
        <v>7540</v>
      </c>
      <c r="C259" s="65" t="s">
        <v>7541</v>
      </c>
      <c r="D259" s="66">
        <v>43600</v>
      </c>
      <c r="E259" s="65" t="s">
        <v>6809</v>
      </c>
      <c r="F259" s="79" t="s">
        <v>6824</v>
      </c>
      <c r="G259" s="61"/>
      <c r="I259" s="78"/>
    </row>
    <row r="260" spans="1:9" ht="14.25" customHeight="1" x14ac:dyDescent="0.2">
      <c r="A260" s="65" t="s">
        <v>7510</v>
      </c>
      <c r="B260" s="65" t="s">
        <v>7511</v>
      </c>
      <c r="C260" s="65" t="s">
        <v>7512</v>
      </c>
      <c r="D260" s="66">
        <v>43600</v>
      </c>
      <c r="E260" s="65" t="s">
        <v>6809</v>
      </c>
      <c r="F260" s="79" t="s">
        <v>6824</v>
      </c>
      <c r="G260" s="61"/>
      <c r="I260" s="78"/>
    </row>
    <row r="261" spans="1:9" ht="14.25" customHeight="1" x14ac:dyDescent="0.2">
      <c r="A261" s="65">
        <v>60120609002</v>
      </c>
      <c r="B261" s="65" t="s">
        <v>7542</v>
      </c>
      <c r="C261" s="65" t="s">
        <v>7543</v>
      </c>
      <c r="D261" s="66">
        <v>43600</v>
      </c>
      <c r="E261" s="65" t="s">
        <v>6809</v>
      </c>
      <c r="F261" s="79" t="s">
        <v>6824</v>
      </c>
      <c r="G261" s="61"/>
      <c r="I261" s="78"/>
    </row>
    <row r="262" spans="1:9" ht="14.25" customHeight="1" x14ac:dyDescent="0.2">
      <c r="A262" s="65" t="s">
        <v>7507</v>
      </c>
      <c r="B262" s="65" t="s">
        <v>7508</v>
      </c>
      <c r="C262" s="65" t="s">
        <v>7509</v>
      </c>
      <c r="D262" s="66">
        <v>43600</v>
      </c>
      <c r="E262" s="65" t="s">
        <v>6809</v>
      </c>
      <c r="F262" s="79" t="s">
        <v>6824</v>
      </c>
      <c r="G262" s="61"/>
      <c r="I262" s="78"/>
    </row>
    <row r="263" spans="1:9" ht="14.25" customHeight="1" x14ac:dyDescent="0.2">
      <c r="A263" s="65" t="s">
        <v>7544</v>
      </c>
      <c r="B263" s="65" t="s">
        <v>7545</v>
      </c>
      <c r="C263" s="65" t="s">
        <v>7546</v>
      </c>
      <c r="D263" s="66">
        <v>43600</v>
      </c>
      <c r="E263" s="65" t="s">
        <v>6809</v>
      </c>
      <c r="F263" s="79" t="s">
        <v>6824</v>
      </c>
      <c r="G263" s="61"/>
      <c r="I263" s="78"/>
    </row>
    <row r="264" spans="1:9" ht="14.25" customHeight="1" x14ac:dyDescent="0.2">
      <c r="A264" s="65" t="s">
        <v>7504</v>
      </c>
      <c r="B264" s="65" t="s">
        <v>7505</v>
      </c>
      <c r="C264" s="65" t="s">
        <v>7506</v>
      </c>
      <c r="D264" s="66">
        <v>43600</v>
      </c>
      <c r="E264" s="65" t="s">
        <v>6809</v>
      </c>
      <c r="F264" s="79" t="s">
        <v>6824</v>
      </c>
      <c r="G264" s="61"/>
      <c r="I264" s="78"/>
    </row>
    <row r="265" spans="1:9" ht="14.25" customHeight="1" x14ac:dyDescent="0.2">
      <c r="A265" s="65" t="s">
        <v>7547</v>
      </c>
      <c r="B265" s="65" t="s">
        <v>7548</v>
      </c>
      <c r="C265" s="65" t="s">
        <v>7549</v>
      </c>
      <c r="D265" s="66">
        <v>43600</v>
      </c>
      <c r="E265" s="65" t="s">
        <v>6809</v>
      </c>
      <c r="F265" s="79" t="s">
        <v>6824</v>
      </c>
      <c r="G265" s="61"/>
      <c r="I265" s="78"/>
    </row>
    <row r="266" spans="1:9" ht="14.25" customHeight="1" x14ac:dyDescent="0.2">
      <c r="A266" s="65" t="s">
        <v>7501</v>
      </c>
      <c r="B266" s="65" t="s">
        <v>7502</v>
      </c>
      <c r="C266" s="65" t="s">
        <v>7503</v>
      </c>
      <c r="D266" s="66">
        <v>43600</v>
      </c>
      <c r="E266" s="65" t="s">
        <v>6809</v>
      </c>
      <c r="F266" s="79" t="s">
        <v>6824</v>
      </c>
      <c r="G266" s="61"/>
      <c r="I266" s="78"/>
    </row>
    <row r="267" spans="1:9" ht="14.25" customHeight="1" x14ac:dyDescent="0.2">
      <c r="A267" s="65" t="s">
        <v>7498</v>
      </c>
      <c r="B267" s="65" t="s">
        <v>7499</v>
      </c>
      <c r="C267" s="65" t="s">
        <v>7500</v>
      </c>
      <c r="D267" s="66">
        <v>43600</v>
      </c>
      <c r="E267" s="65" t="s">
        <v>6809</v>
      </c>
      <c r="F267" s="79" t="s">
        <v>6824</v>
      </c>
      <c r="G267" s="61"/>
      <c r="I267" s="78"/>
    </row>
    <row r="268" spans="1:9" ht="14.25" customHeight="1" x14ac:dyDescent="0.2">
      <c r="A268" s="65" t="s">
        <v>7550</v>
      </c>
      <c r="B268" s="65" t="s">
        <v>7551</v>
      </c>
      <c r="C268" s="65" t="s">
        <v>7552</v>
      </c>
      <c r="D268" s="66">
        <v>43600</v>
      </c>
      <c r="E268" s="65" t="s">
        <v>6809</v>
      </c>
      <c r="F268" s="79" t="s">
        <v>6824</v>
      </c>
      <c r="G268" s="61"/>
      <c r="I268" s="78"/>
    </row>
    <row r="269" spans="1:9" ht="14.25" customHeight="1" x14ac:dyDescent="0.2">
      <c r="A269" s="65" t="s">
        <v>7553</v>
      </c>
      <c r="B269" s="65" t="s">
        <v>6293</v>
      </c>
      <c r="C269" s="65" t="s">
        <v>7554</v>
      </c>
      <c r="D269" s="66">
        <v>43598</v>
      </c>
      <c r="E269" s="65" t="s">
        <v>7465</v>
      </c>
      <c r="F269" s="79" t="s">
        <v>6810</v>
      </c>
      <c r="G269" s="61"/>
      <c r="I269" s="78"/>
    </row>
    <row r="270" spans="1:9" ht="14.25" customHeight="1" x14ac:dyDescent="0.2">
      <c r="A270" s="65" t="s">
        <v>7555</v>
      </c>
      <c r="B270" s="65" t="s">
        <v>7556</v>
      </c>
      <c r="C270" s="65" t="s">
        <v>7557</v>
      </c>
      <c r="D270" s="66">
        <v>43595</v>
      </c>
      <c r="E270" s="65" t="s">
        <v>6809</v>
      </c>
      <c r="F270" s="79" t="s">
        <v>6824</v>
      </c>
      <c r="G270" s="61"/>
      <c r="I270" s="78"/>
    </row>
    <row r="271" spans="1:9" ht="14.25" customHeight="1" x14ac:dyDescent="0.2">
      <c r="A271" s="65" t="s">
        <v>7558</v>
      </c>
      <c r="B271" s="65" t="s">
        <v>7559</v>
      </c>
      <c r="C271" s="65" t="s">
        <v>7560</v>
      </c>
      <c r="D271" s="66">
        <v>43593</v>
      </c>
      <c r="E271" s="65" t="s">
        <v>6809</v>
      </c>
      <c r="F271" s="79" t="s">
        <v>6810</v>
      </c>
      <c r="G271" s="61"/>
      <c r="I271" s="78"/>
    </row>
    <row r="272" spans="1:9" ht="14.25" customHeight="1" x14ac:dyDescent="0.2">
      <c r="A272" s="65" t="s">
        <v>7561</v>
      </c>
      <c r="B272" s="65" t="s">
        <v>7562</v>
      </c>
      <c r="C272" s="65" t="s">
        <v>7563</v>
      </c>
      <c r="D272" s="66">
        <v>43593</v>
      </c>
      <c r="E272" s="65" t="s">
        <v>6809</v>
      </c>
      <c r="F272" s="79" t="s">
        <v>6810</v>
      </c>
      <c r="G272" s="61"/>
      <c r="I272" s="78"/>
    </row>
    <row r="273" spans="1:9" ht="14.25" customHeight="1" x14ac:dyDescent="0.2">
      <c r="A273" s="65" t="s">
        <v>3453</v>
      </c>
      <c r="B273" s="65" t="s">
        <v>3452</v>
      </c>
      <c r="C273" s="65" t="s">
        <v>7564</v>
      </c>
      <c r="D273" s="66">
        <v>43587</v>
      </c>
      <c r="E273" s="65" t="s">
        <v>6809</v>
      </c>
      <c r="F273" s="79" t="s">
        <v>6814</v>
      </c>
      <c r="G273" s="61"/>
      <c r="I273" s="78"/>
    </row>
    <row r="274" spans="1:9" ht="14.25" customHeight="1" x14ac:dyDescent="0.2">
      <c r="A274" s="65" t="s">
        <v>7565</v>
      </c>
      <c r="B274" s="65" t="s">
        <v>7566</v>
      </c>
      <c r="C274" s="65" t="s">
        <v>7567</v>
      </c>
      <c r="D274" s="66">
        <v>43578</v>
      </c>
      <c r="E274" s="65" t="s">
        <v>6809</v>
      </c>
      <c r="F274" s="79" t="s">
        <v>6824</v>
      </c>
      <c r="G274" s="61"/>
      <c r="I274" s="78"/>
    </row>
    <row r="275" spans="1:9" ht="14.25" customHeight="1" x14ac:dyDescent="0.2">
      <c r="A275" s="65" t="s">
        <v>7568</v>
      </c>
      <c r="B275" s="65" t="s">
        <v>7569</v>
      </c>
      <c r="C275" s="65" t="s">
        <v>7570</v>
      </c>
      <c r="D275" s="66">
        <v>43574</v>
      </c>
      <c r="E275" s="65" t="s">
        <v>6809</v>
      </c>
      <c r="F275" s="79" t="s">
        <v>6824</v>
      </c>
      <c r="G275" s="61"/>
      <c r="I275" s="78"/>
    </row>
    <row r="276" spans="1:9" ht="14.25" customHeight="1" x14ac:dyDescent="0.2">
      <c r="A276" s="65" t="s">
        <v>7571</v>
      </c>
      <c r="B276" s="65" t="s">
        <v>7572</v>
      </c>
      <c r="C276" s="65" t="s">
        <v>7573</v>
      </c>
      <c r="D276" s="66">
        <v>43572</v>
      </c>
      <c r="E276" s="65" t="s">
        <v>6809</v>
      </c>
      <c r="F276" s="79" t="s">
        <v>6824</v>
      </c>
      <c r="G276" s="61"/>
      <c r="I276" s="78"/>
    </row>
    <row r="277" spans="1:9" ht="14.25" customHeight="1" x14ac:dyDescent="0.2">
      <c r="A277" s="65" t="s">
        <v>7574</v>
      </c>
      <c r="B277" s="65" t="s">
        <v>7575</v>
      </c>
      <c r="C277" s="65" t="s">
        <v>7576</v>
      </c>
      <c r="D277" s="66">
        <v>43566</v>
      </c>
      <c r="E277" s="65" t="s">
        <v>6809</v>
      </c>
      <c r="F277" s="79" t="s">
        <v>6814</v>
      </c>
      <c r="G277" s="61"/>
      <c r="I277" s="78"/>
    </row>
    <row r="278" spans="1:9" ht="14.25" customHeight="1" x14ac:dyDescent="0.2">
      <c r="A278" s="65" t="s">
        <v>7577</v>
      </c>
      <c r="B278" s="65" t="s">
        <v>6217</v>
      </c>
      <c r="C278" s="65" t="s">
        <v>7578</v>
      </c>
      <c r="D278" s="66">
        <v>43564</v>
      </c>
      <c r="E278" s="65" t="s">
        <v>7465</v>
      </c>
      <c r="F278" s="79" t="s">
        <v>6810</v>
      </c>
      <c r="G278" s="61"/>
      <c r="I278" s="78"/>
    </row>
    <row r="279" spans="1:9" ht="14.25" customHeight="1" x14ac:dyDescent="0.2">
      <c r="A279" s="65" t="s">
        <v>7579</v>
      </c>
      <c r="B279" s="65" t="s">
        <v>7580</v>
      </c>
      <c r="C279" s="65" t="s">
        <v>7581</v>
      </c>
      <c r="D279" s="66">
        <v>43559</v>
      </c>
      <c r="E279" s="65"/>
      <c r="F279" s="79" t="s">
        <v>6824</v>
      </c>
      <c r="G279" s="61"/>
      <c r="I279" s="78"/>
    </row>
    <row r="280" spans="1:9" ht="14.25" customHeight="1" x14ac:dyDescent="0.2">
      <c r="A280" s="65" t="s">
        <v>7582</v>
      </c>
      <c r="B280" s="65" t="s">
        <v>7583</v>
      </c>
      <c r="C280" s="65" t="s">
        <v>7584</v>
      </c>
      <c r="D280" s="66">
        <v>43559</v>
      </c>
      <c r="E280" s="65" t="s">
        <v>6809</v>
      </c>
      <c r="F280" s="79" t="s">
        <v>6814</v>
      </c>
      <c r="G280" s="61"/>
      <c r="I280" s="78"/>
    </row>
    <row r="281" spans="1:9" ht="14.25" customHeight="1" x14ac:dyDescent="0.2">
      <c r="A281" s="65" t="s">
        <v>7585</v>
      </c>
      <c r="B281" s="65" t="s">
        <v>7586</v>
      </c>
      <c r="C281" s="65" t="s">
        <v>7587</v>
      </c>
      <c r="D281" s="66">
        <v>43559</v>
      </c>
      <c r="E281" s="65" t="s">
        <v>6809</v>
      </c>
      <c r="F281" s="79" t="s">
        <v>6824</v>
      </c>
      <c r="G281" s="61"/>
      <c r="I281" s="78"/>
    </row>
    <row r="282" spans="1:9" ht="14.25" customHeight="1" x14ac:dyDescent="0.2">
      <c r="A282" s="65" t="s">
        <v>7588</v>
      </c>
      <c r="B282" s="65" t="s">
        <v>7589</v>
      </c>
      <c r="C282" s="65" t="s">
        <v>7590</v>
      </c>
      <c r="D282" s="66">
        <v>43559</v>
      </c>
      <c r="E282" s="65" t="s">
        <v>6809</v>
      </c>
      <c r="F282" s="79" t="s">
        <v>6824</v>
      </c>
      <c r="G282" s="61"/>
      <c r="I282" s="78"/>
    </row>
    <row r="283" spans="1:9" ht="14.25" customHeight="1" x14ac:dyDescent="0.2">
      <c r="A283" s="65" t="s">
        <v>7591</v>
      </c>
      <c r="B283" s="65" t="s">
        <v>7592</v>
      </c>
      <c r="C283" s="65" t="s">
        <v>7593</v>
      </c>
      <c r="D283" s="66">
        <v>43559</v>
      </c>
      <c r="E283" s="65" t="s">
        <v>6809</v>
      </c>
      <c r="F283" s="79" t="s">
        <v>6824</v>
      </c>
      <c r="G283" s="61"/>
      <c r="I283" s="78"/>
    </row>
    <row r="284" spans="1:9" ht="14.25" customHeight="1" x14ac:dyDescent="0.2">
      <c r="A284" s="65" t="s">
        <v>7489</v>
      </c>
      <c r="B284" s="65" t="s">
        <v>7490</v>
      </c>
      <c r="C284" s="65" t="s">
        <v>7491</v>
      </c>
      <c r="D284" s="66">
        <v>43558</v>
      </c>
      <c r="E284" s="65" t="s">
        <v>6809</v>
      </c>
      <c r="F284" s="79" t="s">
        <v>6810</v>
      </c>
      <c r="G284" s="61"/>
      <c r="I284" s="78"/>
    </row>
    <row r="285" spans="1:9" ht="14.25" customHeight="1" x14ac:dyDescent="0.2">
      <c r="A285" s="65" t="s">
        <v>7594</v>
      </c>
      <c r="B285" s="65" t="s">
        <v>7595</v>
      </c>
      <c r="C285" s="65" t="s">
        <v>7596</v>
      </c>
      <c r="D285" s="66">
        <v>43558</v>
      </c>
      <c r="E285" s="65" t="s">
        <v>6809</v>
      </c>
      <c r="F285" s="79" t="s">
        <v>6810</v>
      </c>
      <c r="G285" s="61"/>
      <c r="I285" s="78"/>
    </row>
    <row r="286" spans="1:9" ht="14.25" customHeight="1" x14ac:dyDescent="0.2">
      <c r="A286" s="65" t="s">
        <v>7597</v>
      </c>
      <c r="B286" s="65" t="s">
        <v>7598</v>
      </c>
      <c r="C286" s="65" t="s">
        <v>7599</v>
      </c>
      <c r="D286" s="66">
        <v>43558</v>
      </c>
      <c r="E286" s="65" t="s">
        <v>202</v>
      </c>
      <c r="F286" s="79" t="s">
        <v>7600</v>
      </c>
      <c r="G286" s="61"/>
      <c r="I286" s="78"/>
    </row>
    <row r="287" spans="1:9" ht="14.25" customHeight="1" x14ac:dyDescent="0.2">
      <c r="A287" s="65" t="s">
        <v>7601</v>
      </c>
      <c r="B287" s="65" t="s">
        <v>7602</v>
      </c>
      <c r="C287" s="65" t="s">
        <v>7603</v>
      </c>
      <c r="D287" s="66">
        <v>43558</v>
      </c>
      <c r="E287" s="65" t="s">
        <v>6809</v>
      </c>
      <c r="F287" s="79" t="s">
        <v>6824</v>
      </c>
      <c r="G287" s="61"/>
      <c r="I287" s="78"/>
    </row>
    <row r="288" spans="1:9" ht="14.25" customHeight="1" x14ac:dyDescent="0.2">
      <c r="A288" s="65" t="s">
        <v>7604</v>
      </c>
      <c r="B288" s="65" t="s">
        <v>7605</v>
      </c>
      <c r="C288" s="65" t="s">
        <v>7606</v>
      </c>
      <c r="D288" s="66">
        <v>43558</v>
      </c>
      <c r="E288" s="65" t="s">
        <v>6809</v>
      </c>
      <c r="F288" s="79" t="s">
        <v>6810</v>
      </c>
      <c r="G288" s="61"/>
      <c r="I288" s="78"/>
    </row>
    <row r="289" spans="1:9" ht="14.25" customHeight="1" x14ac:dyDescent="0.2">
      <c r="A289" s="65" t="s">
        <v>7607</v>
      </c>
      <c r="B289" s="65" t="s">
        <v>7608</v>
      </c>
      <c r="C289" s="65" t="s">
        <v>7609</v>
      </c>
      <c r="D289" s="66">
        <v>43556</v>
      </c>
      <c r="E289" s="65" t="s">
        <v>6809</v>
      </c>
      <c r="F289" s="79" t="s">
        <v>6824</v>
      </c>
      <c r="G289" s="61"/>
      <c r="I289" s="78"/>
    </row>
    <row r="290" spans="1:9" ht="14.25" customHeight="1" x14ac:dyDescent="0.2">
      <c r="A290" s="65" t="s">
        <v>7610</v>
      </c>
      <c r="B290" s="65" t="s">
        <v>7611</v>
      </c>
      <c r="C290" s="65" t="s">
        <v>7612</v>
      </c>
      <c r="D290" s="66">
        <v>43553</v>
      </c>
      <c r="E290" s="65" t="s">
        <v>6809</v>
      </c>
      <c r="F290" s="79" t="s">
        <v>6810</v>
      </c>
      <c r="G290" s="61"/>
      <c r="I290" s="78"/>
    </row>
    <row r="291" spans="1:9" ht="14.25" customHeight="1" x14ac:dyDescent="0.2">
      <c r="A291" s="65" t="s">
        <v>7613</v>
      </c>
      <c r="B291" s="65" t="s">
        <v>7614</v>
      </c>
      <c r="C291" s="65" t="s">
        <v>7615</v>
      </c>
      <c r="D291" s="66">
        <v>43545</v>
      </c>
      <c r="E291" s="65" t="s">
        <v>6809</v>
      </c>
      <c r="F291" s="79" t="s">
        <v>6824</v>
      </c>
      <c r="G291" s="61"/>
      <c r="I291" s="78"/>
    </row>
    <row r="292" spans="1:9" ht="14.25" customHeight="1" x14ac:dyDescent="0.2">
      <c r="A292" s="65" t="s">
        <v>3096</v>
      </c>
      <c r="B292" s="65" t="s">
        <v>3095</v>
      </c>
      <c r="C292" s="65" t="s">
        <v>7616</v>
      </c>
      <c r="D292" s="66">
        <v>43545</v>
      </c>
      <c r="E292" s="65" t="s">
        <v>6809</v>
      </c>
      <c r="F292" s="79" t="s">
        <v>6824</v>
      </c>
      <c r="G292" s="61"/>
      <c r="I292" s="78"/>
    </row>
    <row r="293" spans="1:9" ht="14.25" customHeight="1" x14ac:dyDescent="0.2">
      <c r="A293" s="65" t="s">
        <v>7617</v>
      </c>
      <c r="B293" s="65" t="s">
        <v>7618</v>
      </c>
      <c r="C293" s="65" t="s">
        <v>7619</v>
      </c>
      <c r="D293" s="66">
        <v>43543</v>
      </c>
      <c r="E293" s="65" t="s">
        <v>6809</v>
      </c>
      <c r="F293" s="79" t="s">
        <v>6824</v>
      </c>
      <c r="G293" s="61"/>
      <c r="I293" s="78"/>
    </row>
    <row r="294" spans="1:9" ht="14.25" customHeight="1" x14ac:dyDescent="0.2">
      <c r="A294" s="65" t="s">
        <v>7620</v>
      </c>
      <c r="B294" s="65" t="s">
        <v>7621</v>
      </c>
      <c r="C294" s="65" t="s">
        <v>7622</v>
      </c>
      <c r="D294" s="66">
        <v>43543</v>
      </c>
      <c r="E294" s="65" t="s">
        <v>6809</v>
      </c>
      <c r="F294" s="79" t="s">
        <v>6824</v>
      </c>
      <c r="G294" s="61"/>
      <c r="I294" s="78"/>
    </row>
    <row r="295" spans="1:9" ht="14.25" customHeight="1" x14ac:dyDescent="0.2">
      <c r="A295" s="65" t="s">
        <v>7623</v>
      </c>
      <c r="B295" s="65" t="s">
        <v>7624</v>
      </c>
      <c r="C295" s="65" t="s">
        <v>7625</v>
      </c>
      <c r="D295" s="66">
        <v>43543</v>
      </c>
      <c r="E295" s="65" t="s">
        <v>6809</v>
      </c>
      <c r="F295" s="79" t="s">
        <v>6824</v>
      </c>
      <c r="G295" s="61"/>
      <c r="I295" s="78"/>
    </row>
    <row r="296" spans="1:9" ht="14.25" customHeight="1" x14ac:dyDescent="0.2">
      <c r="A296" s="65" t="s">
        <v>7626</v>
      </c>
      <c r="B296" s="65" t="s">
        <v>7627</v>
      </c>
      <c r="C296" s="65" t="s">
        <v>7628</v>
      </c>
      <c r="D296" s="66">
        <v>43543</v>
      </c>
      <c r="E296" s="65" t="s">
        <v>6809</v>
      </c>
      <c r="F296" s="79" t="s">
        <v>6824</v>
      </c>
      <c r="G296" s="61"/>
      <c r="I296" s="78"/>
    </row>
    <row r="297" spans="1:9" ht="14.25" customHeight="1" x14ac:dyDescent="0.2">
      <c r="A297" s="65" t="s">
        <v>7629</v>
      </c>
      <c r="B297" s="65" t="s">
        <v>7630</v>
      </c>
      <c r="C297" s="65" t="s">
        <v>7631</v>
      </c>
      <c r="D297" s="66">
        <v>43543</v>
      </c>
      <c r="E297" s="65" t="s">
        <v>6809</v>
      </c>
      <c r="F297" s="79" t="s">
        <v>6824</v>
      </c>
      <c r="G297" s="61"/>
      <c r="I297" s="78"/>
    </row>
    <row r="298" spans="1:9" ht="14.25" customHeight="1" x14ac:dyDescent="0.2">
      <c r="A298" s="65" t="s">
        <v>7632</v>
      </c>
      <c r="B298" s="65" t="s">
        <v>1459</v>
      </c>
      <c r="C298" s="65" t="s">
        <v>7633</v>
      </c>
      <c r="D298" s="66">
        <v>43538</v>
      </c>
      <c r="E298" s="65" t="s">
        <v>207</v>
      </c>
      <c r="F298" s="79" t="s">
        <v>7634</v>
      </c>
      <c r="G298" s="61"/>
      <c r="I298" s="78"/>
    </row>
    <row r="299" spans="1:9" ht="14.25" customHeight="1" x14ac:dyDescent="0.2">
      <c r="A299" s="65" t="s">
        <v>7635</v>
      </c>
      <c r="B299" s="65" t="s">
        <v>1487</v>
      </c>
      <c r="C299" s="65" t="s">
        <v>7636</v>
      </c>
      <c r="D299" s="66">
        <v>43538</v>
      </c>
      <c r="E299" s="65" t="s">
        <v>207</v>
      </c>
      <c r="F299" s="79" t="s">
        <v>7637</v>
      </c>
      <c r="G299" s="61"/>
      <c r="I299" s="78"/>
    </row>
    <row r="300" spans="1:9" ht="14.25" customHeight="1" x14ac:dyDescent="0.2">
      <c r="A300" s="65" t="s">
        <v>7638</v>
      </c>
      <c r="B300" s="65" t="s">
        <v>1499</v>
      </c>
      <c r="C300" s="65" t="s">
        <v>7639</v>
      </c>
      <c r="D300" s="66">
        <v>43538</v>
      </c>
      <c r="E300" s="65" t="s">
        <v>6809</v>
      </c>
      <c r="F300" s="79" t="s">
        <v>7640</v>
      </c>
      <c r="G300" s="61"/>
      <c r="I300" s="78"/>
    </row>
    <row r="301" spans="1:9" ht="14.25" customHeight="1" x14ac:dyDescent="0.2">
      <c r="A301" s="65" t="s">
        <v>7641</v>
      </c>
      <c r="B301" s="65" t="s">
        <v>1479</v>
      </c>
      <c r="C301" s="65" t="s">
        <v>7642</v>
      </c>
      <c r="D301" s="66">
        <v>43538</v>
      </c>
      <c r="E301" s="65" t="s">
        <v>6809</v>
      </c>
      <c r="F301" s="79" t="s">
        <v>7643</v>
      </c>
      <c r="G301" s="61"/>
      <c r="I301" s="78"/>
    </row>
    <row r="302" spans="1:9" ht="14.25" customHeight="1" x14ac:dyDescent="0.2">
      <c r="A302" s="65" t="s">
        <v>7644</v>
      </c>
      <c r="B302" s="65" t="s">
        <v>1475</v>
      </c>
      <c r="C302" s="65" t="s">
        <v>7645</v>
      </c>
      <c r="D302" s="66">
        <v>43538</v>
      </c>
      <c r="E302" s="65" t="s">
        <v>207</v>
      </c>
      <c r="F302" s="79" t="s">
        <v>7646</v>
      </c>
      <c r="G302" s="61"/>
      <c r="I302" s="78"/>
    </row>
    <row r="303" spans="1:9" ht="14.25" customHeight="1" x14ac:dyDescent="0.2">
      <c r="A303" s="65" t="s">
        <v>7647</v>
      </c>
      <c r="B303" s="65" t="s">
        <v>1463</v>
      </c>
      <c r="C303" s="65" t="s">
        <v>7648</v>
      </c>
      <c r="D303" s="66">
        <v>43538</v>
      </c>
      <c r="E303" s="65" t="s">
        <v>6809</v>
      </c>
      <c r="F303" s="79" t="s">
        <v>7649</v>
      </c>
      <c r="G303" s="61"/>
      <c r="I303" s="78"/>
    </row>
    <row r="304" spans="1:9" ht="14.25" customHeight="1" x14ac:dyDescent="0.2">
      <c r="A304" s="65" t="s">
        <v>7650</v>
      </c>
      <c r="B304" s="65" t="s">
        <v>1443</v>
      </c>
      <c r="C304" s="65" t="s">
        <v>7651</v>
      </c>
      <c r="D304" s="66">
        <v>43538</v>
      </c>
      <c r="E304" s="65" t="s">
        <v>6809</v>
      </c>
      <c r="F304" s="79" t="s">
        <v>7652</v>
      </c>
      <c r="G304" s="61"/>
      <c r="I304" s="78"/>
    </row>
    <row r="305" spans="1:9" ht="14.25" customHeight="1" x14ac:dyDescent="0.2">
      <c r="A305" s="65" t="s">
        <v>7653</v>
      </c>
      <c r="B305" s="65" t="s">
        <v>1439</v>
      </c>
      <c r="C305" s="65" t="s">
        <v>7654</v>
      </c>
      <c r="D305" s="66">
        <v>43538</v>
      </c>
      <c r="E305" s="65" t="s">
        <v>207</v>
      </c>
      <c r="F305" s="79" t="s">
        <v>7655</v>
      </c>
      <c r="G305" s="61"/>
      <c r="I305" s="78"/>
    </row>
    <row r="306" spans="1:9" ht="14.25" customHeight="1" x14ac:dyDescent="0.2">
      <c r="A306" s="65" t="s">
        <v>7656</v>
      </c>
      <c r="B306" s="65" t="s">
        <v>7657</v>
      </c>
      <c r="C306" s="65" t="s">
        <v>7658</v>
      </c>
      <c r="D306" s="66">
        <v>43535</v>
      </c>
      <c r="E306" s="65" t="s">
        <v>6809</v>
      </c>
      <c r="F306" s="79" t="s">
        <v>6814</v>
      </c>
      <c r="G306" s="61"/>
      <c r="I306" s="78"/>
    </row>
    <row r="307" spans="1:9" ht="14.25" customHeight="1" x14ac:dyDescent="0.2">
      <c r="A307" s="65" t="s">
        <v>7659</v>
      </c>
      <c r="B307" s="65" t="s">
        <v>1491</v>
      </c>
      <c r="C307" s="65" t="s">
        <v>7660</v>
      </c>
      <c r="D307" s="66">
        <v>43535</v>
      </c>
      <c r="E307" s="65" t="s">
        <v>6809</v>
      </c>
      <c r="F307" s="79" t="s">
        <v>6814</v>
      </c>
      <c r="G307" s="61"/>
      <c r="I307" s="78"/>
    </row>
    <row r="308" spans="1:9" ht="14.25" customHeight="1" x14ac:dyDescent="0.2">
      <c r="A308" s="65" t="s">
        <v>7661</v>
      </c>
      <c r="B308" s="65" t="s">
        <v>1434</v>
      </c>
      <c r="C308" s="65" t="s">
        <v>7662</v>
      </c>
      <c r="D308" s="66">
        <v>43532</v>
      </c>
      <c r="E308" s="65" t="s">
        <v>289</v>
      </c>
      <c r="F308" s="79" t="s">
        <v>7663</v>
      </c>
      <c r="G308" s="61"/>
      <c r="I308" s="78"/>
    </row>
    <row r="309" spans="1:9" ht="14.25" customHeight="1" x14ac:dyDescent="0.2">
      <c r="A309" s="65" t="s">
        <v>7664</v>
      </c>
      <c r="B309" s="65" t="s">
        <v>7665</v>
      </c>
      <c r="C309" s="65" t="s">
        <v>7666</v>
      </c>
      <c r="D309" s="66">
        <v>43529</v>
      </c>
      <c r="E309" s="65" t="s">
        <v>6809</v>
      </c>
      <c r="F309" s="79" t="s">
        <v>6824</v>
      </c>
      <c r="G309" s="61"/>
      <c r="I309" s="78"/>
    </row>
    <row r="310" spans="1:9" ht="14.25" customHeight="1" x14ac:dyDescent="0.2">
      <c r="A310" s="65" t="s">
        <v>7667</v>
      </c>
      <c r="B310" s="65" t="s">
        <v>7668</v>
      </c>
      <c r="C310" s="65" t="s">
        <v>7669</v>
      </c>
      <c r="D310" s="66">
        <v>43524</v>
      </c>
      <c r="E310" s="65" t="s">
        <v>6809</v>
      </c>
      <c r="F310" s="79" t="s">
        <v>6824</v>
      </c>
      <c r="G310" s="61"/>
      <c r="I310" s="78"/>
    </row>
    <row r="311" spans="1:9" ht="14.25" customHeight="1" x14ac:dyDescent="0.2">
      <c r="A311" s="65" t="s">
        <v>7670</v>
      </c>
      <c r="B311" s="65" t="s">
        <v>7671</v>
      </c>
      <c r="C311" s="65" t="s">
        <v>7672</v>
      </c>
      <c r="D311" s="66">
        <v>43522</v>
      </c>
      <c r="E311" s="65" t="s">
        <v>6809</v>
      </c>
      <c r="F311" s="79" t="s">
        <v>6824</v>
      </c>
      <c r="G311" s="61"/>
      <c r="I311" s="78"/>
    </row>
    <row r="312" spans="1:9" ht="14.25" customHeight="1" x14ac:dyDescent="0.2">
      <c r="A312" s="65" t="s">
        <v>7673</v>
      </c>
      <c r="B312" s="65" t="s">
        <v>7674</v>
      </c>
      <c r="C312" s="65" t="s">
        <v>7675</v>
      </c>
      <c r="D312" s="66">
        <v>43522</v>
      </c>
      <c r="E312" s="65" t="s">
        <v>6809</v>
      </c>
      <c r="F312" s="79" t="s">
        <v>6814</v>
      </c>
      <c r="G312" s="61"/>
      <c r="I312" s="78"/>
    </row>
    <row r="313" spans="1:9" ht="14.25" customHeight="1" x14ac:dyDescent="0.2">
      <c r="A313" s="65" t="s">
        <v>7676</v>
      </c>
      <c r="B313" s="65" t="s">
        <v>7677</v>
      </c>
      <c r="C313" s="65" t="s">
        <v>7678</v>
      </c>
      <c r="D313" s="66">
        <v>43514</v>
      </c>
      <c r="E313" s="65" t="s">
        <v>6809</v>
      </c>
      <c r="F313" s="79" t="s">
        <v>6824</v>
      </c>
      <c r="G313" s="61"/>
      <c r="I313" s="78"/>
    </row>
    <row r="314" spans="1:9" ht="14.25" customHeight="1" x14ac:dyDescent="0.2">
      <c r="A314" s="65" t="s">
        <v>7679</v>
      </c>
      <c r="B314" s="65" t="s">
        <v>7680</v>
      </c>
      <c r="C314" s="65" t="s">
        <v>7681</v>
      </c>
      <c r="D314" s="66">
        <v>43508</v>
      </c>
      <c r="E314" s="65" t="s">
        <v>6809</v>
      </c>
      <c r="F314" s="79" t="s">
        <v>6824</v>
      </c>
      <c r="G314" s="61"/>
      <c r="I314" s="78"/>
    </row>
    <row r="315" spans="1:9" ht="14.25" customHeight="1" x14ac:dyDescent="0.2">
      <c r="A315" s="65" t="s">
        <v>7682</v>
      </c>
      <c r="B315" s="65" t="s">
        <v>6809</v>
      </c>
      <c r="C315" s="65" t="s">
        <v>7683</v>
      </c>
      <c r="D315" s="66">
        <v>43508</v>
      </c>
      <c r="E315" s="65" t="s">
        <v>6809</v>
      </c>
      <c r="F315" s="79" t="s">
        <v>6824</v>
      </c>
      <c r="G315" s="61"/>
      <c r="I315" s="78"/>
    </row>
    <row r="316" spans="1:9" ht="14.25" customHeight="1" x14ac:dyDescent="0.2">
      <c r="A316" s="65" t="s">
        <v>7684</v>
      </c>
      <c r="B316" s="65" t="s">
        <v>6809</v>
      </c>
      <c r="C316" s="65" t="s">
        <v>7685</v>
      </c>
      <c r="D316" s="66">
        <v>43503</v>
      </c>
      <c r="E316" s="65" t="s">
        <v>6809</v>
      </c>
      <c r="F316" s="79" t="s">
        <v>6824</v>
      </c>
      <c r="G316" s="61"/>
      <c r="I316" s="78"/>
    </row>
    <row r="317" spans="1:9" ht="14.25" customHeight="1" x14ac:dyDescent="0.2">
      <c r="A317" s="65" t="s">
        <v>7686</v>
      </c>
      <c r="B317" s="65" t="s">
        <v>7687</v>
      </c>
      <c r="C317" s="65" t="s">
        <v>7688</v>
      </c>
      <c r="D317" s="66">
        <v>43503</v>
      </c>
      <c r="E317" s="65" t="s">
        <v>6809</v>
      </c>
      <c r="F317" s="79" t="s">
        <v>6824</v>
      </c>
      <c r="G317" s="61"/>
      <c r="I317" s="78"/>
    </row>
    <row r="318" spans="1:9" ht="14.25" customHeight="1" x14ac:dyDescent="0.2">
      <c r="A318" s="65" t="s">
        <v>7689</v>
      </c>
      <c r="B318" s="65" t="s">
        <v>7690</v>
      </c>
      <c r="C318" s="65" t="s">
        <v>7691</v>
      </c>
      <c r="D318" s="66">
        <v>43499</v>
      </c>
      <c r="E318" s="65" t="s">
        <v>6809</v>
      </c>
      <c r="F318" s="79" t="s">
        <v>6824</v>
      </c>
      <c r="G318" s="61"/>
      <c r="I318" s="78"/>
    </row>
    <row r="319" spans="1:9" ht="14.25" customHeight="1" x14ac:dyDescent="0.2">
      <c r="A319" s="65">
        <v>99220103004</v>
      </c>
      <c r="B319" s="65" t="s">
        <v>7692</v>
      </c>
      <c r="C319" s="65" t="s">
        <v>7693</v>
      </c>
      <c r="D319" s="66">
        <v>43499</v>
      </c>
      <c r="E319" s="65" t="s">
        <v>6809</v>
      </c>
      <c r="F319" s="79" t="s">
        <v>6824</v>
      </c>
      <c r="G319" s="61"/>
      <c r="I319" s="78"/>
    </row>
    <row r="320" spans="1:9" ht="14.25" customHeight="1" x14ac:dyDescent="0.2">
      <c r="A320" s="65" t="s">
        <v>7694</v>
      </c>
      <c r="B320" s="65" t="s">
        <v>7695</v>
      </c>
      <c r="C320" s="65" t="s">
        <v>7696</v>
      </c>
      <c r="D320" s="66">
        <v>43499</v>
      </c>
      <c r="E320" s="65" t="s">
        <v>6809</v>
      </c>
      <c r="F320" s="79" t="s">
        <v>6824</v>
      </c>
      <c r="G320" s="61"/>
      <c r="I320" s="78"/>
    </row>
    <row r="321" spans="1:9" ht="14.25" customHeight="1" x14ac:dyDescent="0.2">
      <c r="A321" s="65" t="s">
        <v>7697</v>
      </c>
      <c r="B321" s="65" t="s">
        <v>3260</v>
      </c>
      <c r="C321" s="65" t="s">
        <v>7698</v>
      </c>
      <c r="D321" s="66">
        <v>43496</v>
      </c>
      <c r="E321" s="65" t="s">
        <v>6809</v>
      </c>
      <c r="F321" s="79" t="s">
        <v>6814</v>
      </c>
      <c r="G321" s="61"/>
      <c r="I321" s="78"/>
    </row>
    <row r="322" spans="1:9" ht="14.25" customHeight="1" x14ac:dyDescent="0.2">
      <c r="A322" s="65" t="s">
        <v>7699</v>
      </c>
      <c r="B322" s="65" t="s">
        <v>7700</v>
      </c>
      <c r="C322" s="65" t="s">
        <v>7701</v>
      </c>
      <c r="D322" s="66">
        <v>43494</v>
      </c>
      <c r="E322" s="65" t="s">
        <v>6809</v>
      </c>
      <c r="F322" s="79" t="s">
        <v>6814</v>
      </c>
      <c r="G322" s="61"/>
      <c r="I322" s="78"/>
    </row>
    <row r="323" spans="1:9" ht="14.25" customHeight="1" x14ac:dyDescent="0.2">
      <c r="A323" s="65" t="s">
        <v>7702</v>
      </c>
      <c r="B323" s="65" t="s">
        <v>7703</v>
      </c>
      <c r="C323" s="65" t="s">
        <v>7704</v>
      </c>
      <c r="D323" s="66">
        <v>43494</v>
      </c>
      <c r="E323" s="65" t="s">
        <v>6809</v>
      </c>
      <c r="F323" s="79" t="s">
        <v>6814</v>
      </c>
      <c r="G323" s="61"/>
      <c r="I323" s="78"/>
    </row>
    <row r="324" spans="1:9" ht="14.25" customHeight="1" x14ac:dyDescent="0.2">
      <c r="A324" s="65" t="s">
        <v>7705</v>
      </c>
      <c r="B324" s="65" t="s">
        <v>7706</v>
      </c>
      <c r="C324" s="65" t="s">
        <v>7707</v>
      </c>
      <c r="D324" s="66">
        <v>43494</v>
      </c>
      <c r="E324" s="65" t="s">
        <v>6809</v>
      </c>
      <c r="F324" s="79" t="s">
        <v>6814</v>
      </c>
      <c r="G324" s="61"/>
      <c r="I324" s="78"/>
    </row>
    <row r="325" spans="1:9" ht="14.25" customHeight="1" x14ac:dyDescent="0.2">
      <c r="A325" s="65" t="s">
        <v>7708</v>
      </c>
      <c r="B325" s="65" t="s">
        <v>2329</v>
      </c>
      <c r="C325" s="65" t="s">
        <v>7709</v>
      </c>
      <c r="D325" s="66">
        <v>43492</v>
      </c>
      <c r="E325" s="65" t="s">
        <v>6809</v>
      </c>
      <c r="F325" s="79" t="s">
        <v>7710</v>
      </c>
      <c r="G325" s="61"/>
      <c r="I325" s="78"/>
    </row>
    <row r="326" spans="1:9" ht="14.25" customHeight="1" x14ac:dyDescent="0.2">
      <c r="A326" s="65" t="s">
        <v>7711</v>
      </c>
      <c r="B326" s="65" t="s">
        <v>7712</v>
      </c>
      <c r="C326" s="65" t="s">
        <v>7713</v>
      </c>
      <c r="D326" s="66">
        <v>43489</v>
      </c>
      <c r="E326" s="65" t="s">
        <v>6809</v>
      </c>
      <c r="F326" s="79" t="s">
        <v>6814</v>
      </c>
      <c r="G326" s="61"/>
      <c r="I326" s="78"/>
    </row>
    <row r="327" spans="1:9" ht="14.25" customHeight="1" x14ac:dyDescent="0.2">
      <c r="A327" s="65" t="s">
        <v>7714</v>
      </c>
      <c r="B327" s="65" t="s">
        <v>7715</v>
      </c>
      <c r="C327" s="65" t="s">
        <v>7716</v>
      </c>
      <c r="D327" s="66">
        <v>43489</v>
      </c>
      <c r="E327" s="65" t="s">
        <v>6809</v>
      </c>
      <c r="F327" s="79" t="s">
        <v>6814</v>
      </c>
      <c r="G327" s="61"/>
      <c r="I327" s="78"/>
    </row>
    <row r="328" spans="1:9" ht="14.25" customHeight="1" x14ac:dyDescent="0.2">
      <c r="A328" s="65" t="s">
        <v>7717</v>
      </c>
      <c r="B328" s="65" t="s">
        <v>7718</v>
      </c>
      <c r="C328" s="65" t="s">
        <v>7719</v>
      </c>
      <c r="D328" s="66">
        <v>43487</v>
      </c>
      <c r="E328" s="65" t="s">
        <v>7465</v>
      </c>
      <c r="F328" s="79" t="s">
        <v>6814</v>
      </c>
      <c r="G328" s="61"/>
      <c r="I328" s="78"/>
    </row>
    <row r="329" spans="1:9" ht="14.25" customHeight="1" x14ac:dyDescent="0.2">
      <c r="A329" s="65" t="s">
        <v>7720</v>
      </c>
      <c r="B329" s="65" t="s">
        <v>7721</v>
      </c>
      <c r="C329" s="65" t="s">
        <v>7722</v>
      </c>
      <c r="D329" s="66">
        <v>43482</v>
      </c>
      <c r="E329" s="65" t="s">
        <v>6809</v>
      </c>
      <c r="F329" s="79" t="s">
        <v>6814</v>
      </c>
      <c r="G329" s="61"/>
      <c r="I329" s="78"/>
    </row>
    <row r="330" spans="1:9" ht="14.25" customHeight="1" x14ac:dyDescent="0.2">
      <c r="A330" s="65" t="s">
        <v>7723</v>
      </c>
      <c r="B330" s="65" t="s">
        <v>7724</v>
      </c>
      <c r="C330" s="65" t="s">
        <v>7725</v>
      </c>
      <c r="D330" s="66">
        <v>43480</v>
      </c>
      <c r="E330" s="65" t="s">
        <v>6809</v>
      </c>
      <c r="F330" s="79" t="s">
        <v>6814</v>
      </c>
      <c r="G330" s="61"/>
      <c r="I330" s="78"/>
    </row>
    <row r="331" spans="1:9" ht="14.25" customHeight="1" x14ac:dyDescent="0.2">
      <c r="A331" s="65" t="s">
        <v>7726</v>
      </c>
      <c r="B331" s="65" t="s">
        <v>7727</v>
      </c>
      <c r="C331" s="65" t="s">
        <v>7728</v>
      </c>
      <c r="D331" s="66">
        <v>43480</v>
      </c>
      <c r="E331" s="65" t="s">
        <v>6809</v>
      </c>
      <c r="F331" s="79" t="s">
        <v>6814</v>
      </c>
      <c r="G331" s="61"/>
      <c r="I331" s="78"/>
    </row>
    <row r="332" spans="1:9" ht="14.25" customHeight="1" x14ac:dyDescent="0.2">
      <c r="A332" s="65" t="s">
        <v>7729</v>
      </c>
      <c r="B332" s="65" t="s">
        <v>7730</v>
      </c>
      <c r="C332" s="65" t="s">
        <v>7731</v>
      </c>
      <c r="D332" s="66">
        <v>43480</v>
      </c>
      <c r="E332" s="65" t="s">
        <v>6809</v>
      </c>
      <c r="F332" s="79" t="s">
        <v>6824</v>
      </c>
      <c r="G332" s="61"/>
      <c r="I332" s="78"/>
    </row>
    <row r="333" spans="1:9" ht="14.25" customHeight="1" x14ac:dyDescent="0.2">
      <c r="A333" s="65" t="s">
        <v>7732</v>
      </c>
      <c r="B333" s="65" t="s">
        <v>7733</v>
      </c>
      <c r="C333" s="65" t="s">
        <v>7734</v>
      </c>
      <c r="D333" s="66">
        <v>43478</v>
      </c>
      <c r="E333" s="65" t="s">
        <v>6809</v>
      </c>
      <c r="F333" s="79" t="s">
        <v>6824</v>
      </c>
      <c r="G333" s="61"/>
      <c r="I333" s="78"/>
    </row>
    <row r="334" spans="1:9" ht="14.25" customHeight="1" x14ac:dyDescent="0.2">
      <c r="A334" s="65" t="s">
        <v>7735</v>
      </c>
      <c r="B334" s="65" t="s">
        <v>7736</v>
      </c>
      <c r="C334" s="65" t="s">
        <v>7737</v>
      </c>
      <c r="D334" s="66">
        <v>43475</v>
      </c>
      <c r="E334" s="65" t="s">
        <v>6809</v>
      </c>
      <c r="F334" s="79" t="s">
        <v>6824</v>
      </c>
      <c r="G334" s="61"/>
      <c r="I334" s="78"/>
    </row>
    <row r="335" spans="1:9" ht="14.25" customHeight="1" x14ac:dyDescent="0.2">
      <c r="A335" s="65" t="s">
        <v>7738</v>
      </c>
      <c r="B335" s="65" t="s">
        <v>7739</v>
      </c>
      <c r="C335" s="65" t="s">
        <v>7740</v>
      </c>
      <c r="D335" s="66">
        <v>43475</v>
      </c>
      <c r="E335" s="65" t="s">
        <v>6809</v>
      </c>
      <c r="F335" s="79" t="s">
        <v>6814</v>
      </c>
      <c r="G335" s="61"/>
      <c r="I335" s="78"/>
    </row>
    <row r="336" spans="1:9" ht="14.25" customHeight="1" x14ac:dyDescent="0.2">
      <c r="A336" s="65" t="s">
        <v>7741</v>
      </c>
      <c r="B336" s="65" t="s">
        <v>7742</v>
      </c>
      <c r="C336" s="65" t="s">
        <v>7743</v>
      </c>
      <c r="D336" s="66">
        <v>43475</v>
      </c>
      <c r="E336" s="65" t="s">
        <v>6809</v>
      </c>
      <c r="F336" s="79" t="s">
        <v>6814</v>
      </c>
      <c r="G336" s="61"/>
      <c r="I336" s="78"/>
    </row>
    <row r="337" spans="1:9" ht="14.25" customHeight="1" x14ac:dyDescent="0.2">
      <c r="A337" s="65" t="s">
        <v>7744</v>
      </c>
      <c r="B337" s="65" t="s">
        <v>7745</v>
      </c>
      <c r="C337" s="65" t="s">
        <v>7746</v>
      </c>
      <c r="D337" s="66">
        <v>43475</v>
      </c>
      <c r="E337" s="65" t="s">
        <v>6809</v>
      </c>
      <c r="F337" s="79" t="s">
        <v>6824</v>
      </c>
      <c r="G337" s="61"/>
      <c r="I337" s="78"/>
    </row>
    <row r="338" spans="1:9" ht="14.25" customHeight="1" x14ac:dyDescent="0.2">
      <c r="A338" s="65" t="s">
        <v>7747</v>
      </c>
      <c r="B338" s="65" t="s">
        <v>7748</v>
      </c>
      <c r="C338" s="65" t="s">
        <v>7749</v>
      </c>
      <c r="D338" s="66">
        <v>43475</v>
      </c>
      <c r="E338" s="65" t="s">
        <v>6809</v>
      </c>
      <c r="F338" s="79" t="s">
        <v>6824</v>
      </c>
      <c r="G338" s="61"/>
      <c r="I338" s="78"/>
    </row>
    <row r="339" spans="1:9" ht="14.25" customHeight="1" x14ac:dyDescent="0.2">
      <c r="A339" s="65" t="s">
        <v>7750</v>
      </c>
      <c r="B339" s="65" t="s">
        <v>7751</v>
      </c>
      <c r="C339" s="65" t="s">
        <v>7752</v>
      </c>
      <c r="D339" s="66">
        <v>43475</v>
      </c>
      <c r="E339" s="65" t="s">
        <v>6809</v>
      </c>
      <c r="F339" s="79" t="s">
        <v>6810</v>
      </c>
      <c r="G339" s="61"/>
      <c r="I339" s="78"/>
    </row>
    <row r="340" spans="1:9" ht="14.25" customHeight="1" x14ac:dyDescent="0.2">
      <c r="A340" s="65" t="s">
        <v>7753</v>
      </c>
      <c r="B340" s="65" t="s">
        <v>6913</v>
      </c>
      <c r="C340" s="65" t="s">
        <v>7754</v>
      </c>
      <c r="D340" s="66">
        <v>43474</v>
      </c>
      <c r="E340" s="65" t="s">
        <v>6809</v>
      </c>
      <c r="F340" s="79" t="s">
        <v>6824</v>
      </c>
      <c r="G340" s="61"/>
      <c r="I340" s="78"/>
    </row>
    <row r="341" spans="1:9" ht="14.25" customHeight="1" x14ac:dyDescent="0.2">
      <c r="A341" s="65" t="s">
        <v>7755</v>
      </c>
      <c r="B341" s="65" t="s">
        <v>7756</v>
      </c>
      <c r="C341" s="65" t="s">
        <v>7757</v>
      </c>
      <c r="D341" s="66">
        <v>43469</v>
      </c>
      <c r="E341" s="65" t="s">
        <v>6809</v>
      </c>
      <c r="F341" s="79" t="s">
        <v>6824</v>
      </c>
      <c r="G341" s="61"/>
      <c r="I341" s="78"/>
    </row>
    <row r="342" spans="1:9" ht="14.25" customHeight="1" x14ac:dyDescent="0.2">
      <c r="A342" s="65" t="s">
        <v>7758</v>
      </c>
      <c r="B342" s="65" t="s">
        <v>7759</v>
      </c>
      <c r="C342" s="65" t="s">
        <v>7760</v>
      </c>
      <c r="D342" s="66">
        <v>43469</v>
      </c>
      <c r="E342" s="65" t="s">
        <v>6809</v>
      </c>
      <c r="F342" s="79" t="s">
        <v>6824</v>
      </c>
      <c r="G342" s="61"/>
      <c r="I342" s="78"/>
    </row>
    <row r="343" spans="1:9" ht="14.25" customHeight="1" x14ac:dyDescent="0.2">
      <c r="A343" s="65" t="s">
        <v>7761</v>
      </c>
      <c r="B343" s="65" t="s">
        <v>7762</v>
      </c>
      <c r="C343" s="65" t="s">
        <v>7763</v>
      </c>
      <c r="D343" s="66">
        <v>43469</v>
      </c>
      <c r="E343" s="65" t="s">
        <v>6809</v>
      </c>
      <c r="F343" s="79" t="s">
        <v>7764</v>
      </c>
      <c r="G343" s="61"/>
      <c r="I343" s="78"/>
    </row>
    <row r="344" spans="1:9" ht="14.25" customHeight="1" x14ac:dyDescent="0.2">
      <c r="A344" s="65" t="s">
        <v>7765</v>
      </c>
      <c r="B344" s="65" t="s">
        <v>7766</v>
      </c>
      <c r="C344" s="65" t="s">
        <v>7767</v>
      </c>
      <c r="D344" s="66">
        <v>43469</v>
      </c>
      <c r="E344" s="65" t="s">
        <v>6809</v>
      </c>
      <c r="F344" s="79" t="s">
        <v>6810</v>
      </c>
      <c r="G344" s="61"/>
      <c r="I344" s="78"/>
    </row>
    <row r="345" spans="1:9" ht="14.25" customHeight="1" x14ac:dyDescent="0.2">
      <c r="A345" s="65" t="s">
        <v>7768</v>
      </c>
      <c r="B345" s="65" t="s">
        <v>7769</v>
      </c>
      <c r="C345" s="65" t="s">
        <v>7770</v>
      </c>
      <c r="D345" s="66">
        <v>43469</v>
      </c>
      <c r="E345" s="65" t="s">
        <v>6809</v>
      </c>
      <c r="F345" s="79" t="s">
        <v>6824</v>
      </c>
      <c r="G345" s="61"/>
      <c r="I345" s="78"/>
    </row>
    <row r="346" spans="1:9" ht="14.25" customHeight="1" x14ac:dyDescent="0.2">
      <c r="A346" s="65" t="s">
        <v>7771</v>
      </c>
      <c r="B346" s="65" t="s">
        <v>7772</v>
      </c>
      <c r="C346" s="65" t="s">
        <v>7773</v>
      </c>
      <c r="D346" s="66">
        <v>43468</v>
      </c>
      <c r="E346" s="65" t="s">
        <v>6809</v>
      </c>
      <c r="F346" s="79" t="s">
        <v>6810</v>
      </c>
      <c r="G346" s="61"/>
      <c r="I346" s="78"/>
    </row>
    <row r="347" spans="1:9" ht="14.25" customHeight="1" x14ac:dyDescent="0.2">
      <c r="A347" s="65" t="s">
        <v>7774</v>
      </c>
      <c r="B347" s="65" t="s">
        <v>1483</v>
      </c>
      <c r="C347" s="65" t="s">
        <v>7775</v>
      </c>
      <c r="D347" s="66">
        <v>43468</v>
      </c>
      <c r="E347" s="65" t="s">
        <v>289</v>
      </c>
      <c r="F347" s="82" t="s">
        <v>7776</v>
      </c>
      <c r="G347" s="61"/>
      <c r="I347" s="78"/>
    </row>
    <row r="348" spans="1:9" ht="14.25" customHeight="1" x14ac:dyDescent="0.2">
      <c r="A348" s="65" t="s">
        <v>7777</v>
      </c>
      <c r="B348" s="65" t="s">
        <v>7778</v>
      </c>
      <c r="C348" s="65" t="s">
        <v>7779</v>
      </c>
      <c r="D348" s="66">
        <v>43468</v>
      </c>
      <c r="E348" s="65" t="s">
        <v>6809</v>
      </c>
      <c r="F348" s="79" t="s">
        <v>6814</v>
      </c>
      <c r="G348" s="61"/>
      <c r="I348" s="78"/>
    </row>
    <row r="349" spans="1:9" ht="14.25" customHeight="1" x14ac:dyDescent="0.2">
      <c r="A349" s="65" t="s">
        <v>7780</v>
      </c>
      <c r="B349" s="65" t="s">
        <v>7781</v>
      </c>
      <c r="C349" s="65" t="s">
        <v>7782</v>
      </c>
      <c r="D349" s="66">
        <v>43468</v>
      </c>
      <c r="E349" s="65" t="s">
        <v>6809</v>
      </c>
      <c r="F349" s="79" t="s">
        <v>6814</v>
      </c>
      <c r="G349" s="61"/>
      <c r="I349" s="78"/>
    </row>
    <row r="350" spans="1:9" ht="14.25" customHeight="1" x14ac:dyDescent="0.2">
      <c r="A350" s="65" t="s">
        <v>7783</v>
      </c>
      <c r="B350" s="65" t="s">
        <v>3753</v>
      </c>
      <c r="C350" s="65" t="s">
        <v>7784</v>
      </c>
      <c r="D350" s="66">
        <v>43462</v>
      </c>
      <c r="E350" s="65" t="s">
        <v>202</v>
      </c>
      <c r="F350" s="79" t="s">
        <v>6814</v>
      </c>
      <c r="G350" s="61"/>
      <c r="I350" s="78"/>
    </row>
    <row r="351" spans="1:9" ht="14.25" customHeight="1" x14ac:dyDescent="0.2">
      <c r="A351" s="65" t="s">
        <v>7785</v>
      </c>
      <c r="B351" s="65" t="s">
        <v>7786</v>
      </c>
      <c r="C351" s="65" t="s">
        <v>7787</v>
      </c>
      <c r="D351" s="66">
        <v>43454</v>
      </c>
      <c r="E351" s="76" t="s">
        <v>6809</v>
      </c>
      <c r="F351" s="79" t="s">
        <v>6814</v>
      </c>
      <c r="G351" s="61"/>
      <c r="I351" s="78"/>
    </row>
    <row r="352" spans="1:9" ht="14.25" customHeight="1" x14ac:dyDescent="0.2">
      <c r="A352" s="65" t="s">
        <v>7788</v>
      </c>
      <c r="B352" s="65" t="s">
        <v>7789</v>
      </c>
      <c r="C352" s="65" t="s">
        <v>7790</v>
      </c>
      <c r="D352" s="66">
        <v>43453</v>
      </c>
      <c r="E352" s="76" t="s">
        <v>6809</v>
      </c>
      <c r="F352" s="79" t="s">
        <v>6810</v>
      </c>
      <c r="G352" s="61"/>
      <c r="I352" s="78"/>
    </row>
    <row r="353" spans="1:9" ht="14.25" customHeight="1" x14ac:dyDescent="0.2">
      <c r="A353" s="65" t="s">
        <v>7791</v>
      </c>
      <c r="B353" s="65" t="s">
        <v>7792</v>
      </c>
      <c r="C353" s="65" t="s">
        <v>7793</v>
      </c>
      <c r="D353" s="66">
        <v>43453</v>
      </c>
      <c r="E353" s="76" t="s">
        <v>6809</v>
      </c>
      <c r="F353" s="79" t="s">
        <v>6810</v>
      </c>
      <c r="G353" s="61"/>
      <c r="I353" s="78"/>
    </row>
    <row r="354" spans="1:9" ht="14.25" customHeight="1" x14ac:dyDescent="0.2">
      <c r="A354" s="65" t="s">
        <v>7794</v>
      </c>
      <c r="B354" s="65" t="s">
        <v>7795</v>
      </c>
      <c r="C354" s="65" t="s">
        <v>7796</v>
      </c>
      <c r="D354" s="66">
        <v>43453</v>
      </c>
      <c r="E354" s="76" t="s">
        <v>6809</v>
      </c>
      <c r="F354" s="79" t="s">
        <v>6810</v>
      </c>
      <c r="G354" s="61"/>
      <c r="I354" s="78"/>
    </row>
    <row r="355" spans="1:9" ht="14.25" customHeight="1" x14ac:dyDescent="0.2">
      <c r="A355" s="65" t="s">
        <v>7797</v>
      </c>
      <c r="B355" s="65" t="s">
        <v>7798</v>
      </c>
      <c r="C355" s="65" t="s">
        <v>7799</v>
      </c>
      <c r="D355" s="66">
        <v>43452</v>
      </c>
      <c r="E355" s="76" t="s">
        <v>6809</v>
      </c>
      <c r="F355" s="79" t="s">
        <v>6814</v>
      </c>
      <c r="G355" s="61"/>
      <c r="I355" s="78"/>
    </row>
    <row r="356" spans="1:9" ht="14.25" customHeight="1" x14ac:dyDescent="0.2">
      <c r="A356" s="65" t="s">
        <v>7800</v>
      </c>
      <c r="B356" s="65" t="s">
        <v>7801</v>
      </c>
      <c r="C356" s="65" t="s">
        <v>7802</v>
      </c>
      <c r="D356" s="66">
        <v>43452</v>
      </c>
      <c r="E356" s="76" t="s">
        <v>6809</v>
      </c>
      <c r="F356" s="79" t="s">
        <v>6824</v>
      </c>
      <c r="G356" s="61"/>
      <c r="I356" s="78"/>
    </row>
    <row r="357" spans="1:9" ht="14.25" customHeight="1" x14ac:dyDescent="0.2">
      <c r="A357" s="65">
        <v>99120101242</v>
      </c>
      <c r="B357" s="65" t="s">
        <v>7803</v>
      </c>
      <c r="C357" s="65" t="s">
        <v>7804</v>
      </c>
      <c r="D357" s="66">
        <v>43452</v>
      </c>
      <c r="E357" s="76" t="s">
        <v>6809</v>
      </c>
      <c r="F357" s="79" t="s">
        <v>6814</v>
      </c>
      <c r="G357" s="61"/>
      <c r="I357" s="78"/>
    </row>
    <row r="358" spans="1:9" ht="14.25" customHeight="1" x14ac:dyDescent="0.2">
      <c r="A358" s="65" t="s">
        <v>7805</v>
      </c>
      <c r="B358" s="65" t="s">
        <v>7806</v>
      </c>
      <c r="C358" s="65" t="s">
        <v>7807</v>
      </c>
      <c r="D358" s="66">
        <v>43452</v>
      </c>
      <c r="E358" s="76" t="s">
        <v>6809</v>
      </c>
      <c r="F358" s="79" t="s">
        <v>6814</v>
      </c>
      <c r="G358" s="61"/>
      <c r="I358" s="78"/>
    </row>
    <row r="359" spans="1:9" ht="14.25" customHeight="1" x14ac:dyDescent="0.2">
      <c r="A359" s="65" t="s">
        <v>7808</v>
      </c>
      <c r="B359" s="65" t="s">
        <v>7809</v>
      </c>
      <c r="C359" s="65" t="s">
        <v>7810</v>
      </c>
      <c r="D359" s="66">
        <v>43446</v>
      </c>
      <c r="E359" s="76" t="s">
        <v>6809</v>
      </c>
      <c r="F359" s="79" t="s">
        <v>6824</v>
      </c>
      <c r="G359" s="61"/>
      <c r="I359" s="78"/>
    </row>
    <row r="360" spans="1:9" ht="14.25" customHeight="1" x14ac:dyDescent="0.2">
      <c r="A360" s="65" t="s">
        <v>7811</v>
      </c>
      <c r="B360" s="65" t="s">
        <v>7812</v>
      </c>
      <c r="C360" s="65" t="s">
        <v>7813</v>
      </c>
      <c r="D360" s="66">
        <v>43446</v>
      </c>
      <c r="E360" s="76" t="s">
        <v>6809</v>
      </c>
      <c r="F360" s="79" t="s">
        <v>6824</v>
      </c>
      <c r="G360" s="61"/>
      <c r="I360" s="78"/>
    </row>
    <row r="361" spans="1:9" ht="14.25" customHeight="1" x14ac:dyDescent="0.2">
      <c r="A361" s="65" t="s">
        <v>7814</v>
      </c>
      <c r="B361" s="65" t="s">
        <v>3733</v>
      </c>
      <c r="C361" s="65" t="s">
        <v>7815</v>
      </c>
      <c r="D361" s="66">
        <v>43446</v>
      </c>
      <c r="E361" s="76" t="s">
        <v>6809</v>
      </c>
      <c r="F361" s="79" t="s">
        <v>6814</v>
      </c>
      <c r="G361" s="61"/>
      <c r="I361" s="78"/>
    </row>
    <row r="362" spans="1:9" ht="14.25" customHeight="1" x14ac:dyDescent="0.2">
      <c r="A362" s="65" t="s">
        <v>7816</v>
      </c>
      <c r="B362" s="65" t="s">
        <v>7817</v>
      </c>
      <c r="C362" s="65" t="s">
        <v>7818</v>
      </c>
      <c r="D362" s="66">
        <v>43441</v>
      </c>
      <c r="E362" s="76" t="s">
        <v>6809</v>
      </c>
      <c r="F362" s="79" t="s">
        <v>6824</v>
      </c>
      <c r="G362" s="61"/>
      <c r="I362" s="78"/>
    </row>
    <row r="363" spans="1:9" ht="14.25" customHeight="1" x14ac:dyDescent="0.2">
      <c r="A363" s="65" t="s">
        <v>7819</v>
      </c>
      <c r="B363" s="65" t="s">
        <v>7820</v>
      </c>
      <c r="C363" s="65" t="s">
        <v>7821</v>
      </c>
      <c r="D363" s="66">
        <v>43441</v>
      </c>
      <c r="E363" s="76" t="s">
        <v>6809</v>
      </c>
      <c r="F363" s="79" t="s">
        <v>6824</v>
      </c>
      <c r="G363" s="61"/>
      <c r="I363" s="78"/>
    </row>
    <row r="364" spans="1:9" ht="14.25" customHeight="1" x14ac:dyDescent="0.2">
      <c r="A364" s="65" t="s">
        <v>7822</v>
      </c>
      <c r="B364" s="65" t="s">
        <v>7823</v>
      </c>
      <c r="C364" s="65" t="s">
        <v>7824</v>
      </c>
      <c r="D364" s="66">
        <v>43441</v>
      </c>
      <c r="E364" s="76" t="s">
        <v>6809</v>
      </c>
      <c r="F364" s="79" t="s">
        <v>6824</v>
      </c>
      <c r="G364" s="61"/>
      <c r="I364" s="78"/>
    </row>
    <row r="365" spans="1:9" ht="14.25" customHeight="1" x14ac:dyDescent="0.2">
      <c r="A365" s="65" t="s">
        <v>7825</v>
      </c>
      <c r="B365" s="65" t="s">
        <v>7826</v>
      </c>
      <c r="C365" s="65" t="s">
        <v>7827</v>
      </c>
      <c r="D365" s="66">
        <v>43441</v>
      </c>
      <c r="E365" s="76" t="s">
        <v>6809</v>
      </c>
      <c r="F365" s="79" t="s">
        <v>6824</v>
      </c>
      <c r="G365" s="61"/>
      <c r="I365" s="78"/>
    </row>
    <row r="366" spans="1:9" ht="14.25" customHeight="1" x14ac:dyDescent="0.2">
      <c r="A366" s="65" t="s">
        <v>7828</v>
      </c>
      <c r="B366" s="65" t="s">
        <v>7829</v>
      </c>
      <c r="C366" s="65" t="s">
        <v>7830</v>
      </c>
      <c r="D366" s="66">
        <v>43441</v>
      </c>
      <c r="E366" s="76" t="s">
        <v>6809</v>
      </c>
      <c r="F366" s="79" t="s">
        <v>6824</v>
      </c>
      <c r="G366" s="61"/>
      <c r="I366" s="78"/>
    </row>
    <row r="367" spans="1:9" ht="14.25" customHeight="1" x14ac:dyDescent="0.2">
      <c r="A367" s="65" t="s">
        <v>7831</v>
      </c>
      <c r="B367" s="65" t="s">
        <v>7832</v>
      </c>
      <c r="C367" s="65" t="s">
        <v>7833</v>
      </c>
      <c r="D367" s="66">
        <v>43441</v>
      </c>
      <c r="E367" s="76" t="s">
        <v>6809</v>
      </c>
      <c r="F367" s="79" t="s">
        <v>6824</v>
      </c>
      <c r="G367" s="61"/>
      <c r="I367" s="78"/>
    </row>
    <row r="368" spans="1:9" ht="14.25" customHeight="1" x14ac:dyDescent="0.2">
      <c r="A368" s="65" t="s">
        <v>7834</v>
      </c>
      <c r="B368" s="65" t="s">
        <v>7835</v>
      </c>
      <c r="C368" s="65" t="s">
        <v>7836</v>
      </c>
      <c r="D368" s="66">
        <v>43441</v>
      </c>
      <c r="E368" s="76" t="s">
        <v>6809</v>
      </c>
      <c r="F368" s="79" t="s">
        <v>6824</v>
      </c>
      <c r="G368" s="61"/>
      <c r="I368" s="78"/>
    </row>
    <row r="369" spans="1:9" ht="14.25" customHeight="1" x14ac:dyDescent="0.2">
      <c r="A369" s="65" t="s">
        <v>7208</v>
      </c>
      <c r="B369" s="65" t="s">
        <v>7209</v>
      </c>
      <c r="C369" s="65" t="s">
        <v>7837</v>
      </c>
      <c r="D369" s="66">
        <v>43441</v>
      </c>
      <c r="E369" s="76" t="s">
        <v>6809</v>
      </c>
      <c r="F369" s="79" t="s">
        <v>6824</v>
      </c>
      <c r="G369" s="61"/>
      <c r="I369" s="78"/>
    </row>
    <row r="370" spans="1:9" ht="14.25" customHeight="1" x14ac:dyDescent="0.2">
      <c r="A370" s="65" t="s">
        <v>7838</v>
      </c>
      <c r="B370" s="65" t="s">
        <v>7839</v>
      </c>
      <c r="C370" s="65" t="s">
        <v>7840</v>
      </c>
      <c r="D370" s="66">
        <v>43441</v>
      </c>
      <c r="E370" s="76" t="s">
        <v>6809</v>
      </c>
      <c r="F370" s="79" t="s">
        <v>6824</v>
      </c>
      <c r="G370" s="61"/>
      <c r="I370" s="78"/>
    </row>
    <row r="371" spans="1:9" ht="14.25" customHeight="1" x14ac:dyDescent="0.2">
      <c r="A371" s="65" t="s">
        <v>7841</v>
      </c>
      <c r="B371" s="65" t="s">
        <v>7842</v>
      </c>
      <c r="C371" s="65" t="s">
        <v>7843</v>
      </c>
      <c r="D371" s="66">
        <v>43441</v>
      </c>
      <c r="E371" s="76" t="s">
        <v>6809</v>
      </c>
      <c r="F371" s="79" t="s">
        <v>6824</v>
      </c>
      <c r="G371" s="61"/>
      <c r="I371" s="78"/>
    </row>
    <row r="372" spans="1:9" ht="14.25" customHeight="1" x14ac:dyDescent="0.2">
      <c r="A372" s="65" t="s">
        <v>7844</v>
      </c>
      <c r="B372" s="65" t="s">
        <v>7845</v>
      </c>
      <c r="C372" s="65" t="s">
        <v>7846</v>
      </c>
      <c r="D372" s="66">
        <v>43440</v>
      </c>
      <c r="E372" s="76" t="s">
        <v>6809</v>
      </c>
      <c r="F372" s="79" t="s">
        <v>6824</v>
      </c>
      <c r="G372" s="61"/>
      <c r="I372" s="78"/>
    </row>
    <row r="373" spans="1:9" ht="14.25" customHeight="1" x14ac:dyDescent="0.2">
      <c r="A373" s="65" t="s">
        <v>7847</v>
      </c>
      <c r="B373" s="65" t="s">
        <v>7848</v>
      </c>
      <c r="C373" s="65" t="s">
        <v>7849</v>
      </c>
      <c r="D373" s="66">
        <v>43437</v>
      </c>
      <c r="E373" s="76" t="s">
        <v>6809</v>
      </c>
      <c r="F373" s="79" t="s">
        <v>6810</v>
      </c>
      <c r="G373" s="61"/>
      <c r="I373" s="78"/>
    </row>
    <row r="374" spans="1:9" ht="14.25" customHeight="1" x14ac:dyDescent="0.2">
      <c r="A374" s="65" t="s">
        <v>7850</v>
      </c>
      <c r="B374" s="65" t="s">
        <v>7851</v>
      </c>
      <c r="C374" s="65" t="s">
        <v>7852</v>
      </c>
      <c r="D374" s="66">
        <v>43437</v>
      </c>
      <c r="E374" s="76" t="s">
        <v>6809</v>
      </c>
      <c r="F374" s="79" t="s">
        <v>6810</v>
      </c>
      <c r="G374" s="61"/>
      <c r="I374" s="78"/>
    </row>
    <row r="375" spans="1:9" ht="14.25" customHeight="1" x14ac:dyDescent="0.2">
      <c r="A375" s="65" t="s">
        <v>7853</v>
      </c>
      <c r="B375" s="65" t="s">
        <v>7854</v>
      </c>
      <c r="C375" s="65" t="s">
        <v>7855</v>
      </c>
      <c r="D375" s="66">
        <v>43433</v>
      </c>
      <c r="E375" s="76" t="s">
        <v>6809</v>
      </c>
      <c r="F375" s="79" t="s">
        <v>6824</v>
      </c>
      <c r="G375" s="61"/>
      <c r="I375" s="78"/>
    </row>
    <row r="376" spans="1:9" ht="14.25" customHeight="1" x14ac:dyDescent="0.2">
      <c r="A376" s="65" t="s">
        <v>7856</v>
      </c>
      <c r="B376" s="65" t="s">
        <v>811</v>
      </c>
      <c r="C376" s="65" t="s">
        <v>7857</v>
      </c>
      <c r="D376" s="66">
        <v>43424</v>
      </c>
      <c r="E376" s="76" t="s">
        <v>6809</v>
      </c>
      <c r="F376" s="79" t="s">
        <v>6814</v>
      </c>
      <c r="G376" s="61"/>
      <c r="I376" s="78"/>
    </row>
    <row r="377" spans="1:9" ht="14.25" customHeight="1" x14ac:dyDescent="0.2">
      <c r="A377" s="65" t="s">
        <v>7858</v>
      </c>
      <c r="B377" s="65" t="s">
        <v>7859</v>
      </c>
      <c r="C377" s="65" t="s">
        <v>7860</v>
      </c>
      <c r="D377" s="66">
        <v>43419</v>
      </c>
      <c r="E377" s="76" t="s">
        <v>6809</v>
      </c>
      <c r="F377" s="79" t="s">
        <v>6824</v>
      </c>
      <c r="G377" s="61"/>
      <c r="I377" s="78"/>
    </row>
    <row r="378" spans="1:9" ht="14.25" customHeight="1" x14ac:dyDescent="0.2">
      <c r="A378" s="65" t="s">
        <v>7861</v>
      </c>
      <c r="B378" s="65" t="s">
        <v>7862</v>
      </c>
      <c r="C378" s="65" t="s">
        <v>7863</v>
      </c>
      <c r="D378" s="66">
        <v>43419</v>
      </c>
      <c r="E378" s="76" t="s">
        <v>6809</v>
      </c>
      <c r="F378" s="79" t="s">
        <v>6824</v>
      </c>
      <c r="G378" s="61"/>
      <c r="I378" s="78"/>
    </row>
    <row r="379" spans="1:9" ht="14.25" customHeight="1" x14ac:dyDescent="0.2">
      <c r="A379" s="65" t="s">
        <v>7864</v>
      </c>
      <c r="B379" s="65" t="s">
        <v>7865</v>
      </c>
      <c r="C379" s="65" t="s">
        <v>7866</v>
      </c>
      <c r="D379" s="66">
        <v>43419</v>
      </c>
      <c r="E379" s="76" t="s">
        <v>6809</v>
      </c>
      <c r="F379" s="79" t="s">
        <v>6810</v>
      </c>
      <c r="G379" s="61"/>
      <c r="I379" s="78"/>
    </row>
    <row r="380" spans="1:9" ht="14.25" customHeight="1" x14ac:dyDescent="0.2">
      <c r="A380" s="65" t="s">
        <v>7867</v>
      </c>
      <c r="B380" s="65" t="s">
        <v>7868</v>
      </c>
      <c r="C380" s="65" t="s">
        <v>7869</v>
      </c>
      <c r="D380" s="66">
        <v>43418</v>
      </c>
      <c r="E380" s="76" t="s">
        <v>6809</v>
      </c>
      <c r="F380" s="79" t="s">
        <v>6814</v>
      </c>
      <c r="G380" s="61"/>
      <c r="I380" s="78"/>
    </row>
    <row r="381" spans="1:9" ht="14.25" customHeight="1" x14ac:dyDescent="0.2">
      <c r="A381" s="65" t="s">
        <v>7870</v>
      </c>
      <c r="B381" s="65" t="s">
        <v>954</v>
      </c>
      <c r="C381" s="65" t="s">
        <v>7871</v>
      </c>
      <c r="D381" s="66">
        <v>43417</v>
      </c>
      <c r="E381" s="76" t="s">
        <v>289</v>
      </c>
      <c r="F381" s="79" t="s">
        <v>7872</v>
      </c>
      <c r="G381" s="61"/>
      <c r="I381" s="78"/>
    </row>
    <row r="382" spans="1:9" ht="14.25" customHeight="1" x14ac:dyDescent="0.2">
      <c r="A382" s="65" t="s">
        <v>7873</v>
      </c>
      <c r="B382" s="65" t="s">
        <v>7874</v>
      </c>
      <c r="C382" s="65" t="s">
        <v>7875</v>
      </c>
      <c r="D382" s="66">
        <v>43416</v>
      </c>
      <c r="E382" s="76" t="s">
        <v>6809</v>
      </c>
      <c r="F382" s="79" t="s">
        <v>6810</v>
      </c>
      <c r="G382" s="61"/>
      <c r="I382" s="78"/>
    </row>
    <row r="383" spans="1:9" ht="14.25" customHeight="1" x14ac:dyDescent="0.2">
      <c r="A383" s="65" t="s">
        <v>7876</v>
      </c>
      <c r="B383" s="65" t="s">
        <v>7877</v>
      </c>
      <c r="C383" s="65" t="s">
        <v>7878</v>
      </c>
      <c r="D383" s="66">
        <v>43416</v>
      </c>
      <c r="E383" s="76" t="s">
        <v>6809</v>
      </c>
      <c r="F383" s="79" t="s">
        <v>6810</v>
      </c>
      <c r="G383" s="61"/>
      <c r="I383" s="78"/>
    </row>
    <row r="384" spans="1:9" ht="14.25" customHeight="1" x14ac:dyDescent="0.2">
      <c r="A384" s="65" t="s">
        <v>7879</v>
      </c>
      <c r="B384" s="65" t="s">
        <v>7880</v>
      </c>
      <c r="C384" s="65" t="s">
        <v>7881</v>
      </c>
      <c r="D384" s="66">
        <v>43416</v>
      </c>
      <c r="E384" s="76" t="s">
        <v>6809</v>
      </c>
      <c r="F384" s="79" t="s">
        <v>6810</v>
      </c>
      <c r="G384" s="61"/>
      <c r="I384" s="78"/>
    </row>
    <row r="385" spans="1:9" ht="14.25" customHeight="1" x14ac:dyDescent="0.2">
      <c r="A385" s="65" t="s">
        <v>7882</v>
      </c>
      <c r="B385" s="65" t="s">
        <v>7883</v>
      </c>
      <c r="C385" s="65" t="s">
        <v>7884</v>
      </c>
      <c r="D385" s="66">
        <v>43416</v>
      </c>
      <c r="E385" s="76" t="s">
        <v>6809</v>
      </c>
      <c r="F385" s="79" t="s">
        <v>6814</v>
      </c>
      <c r="G385" s="61"/>
      <c r="I385" s="78"/>
    </row>
    <row r="386" spans="1:9" ht="14.25" customHeight="1" x14ac:dyDescent="0.2">
      <c r="A386" s="65" t="s">
        <v>7492</v>
      </c>
      <c r="B386" s="65" t="s">
        <v>7493</v>
      </c>
      <c r="C386" s="65" t="s">
        <v>7494</v>
      </c>
      <c r="D386" s="66">
        <v>43416</v>
      </c>
      <c r="E386" s="76" t="s">
        <v>202</v>
      </c>
      <c r="F386" s="79" t="s">
        <v>6810</v>
      </c>
      <c r="G386" s="61"/>
      <c r="I386" s="78"/>
    </row>
    <row r="387" spans="1:9" ht="14.25" customHeight="1" x14ac:dyDescent="0.2">
      <c r="A387" s="65" t="s">
        <v>7885</v>
      </c>
      <c r="B387" s="65" t="s">
        <v>7886</v>
      </c>
      <c r="C387" s="65" t="s">
        <v>7887</v>
      </c>
      <c r="D387" s="66">
        <v>43416</v>
      </c>
      <c r="E387" s="76" t="s">
        <v>6809</v>
      </c>
      <c r="F387" s="79" t="s">
        <v>6810</v>
      </c>
      <c r="G387" s="61"/>
      <c r="I387" s="78"/>
    </row>
    <row r="388" spans="1:9" ht="14.25" customHeight="1" x14ac:dyDescent="0.2">
      <c r="A388" s="65" t="s">
        <v>7888</v>
      </c>
      <c r="B388" s="65" t="s">
        <v>7889</v>
      </c>
      <c r="C388" s="65" t="s">
        <v>7890</v>
      </c>
      <c r="D388" s="66">
        <v>43412</v>
      </c>
      <c r="E388" s="76" t="s">
        <v>6809</v>
      </c>
      <c r="F388" s="79" t="s">
        <v>6810</v>
      </c>
      <c r="G388" s="61"/>
      <c r="I388" s="78"/>
    </row>
    <row r="389" spans="1:9" ht="14.25" customHeight="1" x14ac:dyDescent="0.2">
      <c r="A389" s="65" t="s">
        <v>7891</v>
      </c>
      <c r="B389" s="65" t="s">
        <v>7892</v>
      </c>
      <c r="C389" s="65" t="s">
        <v>7893</v>
      </c>
      <c r="D389" s="66">
        <v>43405</v>
      </c>
      <c r="E389" s="76" t="s">
        <v>6809</v>
      </c>
      <c r="F389" s="79" t="s">
        <v>6824</v>
      </c>
      <c r="G389" s="61"/>
      <c r="I389" s="78"/>
    </row>
    <row r="390" spans="1:9" ht="14.25" customHeight="1" x14ac:dyDescent="0.2">
      <c r="A390" s="65" t="s">
        <v>7894</v>
      </c>
      <c r="B390" s="65" t="s">
        <v>7895</v>
      </c>
      <c r="C390" s="65" t="s">
        <v>7896</v>
      </c>
      <c r="D390" s="66">
        <v>43403</v>
      </c>
      <c r="E390" s="76" t="s">
        <v>289</v>
      </c>
      <c r="F390" s="79" t="s">
        <v>7897</v>
      </c>
      <c r="G390" s="61"/>
      <c r="I390" s="78"/>
    </row>
    <row r="391" spans="1:9" ht="14.25" customHeight="1" x14ac:dyDescent="0.2">
      <c r="A391" s="65" t="s">
        <v>7898</v>
      </c>
      <c r="B391" s="65" t="s">
        <v>5761</v>
      </c>
      <c r="C391" s="65" t="s">
        <v>7899</v>
      </c>
      <c r="D391" s="66">
        <v>43398</v>
      </c>
      <c r="E391" s="76" t="s">
        <v>1037</v>
      </c>
      <c r="F391" s="79" t="s">
        <v>7900</v>
      </c>
      <c r="G391" s="61"/>
      <c r="I391" s="78"/>
    </row>
    <row r="392" spans="1:9" ht="14.25" customHeight="1" x14ac:dyDescent="0.2">
      <c r="A392" s="65" t="s">
        <v>7901</v>
      </c>
      <c r="B392" s="65" t="s">
        <v>5408</v>
      </c>
      <c r="C392" s="65" t="s">
        <v>7902</v>
      </c>
      <c r="D392" s="66">
        <v>43397</v>
      </c>
      <c r="E392" s="76" t="s">
        <v>1037</v>
      </c>
      <c r="F392" s="79" t="s">
        <v>7903</v>
      </c>
      <c r="G392" s="61"/>
      <c r="I392" s="78"/>
    </row>
    <row r="393" spans="1:9" ht="14.25" customHeight="1" x14ac:dyDescent="0.2">
      <c r="A393" s="65" t="s">
        <v>7904</v>
      </c>
      <c r="B393" s="65" t="s">
        <v>5773</v>
      </c>
      <c r="C393" s="65" t="s">
        <v>7905</v>
      </c>
      <c r="D393" s="66">
        <v>43397</v>
      </c>
      <c r="E393" s="76" t="s">
        <v>1037</v>
      </c>
      <c r="F393" s="79" t="s">
        <v>7906</v>
      </c>
      <c r="G393" s="61"/>
      <c r="I393" s="78"/>
    </row>
    <row r="394" spans="1:9" ht="14.25" customHeight="1" x14ac:dyDescent="0.2">
      <c r="A394" s="65" t="s">
        <v>7907</v>
      </c>
      <c r="B394" s="65" t="s">
        <v>334</v>
      </c>
      <c r="C394" s="65" t="s">
        <v>7908</v>
      </c>
      <c r="D394" s="66">
        <v>43391</v>
      </c>
      <c r="E394" s="76" t="s">
        <v>6809</v>
      </c>
      <c r="F394" s="79" t="s">
        <v>7909</v>
      </c>
      <c r="G394" s="61"/>
      <c r="I394" s="78"/>
    </row>
    <row r="395" spans="1:9" ht="14.25" customHeight="1" x14ac:dyDescent="0.2">
      <c r="A395" s="65" t="s">
        <v>7910</v>
      </c>
      <c r="B395" s="65" t="s">
        <v>1679</v>
      </c>
      <c r="C395" s="65" t="s">
        <v>7911</v>
      </c>
      <c r="D395" s="66">
        <v>43391</v>
      </c>
      <c r="E395" s="76" t="s">
        <v>289</v>
      </c>
      <c r="F395" s="79" t="s">
        <v>7912</v>
      </c>
      <c r="G395" s="61"/>
      <c r="I395" s="78"/>
    </row>
    <row r="396" spans="1:9" ht="14.25" customHeight="1" x14ac:dyDescent="0.2">
      <c r="A396" s="65" t="s">
        <v>7913</v>
      </c>
      <c r="B396" s="65" t="s">
        <v>294</v>
      </c>
      <c r="C396" s="65" t="s">
        <v>7914</v>
      </c>
      <c r="D396" s="66">
        <v>43391</v>
      </c>
      <c r="E396" s="76" t="s">
        <v>7915</v>
      </c>
      <c r="F396" s="79" t="s">
        <v>7916</v>
      </c>
      <c r="G396" s="61"/>
      <c r="I396" s="78"/>
    </row>
    <row r="397" spans="1:9" ht="14.25" customHeight="1" x14ac:dyDescent="0.2">
      <c r="A397" s="65" t="s">
        <v>7917</v>
      </c>
      <c r="B397" s="65" t="s">
        <v>298</v>
      </c>
      <c r="C397" s="65" t="s">
        <v>7918</v>
      </c>
      <c r="D397" s="66">
        <v>43391</v>
      </c>
      <c r="E397" s="76" t="s">
        <v>289</v>
      </c>
      <c r="F397" s="79" t="s">
        <v>7919</v>
      </c>
      <c r="G397" s="61"/>
      <c r="I397" s="78"/>
    </row>
    <row r="398" spans="1:9" ht="14.25" customHeight="1" x14ac:dyDescent="0.2">
      <c r="A398" s="65" t="s">
        <v>7920</v>
      </c>
      <c r="B398" s="65" t="s">
        <v>314</v>
      </c>
      <c r="C398" s="65" t="s">
        <v>7921</v>
      </c>
      <c r="D398" s="66">
        <v>43391</v>
      </c>
      <c r="E398" s="76" t="s">
        <v>7922</v>
      </c>
      <c r="F398" s="79" t="s">
        <v>7923</v>
      </c>
      <c r="G398" s="61"/>
      <c r="I398" s="78"/>
    </row>
    <row r="399" spans="1:9" ht="14.25" customHeight="1" x14ac:dyDescent="0.2">
      <c r="A399" s="65" t="s">
        <v>7924</v>
      </c>
      <c r="B399" s="65" t="s">
        <v>290</v>
      </c>
      <c r="C399" s="65" t="s">
        <v>7925</v>
      </c>
      <c r="D399" s="66">
        <v>43391</v>
      </c>
      <c r="E399" s="76" t="s">
        <v>289</v>
      </c>
      <c r="F399" s="79" t="s">
        <v>7926</v>
      </c>
      <c r="G399" s="61"/>
      <c r="I399" s="78"/>
    </row>
    <row r="400" spans="1:9" ht="14.25" customHeight="1" x14ac:dyDescent="0.2">
      <c r="A400" s="65" t="s">
        <v>7927</v>
      </c>
      <c r="B400" s="65" t="s">
        <v>1671</v>
      </c>
      <c r="C400" s="65" t="s">
        <v>7928</v>
      </c>
      <c r="D400" s="66">
        <v>43391</v>
      </c>
      <c r="E400" s="76" t="s">
        <v>7915</v>
      </c>
      <c r="F400" s="79" t="s">
        <v>7929</v>
      </c>
      <c r="G400" s="61"/>
      <c r="I400" s="78"/>
    </row>
    <row r="401" spans="1:9" ht="14.25" customHeight="1" x14ac:dyDescent="0.2">
      <c r="A401" s="65" t="s">
        <v>7930</v>
      </c>
      <c r="B401" s="65" t="s">
        <v>322</v>
      </c>
      <c r="C401" s="65" t="s">
        <v>7931</v>
      </c>
      <c r="D401" s="66">
        <v>43391</v>
      </c>
      <c r="E401" s="76" t="s">
        <v>7915</v>
      </c>
      <c r="F401" s="79" t="s">
        <v>7932</v>
      </c>
      <c r="G401" s="61"/>
      <c r="I401" s="78"/>
    </row>
    <row r="402" spans="1:9" ht="14.25" customHeight="1" x14ac:dyDescent="0.2">
      <c r="A402" s="65" t="s">
        <v>7933</v>
      </c>
      <c r="B402" s="65" t="s">
        <v>4630</v>
      </c>
      <c r="C402" s="65" t="s">
        <v>7934</v>
      </c>
      <c r="D402" s="66">
        <v>43390</v>
      </c>
      <c r="E402" s="76" t="s">
        <v>6809</v>
      </c>
      <c r="F402" s="79" t="s">
        <v>6814</v>
      </c>
      <c r="G402" s="61"/>
      <c r="I402" s="78"/>
    </row>
    <row r="403" spans="1:9" ht="14.25" customHeight="1" x14ac:dyDescent="0.2">
      <c r="A403" s="65" t="s">
        <v>7935</v>
      </c>
      <c r="B403" s="65" t="s">
        <v>7936</v>
      </c>
      <c r="C403" s="65" t="s">
        <v>7937</v>
      </c>
      <c r="D403" s="66">
        <v>43390</v>
      </c>
      <c r="E403" s="76" t="s">
        <v>6809</v>
      </c>
      <c r="F403" s="79" t="s">
        <v>6810</v>
      </c>
      <c r="G403" s="61"/>
      <c r="I403" s="78"/>
    </row>
    <row r="404" spans="1:9" ht="14.25" customHeight="1" x14ac:dyDescent="0.2">
      <c r="A404" s="65" t="s">
        <v>7938</v>
      </c>
      <c r="B404" s="65" t="s">
        <v>7939</v>
      </c>
      <c r="C404" s="65" t="s">
        <v>7940</v>
      </c>
      <c r="D404" s="66">
        <v>43388</v>
      </c>
      <c r="E404" s="76" t="s">
        <v>6809</v>
      </c>
      <c r="F404" s="79" t="s">
        <v>6810</v>
      </c>
      <c r="G404" s="61"/>
      <c r="I404" s="78"/>
    </row>
    <row r="405" spans="1:9" ht="14.25" customHeight="1" x14ac:dyDescent="0.2">
      <c r="A405" s="65" t="s">
        <v>7941</v>
      </c>
      <c r="B405" s="65" t="s">
        <v>7942</v>
      </c>
      <c r="C405" s="65" t="s">
        <v>7943</v>
      </c>
      <c r="D405" s="66">
        <v>43385</v>
      </c>
      <c r="E405" s="76" t="s">
        <v>6809</v>
      </c>
      <c r="F405" s="79" t="s">
        <v>6810</v>
      </c>
      <c r="G405" s="61"/>
      <c r="I405" s="78"/>
    </row>
    <row r="406" spans="1:9" ht="14.25" customHeight="1" x14ac:dyDescent="0.2">
      <c r="A406" s="65" t="s">
        <v>7944</v>
      </c>
      <c r="B406" s="65" t="s">
        <v>7945</v>
      </c>
      <c r="C406" s="65" t="s">
        <v>7946</v>
      </c>
      <c r="D406" s="66">
        <v>43385</v>
      </c>
      <c r="E406" s="76" t="s">
        <v>7465</v>
      </c>
      <c r="F406" s="79" t="s">
        <v>6824</v>
      </c>
      <c r="G406" s="61"/>
      <c r="I406" s="78"/>
    </row>
    <row r="407" spans="1:9" ht="14.25" customHeight="1" x14ac:dyDescent="0.2">
      <c r="A407" s="65" t="s">
        <v>7947</v>
      </c>
      <c r="B407" s="65" t="s">
        <v>7948</v>
      </c>
      <c r="C407" s="65" t="s">
        <v>7949</v>
      </c>
      <c r="D407" s="66">
        <v>43385</v>
      </c>
      <c r="E407" s="76" t="s">
        <v>7465</v>
      </c>
      <c r="F407" s="79" t="s">
        <v>6824</v>
      </c>
      <c r="G407" s="61"/>
      <c r="I407" s="78"/>
    </row>
    <row r="408" spans="1:9" ht="14.25" customHeight="1" x14ac:dyDescent="0.2">
      <c r="A408" s="65" t="s">
        <v>7950</v>
      </c>
      <c r="B408" s="65" t="s">
        <v>7951</v>
      </c>
      <c r="C408" s="65" t="s">
        <v>7952</v>
      </c>
      <c r="D408" s="66">
        <v>43385</v>
      </c>
      <c r="E408" s="76" t="s">
        <v>6809</v>
      </c>
      <c r="F408" s="79" t="s">
        <v>6814</v>
      </c>
      <c r="G408" s="61"/>
      <c r="I408" s="78"/>
    </row>
    <row r="409" spans="1:9" ht="14.25" customHeight="1" x14ac:dyDescent="0.2">
      <c r="A409" s="65" t="s">
        <v>7953</v>
      </c>
      <c r="B409" s="65" t="s">
        <v>7954</v>
      </c>
      <c r="C409" s="65" t="s">
        <v>7955</v>
      </c>
      <c r="D409" s="66">
        <v>43385</v>
      </c>
      <c r="E409" s="76" t="s">
        <v>6809</v>
      </c>
      <c r="F409" s="79" t="s">
        <v>6814</v>
      </c>
      <c r="G409" s="61"/>
      <c r="I409" s="78"/>
    </row>
    <row r="410" spans="1:9" ht="14.25" customHeight="1" x14ac:dyDescent="0.2">
      <c r="A410" s="65" t="s">
        <v>7956</v>
      </c>
      <c r="B410" s="65" t="s">
        <v>7957</v>
      </c>
      <c r="C410" s="65" t="s">
        <v>7958</v>
      </c>
      <c r="D410" s="66">
        <v>43385</v>
      </c>
      <c r="E410" s="76" t="s">
        <v>6809</v>
      </c>
      <c r="F410" s="79" t="s">
        <v>6814</v>
      </c>
      <c r="G410" s="61"/>
      <c r="I410" s="78"/>
    </row>
    <row r="411" spans="1:9" ht="14.25" customHeight="1" x14ac:dyDescent="0.2">
      <c r="A411" s="65" t="s">
        <v>7959</v>
      </c>
      <c r="B411" s="65" t="s">
        <v>7960</v>
      </c>
      <c r="C411" s="65" t="s">
        <v>7961</v>
      </c>
      <c r="D411" s="66">
        <v>43385</v>
      </c>
      <c r="E411" s="76" t="s">
        <v>6809</v>
      </c>
      <c r="F411" s="79" t="s">
        <v>6814</v>
      </c>
      <c r="G411" s="61"/>
      <c r="I411" s="78"/>
    </row>
    <row r="412" spans="1:9" ht="14.25" customHeight="1" x14ac:dyDescent="0.2">
      <c r="A412" s="65" t="s">
        <v>7962</v>
      </c>
      <c r="B412" s="65" t="s">
        <v>7963</v>
      </c>
      <c r="C412" s="65" t="s">
        <v>7964</v>
      </c>
      <c r="D412" s="66">
        <v>43385</v>
      </c>
      <c r="E412" s="76" t="s">
        <v>6809</v>
      </c>
      <c r="F412" s="79" t="s">
        <v>6814</v>
      </c>
      <c r="G412" s="61"/>
      <c r="I412" s="78"/>
    </row>
    <row r="413" spans="1:9" ht="14.25" customHeight="1" x14ac:dyDescent="0.2">
      <c r="A413" s="65" t="s">
        <v>7965</v>
      </c>
      <c r="B413" s="65" t="s">
        <v>7966</v>
      </c>
      <c r="C413" s="65" t="s">
        <v>7967</v>
      </c>
      <c r="D413" s="66">
        <v>43385</v>
      </c>
      <c r="E413" s="76" t="s">
        <v>6809</v>
      </c>
      <c r="F413" s="79" t="s">
        <v>6814</v>
      </c>
      <c r="G413" s="61"/>
      <c r="I413" s="78"/>
    </row>
    <row r="414" spans="1:9" ht="14.25" customHeight="1" x14ac:dyDescent="0.2">
      <c r="A414" s="65" t="s">
        <v>7968</v>
      </c>
      <c r="B414" s="65" t="s">
        <v>7969</v>
      </c>
      <c r="C414" s="65" t="s">
        <v>7970</v>
      </c>
      <c r="D414" s="66">
        <v>43385</v>
      </c>
      <c r="E414" s="76" t="s">
        <v>6809</v>
      </c>
      <c r="F414" s="79" t="s">
        <v>6814</v>
      </c>
      <c r="G414" s="61"/>
      <c r="I414" s="78"/>
    </row>
    <row r="415" spans="1:9" ht="14.25" customHeight="1" x14ac:dyDescent="0.2">
      <c r="A415" s="65" t="s">
        <v>7971</v>
      </c>
      <c r="B415" s="65" t="s">
        <v>7972</v>
      </c>
      <c r="C415" s="65" t="s">
        <v>7973</v>
      </c>
      <c r="D415" s="66">
        <v>43385</v>
      </c>
      <c r="E415" s="76" t="s">
        <v>6809</v>
      </c>
      <c r="F415" s="79" t="s">
        <v>6814</v>
      </c>
      <c r="G415" s="61"/>
      <c r="I415" s="78"/>
    </row>
    <row r="416" spans="1:9" ht="14.25" customHeight="1" x14ac:dyDescent="0.2">
      <c r="A416" s="65" t="s">
        <v>7974</v>
      </c>
      <c r="B416" s="65" t="s">
        <v>7975</v>
      </c>
      <c r="C416" s="65" t="s">
        <v>7976</v>
      </c>
      <c r="D416" s="66">
        <v>43385</v>
      </c>
      <c r="E416" s="76" t="s">
        <v>6809</v>
      </c>
      <c r="F416" s="79" t="s">
        <v>6814</v>
      </c>
      <c r="G416" s="61"/>
      <c r="I416" s="78"/>
    </row>
    <row r="417" spans="1:9" ht="14.25" customHeight="1" x14ac:dyDescent="0.2">
      <c r="A417" s="65" t="s">
        <v>7977</v>
      </c>
      <c r="B417" s="65" t="s">
        <v>7978</v>
      </c>
      <c r="C417" s="65" t="s">
        <v>7979</v>
      </c>
      <c r="D417" s="66">
        <v>43385</v>
      </c>
      <c r="E417" s="76" t="s">
        <v>6809</v>
      </c>
      <c r="F417" s="79" t="s">
        <v>6814</v>
      </c>
      <c r="G417" s="61"/>
      <c r="I417" s="78"/>
    </row>
    <row r="418" spans="1:9" ht="14.25" customHeight="1" x14ac:dyDescent="0.2">
      <c r="A418" s="65" t="s">
        <v>7980</v>
      </c>
      <c r="B418" s="65" t="s">
        <v>7981</v>
      </c>
      <c r="C418" s="65" t="s">
        <v>7982</v>
      </c>
      <c r="D418" s="66">
        <v>43385</v>
      </c>
      <c r="E418" s="76" t="s">
        <v>6809</v>
      </c>
      <c r="F418" s="79" t="s">
        <v>6814</v>
      </c>
      <c r="G418" s="61"/>
      <c r="I418" s="78"/>
    </row>
    <row r="419" spans="1:9" ht="14.25" customHeight="1" x14ac:dyDescent="0.2">
      <c r="A419" s="65" t="s">
        <v>7983</v>
      </c>
      <c r="B419" s="65" t="s">
        <v>7984</v>
      </c>
      <c r="C419" s="65" t="s">
        <v>7985</v>
      </c>
      <c r="D419" s="66">
        <v>43385</v>
      </c>
      <c r="E419" s="76" t="s">
        <v>6809</v>
      </c>
      <c r="F419" s="79" t="s">
        <v>6814</v>
      </c>
      <c r="G419" s="61"/>
      <c r="I419" s="78"/>
    </row>
    <row r="420" spans="1:9" ht="14.25" customHeight="1" x14ac:dyDescent="0.2">
      <c r="A420" s="65" t="s">
        <v>7986</v>
      </c>
      <c r="B420" s="65" t="s">
        <v>7987</v>
      </c>
      <c r="C420" s="65" t="s">
        <v>7988</v>
      </c>
      <c r="D420" s="66">
        <v>43385</v>
      </c>
      <c r="E420" s="76" t="s">
        <v>6809</v>
      </c>
      <c r="F420" s="79" t="s">
        <v>6814</v>
      </c>
      <c r="G420" s="61"/>
      <c r="I420" s="78"/>
    </row>
    <row r="421" spans="1:9" ht="14.25" customHeight="1" x14ac:dyDescent="0.2">
      <c r="A421" s="65" t="s">
        <v>7989</v>
      </c>
      <c r="B421" s="65" t="s">
        <v>7990</v>
      </c>
      <c r="C421" s="65" t="s">
        <v>7991</v>
      </c>
      <c r="D421" s="66">
        <v>43385</v>
      </c>
      <c r="E421" s="76" t="s">
        <v>6809</v>
      </c>
      <c r="F421" s="79" t="s">
        <v>6814</v>
      </c>
      <c r="G421" s="61"/>
      <c r="I421" s="78"/>
    </row>
    <row r="422" spans="1:9" ht="14.25" customHeight="1" x14ac:dyDescent="0.2">
      <c r="A422" s="65" t="s">
        <v>7992</v>
      </c>
      <c r="B422" s="65" t="s">
        <v>7993</v>
      </c>
      <c r="C422" s="65" t="s">
        <v>7994</v>
      </c>
      <c r="D422" s="66">
        <v>43385</v>
      </c>
      <c r="E422" s="76" t="s">
        <v>6809</v>
      </c>
      <c r="F422" s="79" t="s">
        <v>6814</v>
      </c>
      <c r="G422" s="61"/>
      <c r="I422" s="78"/>
    </row>
    <row r="423" spans="1:9" ht="14.25" customHeight="1" x14ac:dyDescent="0.2">
      <c r="A423" s="65" t="s">
        <v>7995</v>
      </c>
      <c r="B423" s="65" t="s">
        <v>7996</v>
      </c>
      <c r="C423" s="65" t="s">
        <v>7997</v>
      </c>
      <c r="D423" s="66">
        <v>43385</v>
      </c>
      <c r="E423" s="76" t="s">
        <v>6809</v>
      </c>
      <c r="F423" s="79" t="s">
        <v>6814</v>
      </c>
      <c r="G423" s="61"/>
      <c r="I423" s="78"/>
    </row>
    <row r="424" spans="1:9" ht="14.25" customHeight="1" x14ac:dyDescent="0.2">
      <c r="A424" s="65" t="s">
        <v>7998</v>
      </c>
      <c r="B424" s="65" t="s">
        <v>7999</v>
      </c>
      <c r="C424" s="65" t="s">
        <v>8000</v>
      </c>
      <c r="D424" s="66">
        <v>43385</v>
      </c>
      <c r="E424" s="76" t="s">
        <v>6809</v>
      </c>
      <c r="F424" s="79" t="s">
        <v>6814</v>
      </c>
      <c r="G424" s="61"/>
      <c r="I424" s="78"/>
    </row>
    <row r="425" spans="1:9" ht="14.25" customHeight="1" x14ac:dyDescent="0.2">
      <c r="A425" s="65" t="s">
        <v>8001</v>
      </c>
      <c r="B425" s="65" t="s">
        <v>8002</v>
      </c>
      <c r="C425" s="65" t="s">
        <v>8003</v>
      </c>
      <c r="D425" s="66">
        <v>43385</v>
      </c>
      <c r="E425" s="76" t="s">
        <v>6809</v>
      </c>
      <c r="F425" s="79" t="s">
        <v>6814</v>
      </c>
      <c r="G425" s="61"/>
      <c r="I425" s="78"/>
    </row>
    <row r="426" spans="1:9" ht="14.25" customHeight="1" x14ac:dyDescent="0.2">
      <c r="A426" s="65" t="s">
        <v>8004</v>
      </c>
      <c r="B426" s="65" t="s">
        <v>8005</v>
      </c>
      <c r="C426" s="65" t="s">
        <v>8006</v>
      </c>
      <c r="D426" s="66">
        <v>43385</v>
      </c>
      <c r="E426" s="76" t="s">
        <v>6809</v>
      </c>
      <c r="F426" s="79" t="s">
        <v>6814</v>
      </c>
      <c r="G426" s="61"/>
      <c r="I426" s="78"/>
    </row>
    <row r="427" spans="1:9" ht="14.25" customHeight="1" x14ac:dyDescent="0.2">
      <c r="A427" s="65" t="s">
        <v>8007</v>
      </c>
      <c r="B427" s="65" t="s">
        <v>8008</v>
      </c>
      <c r="C427" s="65" t="s">
        <v>8009</v>
      </c>
      <c r="D427" s="66">
        <v>43385</v>
      </c>
      <c r="E427" s="76" t="s">
        <v>6809</v>
      </c>
      <c r="F427" s="79" t="s">
        <v>6814</v>
      </c>
      <c r="G427" s="61"/>
      <c r="I427" s="78"/>
    </row>
    <row r="428" spans="1:9" ht="14.25" customHeight="1" x14ac:dyDescent="0.2">
      <c r="A428" s="65" t="s">
        <v>8010</v>
      </c>
      <c r="B428" s="65" t="s">
        <v>8011</v>
      </c>
      <c r="C428" s="65" t="s">
        <v>8012</v>
      </c>
      <c r="D428" s="66">
        <v>43385</v>
      </c>
      <c r="E428" s="76" t="s">
        <v>6809</v>
      </c>
      <c r="F428" s="79" t="s">
        <v>6814</v>
      </c>
      <c r="G428" s="61"/>
      <c r="I428" s="78"/>
    </row>
    <row r="429" spans="1:9" ht="14.25" customHeight="1" x14ac:dyDescent="0.2">
      <c r="A429" s="65" t="s">
        <v>8013</v>
      </c>
      <c r="B429" s="65" t="s">
        <v>8014</v>
      </c>
      <c r="C429" s="65" t="s">
        <v>8015</v>
      </c>
      <c r="D429" s="66">
        <v>43385</v>
      </c>
      <c r="E429" s="76" t="s">
        <v>6809</v>
      </c>
      <c r="F429" s="79" t="s">
        <v>6814</v>
      </c>
      <c r="G429" s="61"/>
      <c r="I429" s="78"/>
    </row>
    <row r="430" spans="1:9" ht="14.25" customHeight="1" x14ac:dyDescent="0.2">
      <c r="A430" s="65" t="s">
        <v>8016</v>
      </c>
      <c r="B430" s="65" t="s">
        <v>8017</v>
      </c>
      <c r="C430" s="65" t="s">
        <v>8018</v>
      </c>
      <c r="D430" s="66">
        <v>43385</v>
      </c>
      <c r="E430" s="76" t="s">
        <v>6809</v>
      </c>
      <c r="F430" s="79" t="s">
        <v>6814</v>
      </c>
      <c r="G430" s="61"/>
      <c r="I430" s="78"/>
    </row>
    <row r="431" spans="1:9" ht="14.25" customHeight="1" x14ac:dyDescent="0.2">
      <c r="A431" s="65" t="s">
        <v>8019</v>
      </c>
      <c r="B431" s="65" t="s">
        <v>8020</v>
      </c>
      <c r="C431" s="65" t="s">
        <v>8021</v>
      </c>
      <c r="D431" s="66">
        <v>43385</v>
      </c>
      <c r="E431" s="76" t="s">
        <v>6809</v>
      </c>
      <c r="F431" s="79" t="s">
        <v>6814</v>
      </c>
      <c r="G431" s="61"/>
      <c r="I431" s="78"/>
    </row>
    <row r="432" spans="1:9" ht="14.25" customHeight="1" x14ac:dyDescent="0.2">
      <c r="A432" s="65" t="s">
        <v>8022</v>
      </c>
      <c r="B432" s="65" t="s">
        <v>8023</v>
      </c>
      <c r="C432" s="65" t="s">
        <v>8024</v>
      </c>
      <c r="D432" s="66">
        <v>43385</v>
      </c>
      <c r="E432" s="76" t="s">
        <v>6809</v>
      </c>
      <c r="F432" s="79" t="s">
        <v>6824</v>
      </c>
      <c r="G432" s="61"/>
      <c r="I432" s="78"/>
    </row>
    <row r="433" spans="1:9" ht="14.25" customHeight="1" x14ac:dyDescent="0.2">
      <c r="A433" s="65" t="s">
        <v>8025</v>
      </c>
      <c r="B433" s="65" t="s">
        <v>8026</v>
      </c>
      <c r="C433" s="65" t="s">
        <v>8027</v>
      </c>
      <c r="D433" s="66">
        <v>43385</v>
      </c>
      <c r="E433" s="76" t="s">
        <v>6809</v>
      </c>
      <c r="F433" s="79" t="s">
        <v>6824</v>
      </c>
      <c r="G433" s="61"/>
      <c r="I433" s="78"/>
    </row>
    <row r="434" spans="1:9" ht="14.25" customHeight="1" x14ac:dyDescent="0.2">
      <c r="A434" s="65" t="s">
        <v>8028</v>
      </c>
      <c r="B434" s="65" t="s">
        <v>8029</v>
      </c>
      <c r="C434" s="65" t="s">
        <v>8030</v>
      </c>
      <c r="D434" s="66">
        <v>43385</v>
      </c>
      <c r="E434" s="76" t="s">
        <v>6809</v>
      </c>
      <c r="F434" s="79" t="s">
        <v>6810</v>
      </c>
      <c r="G434" s="61"/>
      <c r="I434" s="78"/>
    </row>
    <row r="435" spans="1:9" ht="14.25" customHeight="1" x14ac:dyDescent="0.2">
      <c r="A435" s="65" t="s">
        <v>8031</v>
      </c>
      <c r="B435" s="65" t="s">
        <v>8032</v>
      </c>
      <c r="C435" s="65" t="s">
        <v>8033</v>
      </c>
      <c r="D435" s="66">
        <v>43385</v>
      </c>
      <c r="E435" s="76" t="s">
        <v>6809</v>
      </c>
      <c r="F435" s="79" t="s">
        <v>6824</v>
      </c>
      <c r="G435" s="61"/>
      <c r="I435" s="78"/>
    </row>
    <row r="436" spans="1:9" ht="14.25" customHeight="1" x14ac:dyDescent="0.2">
      <c r="A436" s="65" t="s">
        <v>8034</v>
      </c>
      <c r="B436" s="65" t="s">
        <v>8035</v>
      </c>
      <c r="C436" s="65" t="s">
        <v>8036</v>
      </c>
      <c r="D436" s="66">
        <v>43385</v>
      </c>
      <c r="E436" s="76" t="s">
        <v>6809</v>
      </c>
      <c r="F436" s="79" t="s">
        <v>6814</v>
      </c>
      <c r="G436" s="61"/>
      <c r="I436" s="78"/>
    </row>
    <row r="437" spans="1:9" ht="14.25" customHeight="1" x14ac:dyDescent="0.2">
      <c r="A437" s="65" t="s">
        <v>8037</v>
      </c>
      <c r="B437" s="65" t="s">
        <v>8038</v>
      </c>
      <c r="C437" s="65" t="s">
        <v>8039</v>
      </c>
      <c r="D437" s="66">
        <v>43385</v>
      </c>
      <c r="E437" s="76" t="s">
        <v>6809</v>
      </c>
      <c r="F437" s="79" t="s">
        <v>6814</v>
      </c>
      <c r="G437" s="61"/>
      <c r="I437" s="78"/>
    </row>
    <row r="438" spans="1:9" ht="14.25" customHeight="1" x14ac:dyDescent="0.2">
      <c r="A438" s="65" t="s">
        <v>8040</v>
      </c>
      <c r="B438" s="65" t="s">
        <v>8041</v>
      </c>
      <c r="C438" s="65" t="s">
        <v>8042</v>
      </c>
      <c r="D438" s="66">
        <v>43385</v>
      </c>
      <c r="E438" s="76" t="s">
        <v>6809</v>
      </c>
      <c r="F438" s="79" t="s">
        <v>6814</v>
      </c>
      <c r="G438" s="61"/>
      <c r="I438" s="78"/>
    </row>
    <row r="439" spans="1:9" ht="14.25" customHeight="1" x14ac:dyDescent="0.2">
      <c r="A439" s="65" t="s">
        <v>8043</v>
      </c>
      <c r="B439" s="65" t="s">
        <v>8044</v>
      </c>
      <c r="C439" s="65" t="s">
        <v>8045</v>
      </c>
      <c r="D439" s="66">
        <v>43385</v>
      </c>
      <c r="E439" s="76" t="s">
        <v>6809</v>
      </c>
      <c r="F439" s="79" t="s">
        <v>6814</v>
      </c>
      <c r="G439" s="61"/>
      <c r="I439" s="78"/>
    </row>
    <row r="440" spans="1:9" ht="14.25" customHeight="1" x14ac:dyDescent="0.2">
      <c r="A440" s="65" t="s">
        <v>8046</v>
      </c>
      <c r="B440" s="65" t="s">
        <v>8047</v>
      </c>
      <c r="C440" s="65" t="s">
        <v>8048</v>
      </c>
      <c r="D440" s="66">
        <v>43385</v>
      </c>
      <c r="E440" s="76" t="s">
        <v>6809</v>
      </c>
      <c r="F440" s="79" t="s">
        <v>6814</v>
      </c>
      <c r="G440" s="61"/>
      <c r="I440" s="78"/>
    </row>
    <row r="441" spans="1:9" ht="14.25" customHeight="1" x14ac:dyDescent="0.2">
      <c r="A441" s="65" t="s">
        <v>8049</v>
      </c>
      <c r="B441" s="65" t="s">
        <v>8050</v>
      </c>
      <c r="C441" s="65" t="s">
        <v>8051</v>
      </c>
      <c r="D441" s="66">
        <v>43385</v>
      </c>
      <c r="E441" s="76" t="s">
        <v>6809</v>
      </c>
      <c r="F441" s="79" t="s">
        <v>6814</v>
      </c>
      <c r="G441" s="61"/>
      <c r="I441" s="78"/>
    </row>
    <row r="442" spans="1:9" ht="14.25" customHeight="1" x14ac:dyDescent="0.2">
      <c r="A442" s="65" t="s">
        <v>8052</v>
      </c>
      <c r="B442" s="65" t="s">
        <v>8053</v>
      </c>
      <c r="C442" s="65" t="s">
        <v>8054</v>
      </c>
      <c r="D442" s="66">
        <v>43385</v>
      </c>
      <c r="E442" s="76" t="s">
        <v>6809</v>
      </c>
      <c r="F442" s="79" t="s">
        <v>6814</v>
      </c>
      <c r="G442" s="61"/>
      <c r="I442" s="78"/>
    </row>
    <row r="443" spans="1:9" ht="14.25" customHeight="1" x14ac:dyDescent="0.2">
      <c r="A443" s="65" t="s">
        <v>8055</v>
      </c>
      <c r="B443" s="65" t="s">
        <v>8056</v>
      </c>
      <c r="C443" s="65" t="s">
        <v>8057</v>
      </c>
      <c r="D443" s="66">
        <v>43385</v>
      </c>
      <c r="E443" s="76" t="s">
        <v>6809</v>
      </c>
      <c r="F443" s="79" t="s">
        <v>6810</v>
      </c>
      <c r="G443" s="61"/>
      <c r="I443" s="78"/>
    </row>
    <row r="444" spans="1:9" ht="14.25" customHeight="1" x14ac:dyDescent="0.2">
      <c r="A444" s="65" t="s">
        <v>8058</v>
      </c>
      <c r="B444" s="65" t="s">
        <v>8059</v>
      </c>
      <c r="C444" s="65" t="s">
        <v>8060</v>
      </c>
      <c r="D444" s="66">
        <v>43385</v>
      </c>
      <c r="E444" s="76" t="s">
        <v>6809</v>
      </c>
      <c r="F444" s="79" t="s">
        <v>6810</v>
      </c>
      <c r="G444" s="61"/>
      <c r="I444" s="78"/>
    </row>
    <row r="445" spans="1:9" ht="14.25" customHeight="1" x14ac:dyDescent="0.2">
      <c r="A445" s="65" t="s">
        <v>8061</v>
      </c>
      <c r="B445" s="65" t="s">
        <v>8062</v>
      </c>
      <c r="C445" s="65" t="s">
        <v>8063</v>
      </c>
      <c r="D445" s="66">
        <v>43385</v>
      </c>
      <c r="E445" s="76" t="s">
        <v>6809</v>
      </c>
      <c r="F445" s="79" t="s">
        <v>6814</v>
      </c>
      <c r="G445" s="61"/>
      <c r="I445" s="78"/>
    </row>
    <row r="446" spans="1:9" ht="14.25" customHeight="1" x14ac:dyDescent="0.2">
      <c r="A446" s="65" t="s">
        <v>8064</v>
      </c>
      <c r="B446" s="65" t="s">
        <v>8065</v>
      </c>
      <c r="C446" s="65" t="s">
        <v>8066</v>
      </c>
      <c r="D446" s="66">
        <v>43385</v>
      </c>
      <c r="E446" s="76" t="s">
        <v>6809</v>
      </c>
      <c r="F446" s="79" t="s">
        <v>6814</v>
      </c>
      <c r="G446" s="61"/>
      <c r="I446" s="78"/>
    </row>
    <row r="447" spans="1:9" ht="14.25" customHeight="1" x14ac:dyDescent="0.2">
      <c r="A447" s="65" t="s">
        <v>8067</v>
      </c>
      <c r="B447" s="65" t="s">
        <v>8068</v>
      </c>
      <c r="C447" s="65" t="s">
        <v>8069</v>
      </c>
      <c r="D447" s="66">
        <v>43385</v>
      </c>
      <c r="E447" s="76" t="s">
        <v>6809</v>
      </c>
      <c r="F447" s="79" t="s">
        <v>6814</v>
      </c>
      <c r="G447" s="61"/>
      <c r="I447" s="78"/>
    </row>
    <row r="448" spans="1:9" ht="14.25" customHeight="1" x14ac:dyDescent="0.2">
      <c r="A448" s="65" t="s">
        <v>8070</v>
      </c>
      <c r="B448" s="65" t="s">
        <v>8071</v>
      </c>
      <c r="C448" s="65" t="s">
        <v>8072</v>
      </c>
      <c r="D448" s="66">
        <v>43385</v>
      </c>
      <c r="E448" s="76" t="s">
        <v>6809</v>
      </c>
      <c r="F448" s="79" t="s">
        <v>6814</v>
      </c>
      <c r="G448" s="61"/>
      <c r="I448" s="78"/>
    </row>
    <row r="449" spans="1:9" ht="14.25" customHeight="1" x14ac:dyDescent="0.2">
      <c r="A449" s="65" t="s">
        <v>8073</v>
      </c>
      <c r="B449" s="65" t="s">
        <v>8074</v>
      </c>
      <c r="C449" s="65" t="s">
        <v>8075</v>
      </c>
      <c r="D449" s="66">
        <v>43385</v>
      </c>
      <c r="E449" s="76" t="s">
        <v>6809</v>
      </c>
      <c r="F449" s="79" t="s">
        <v>6814</v>
      </c>
      <c r="G449" s="61"/>
      <c r="I449" s="78"/>
    </row>
    <row r="450" spans="1:9" ht="14.25" customHeight="1" x14ac:dyDescent="0.2">
      <c r="A450" s="65" t="s">
        <v>8076</v>
      </c>
      <c r="B450" s="65" t="s">
        <v>8077</v>
      </c>
      <c r="C450" s="65" t="s">
        <v>8078</v>
      </c>
      <c r="D450" s="66">
        <v>43385</v>
      </c>
      <c r="E450" s="76" t="s">
        <v>6809</v>
      </c>
      <c r="F450" s="79" t="s">
        <v>6814</v>
      </c>
      <c r="G450" s="61"/>
      <c r="I450" s="78"/>
    </row>
    <row r="451" spans="1:9" ht="14.25" customHeight="1" x14ac:dyDescent="0.2">
      <c r="A451" s="65" t="s">
        <v>8079</v>
      </c>
      <c r="B451" s="65" t="s">
        <v>8080</v>
      </c>
      <c r="C451" s="65" t="s">
        <v>8081</v>
      </c>
      <c r="D451" s="66">
        <v>43385</v>
      </c>
      <c r="E451" s="76" t="s">
        <v>6809</v>
      </c>
      <c r="F451" s="79" t="s">
        <v>6814</v>
      </c>
      <c r="G451" s="61"/>
      <c r="I451" s="78"/>
    </row>
    <row r="452" spans="1:9" ht="14.25" customHeight="1" x14ac:dyDescent="0.2">
      <c r="A452" s="65" t="s">
        <v>8082</v>
      </c>
      <c r="B452" s="65" t="s">
        <v>8083</v>
      </c>
      <c r="C452" s="65" t="s">
        <v>8084</v>
      </c>
      <c r="D452" s="66">
        <v>43385</v>
      </c>
      <c r="E452" s="76" t="s">
        <v>6809</v>
      </c>
      <c r="F452" s="79" t="s">
        <v>6814</v>
      </c>
      <c r="G452" s="61"/>
      <c r="I452" s="78"/>
    </row>
    <row r="453" spans="1:9" ht="14.25" customHeight="1" x14ac:dyDescent="0.2">
      <c r="A453" s="65" t="s">
        <v>8085</v>
      </c>
      <c r="B453" s="65" t="s">
        <v>8086</v>
      </c>
      <c r="C453" s="65" t="s">
        <v>8087</v>
      </c>
      <c r="D453" s="66">
        <v>43385</v>
      </c>
      <c r="E453" s="76" t="s">
        <v>6809</v>
      </c>
      <c r="F453" s="79" t="s">
        <v>6824</v>
      </c>
      <c r="G453" s="61"/>
      <c r="I453" s="78"/>
    </row>
    <row r="454" spans="1:9" ht="14.25" customHeight="1" x14ac:dyDescent="0.2">
      <c r="A454" s="65" t="s">
        <v>8088</v>
      </c>
      <c r="B454" s="65" t="s">
        <v>8089</v>
      </c>
      <c r="C454" s="65" t="s">
        <v>8090</v>
      </c>
      <c r="D454" s="66">
        <v>43385</v>
      </c>
      <c r="E454" s="76" t="s">
        <v>6809</v>
      </c>
      <c r="F454" s="79" t="s">
        <v>6814</v>
      </c>
      <c r="G454" s="61"/>
      <c r="I454" s="78"/>
    </row>
    <row r="455" spans="1:9" ht="14.25" customHeight="1" x14ac:dyDescent="0.2">
      <c r="A455" s="65" t="s">
        <v>8091</v>
      </c>
      <c r="B455" s="65" t="s">
        <v>8092</v>
      </c>
      <c r="C455" s="65" t="s">
        <v>8093</v>
      </c>
      <c r="D455" s="66">
        <v>43385</v>
      </c>
      <c r="E455" s="76" t="s">
        <v>6809</v>
      </c>
      <c r="F455" s="79" t="s">
        <v>6814</v>
      </c>
      <c r="G455" s="61"/>
      <c r="I455" s="78"/>
    </row>
    <row r="456" spans="1:9" ht="14.25" customHeight="1" x14ac:dyDescent="0.2">
      <c r="A456" s="65" t="s">
        <v>8094</v>
      </c>
      <c r="B456" s="65" t="s">
        <v>8095</v>
      </c>
      <c r="C456" s="65" t="s">
        <v>8096</v>
      </c>
      <c r="D456" s="66">
        <v>43377</v>
      </c>
      <c r="E456" s="76" t="s">
        <v>6809</v>
      </c>
      <c r="F456" s="79" t="s">
        <v>6810</v>
      </c>
      <c r="G456" s="61"/>
      <c r="I456" s="78"/>
    </row>
    <row r="457" spans="1:9" ht="14.25" customHeight="1" x14ac:dyDescent="0.2">
      <c r="A457" s="65" t="s">
        <v>8097</v>
      </c>
      <c r="B457" s="65" t="s">
        <v>8098</v>
      </c>
      <c r="C457" s="65" t="s">
        <v>8099</v>
      </c>
      <c r="D457" s="66">
        <v>43375</v>
      </c>
      <c r="E457" s="76" t="s">
        <v>6809</v>
      </c>
      <c r="F457" s="79" t="s">
        <v>6824</v>
      </c>
      <c r="G457" s="61"/>
      <c r="I457" s="78"/>
    </row>
    <row r="458" spans="1:9" ht="14.25" customHeight="1" x14ac:dyDescent="0.2">
      <c r="A458" s="65" t="s">
        <v>8100</v>
      </c>
      <c r="B458" s="65" t="s">
        <v>8101</v>
      </c>
      <c r="C458" s="65" t="s">
        <v>8102</v>
      </c>
      <c r="D458" s="66">
        <v>43374</v>
      </c>
      <c r="E458" s="76" t="s">
        <v>6809</v>
      </c>
      <c r="F458" s="79" t="s">
        <v>6814</v>
      </c>
      <c r="G458" s="61"/>
      <c r="I458" s="78"/>
    </row>
    <row r="459" spans="1:9" ht="14.25" customHeight="1" x14ac:dyDescent="0.2">
      <c r="A459" s="65" t="s">
        <v>8103</v>
      </c>
      <c r="B459" s="65" t="s">
        <v>8104</v>
      </c>
      <c r="C459" s="65" t="s">
        <v>8105</v>
      </c>
      <c r="D459" s="66">
        <v>43369</v>
      </c>
      <c r="E459" s="76" t="s">
        <v>7465</v>
      </c>
      <c r="F459" s="79" t="s">
        <v>6810</v>
      </c>
      <c r="G459" s="61"/>
      <c r="I459" s="78"/>
    </row>
    <row r="460" spans="1:9" ht="14.25" customHeight="1" x14ac:dyDescent="0.2">
      <c r="A460" s="65" t="s">
        <v>8106</v>
      </c>
      <c r="B460" s="65" t="s">
        <v>7038</v>
      </c>
      <c r="C460" s="65" t="s">
        <v>8107</v>
      </c>
      <c r="D460" s="66">
        <v>43364</v>
      </c>
      <c r="E460" s="76" t="s">
        <v>7915</v>
      </c>
      <c r="F460" s="79" t="s">
        <v>6814</v>
      </c>
      <c r="G460" s="61"/>
      <c r="I460" s="78"/>
    </row>
    <row r="461" spans="1:9" ht="14.25" customHeight="1" x14ac:dyDescent="0.2">
      <c r="A461" s="65" t="s">
        <v>8108</v>
      </c>
      <c r="B461" s="65" t="s">
        <v>8109</v>
      </c>
      <c r="C461" s="65" t="s">
        <v>8110</v>
      </c>
      <c r="D461" s="66">
        <v>43364</v>
      </c>
      <c r="E461" s="76" t="s">
        <v>6809</v>
      </c>
      <c r="F461" s="79" t="s">
        <v>6824</v>
      </c>
      <c r="G461" s="61"/>
      <c r="I461" s="78"/>
    </row>
    <row r="462" spans="1:9" ht="14.25" customHeight="1" x14ac:dyDescent="0.2">
      <c r="A462" s="65" t="s">
        <v>8111</v>
      </c>
      <c r="B462" s="65" t="s">
        <v>7303</v>
      </c>
      <c r="C462" s="65" t="s">
        <v>8112</v>
      </c>
      <c r="D462" s="66">
        <v>43356</v>
      </c>
      <c r="E462" s="76" t="s">
        <v>7922</v>
      </c>
      <c r="F462" s="79" t="s">
        <v>8113</v>
      </c>
      <c r="G462" s="61"/>
      <c r="I462" s="78"/>
    </row>
    <row r="463" spans="1:9" ht="14.25" customHeight="1" x14ac:dyDescent="0.2">
      <c r="A463" s="65" t="s">
        <v>8114</v>
      </c>
      <c r="B463" s="65" t="s">
        <v>8115</v>
      </c>
      <c r="C463" s="65" t="s">
        <v>8116</v>
      </c>
      <c r="D463" s="66">
        <v>43355</v>
      </c>
      <c r="E463" s="76" t="s">
        <v>6809</v>
      </c>
      <c r="F463" s="79" t="s">
        <v>6810</v>
      </c>
      <c r="G463" s="61"/>
      <c r="I463" s="78"/>
    </row>
    <row r="464" spans="1:9" ht="14.25" customHeight="1" x14ac:dyDescent="0.2">
      <c r="A464" s="65" t="s">
        <v>8117</v>
      </c>
      <c r="B464" s="65" t="s">
        <v>8118</v>
      </c>
      <c r="C464" s="65" t="s">
        <v>8119</v>
      </c>
      <c r="D464" s="66">
        <v>43349</v>
      </c>
      <c r="E464" s="76" t="s">
        <v>6809</v>
      </c>
      <c r="F464" s="79" t="s">
        <v>6814</v>
      </c>
      <c r="G464" s="61"/>
      <c r="I464" s="78"/>
    </row>
    <row r="465" spans="1:9" ht="14.25" customHeight="1" x14ac:dyDescent="0.2">
      <c r="A465" s="65" t="s">
        <v>8120</v>
      </c>
      <c r="B465" s="65" t="s">
        <v>8121</v>
      </c>
      <c r="C465" s="65" t="s">
        <v>8122</v>
      </c>
      <c r="D465" s="66">
        <v>43349</v>
      </c>
      <c r="E465" s="76" t="s">
        <v>6809</v>
      </c>
      <c r="F465" s="79" t="s">
        <v>6814</v>
      </c>
      <c r="G465" s="61"/>
      <c r="I465" s="78"/>
    </row>
    <row r="466" spans="1:9" ht="14.25" customHeight="1" x14ac:dyDescent="0.2">
      <c r="A466" s="65" t="s">
        <v>8123</v>
      </c>
      <c r="B466" s="65" t="s">
        <v>8124</v>
      </c>
      <c r="C466" s="65" t="s">
        <v>8125</v>
      </c>
      <c r="D466" s="66">
        <v>43346</v>
      </c>
      <c r="E466" s="76" t="s">
        <v>6809</v>
      </c>
      <c r="F466" s="79" t="s">
        <v>6810</v>
      </c>
      <c r="G466" s="61"/>
      <c r="I466" s="78"/>
    </row>
    <row r="467" spans="1:9" ht="14.25" customHeight="1" x14ac:dyDescent="0.2">
      <c r="A467" s="65" t="s">
        <v>8126</v>
      </c>
      <c r="B467" s="65" t="s">
        <v>8127</v>
      </c>
      <c r="C467" s="65" t="s">
        <v>8128</v>
      </c>
      <c r="D467" s="66">
        <v>43342</v>
      </c>
      <c r="E467" s="76" t="s">
        <v>6809</v>
      </c>
      <c r="F467" s="79" t="s">
        <v>6824</v>
      </c>
      <c r="G467" s="61"/>
      <c r="I467" s="78"/>
    </row>
    <row r="468" spans="1:9" ht="14.25" customHeight="1" x14ac:dyDescent="0.2">
      <c r="A468" s="65" t="s">
        <v>8129</v>
      </c>
      <c r="B468" s="65" t="s">
        <v>8130</v>
      </c>
      <c r="C468" s="65" t="s">
        <v>8131</v>
      </c>
      <c r="D468" s="66">
        <v>43340</v>
      </c>
      <c r="E468" s="76" t="s">
        <v>6809</v>
      </c>
      <c r="F468" s="79" t="s">
        <v>6824</v>
      </c>
      <c r="G468" s="61"/>
      <c r="I468" s="78"/>
    </row>
    <row r="469" spans="1:9" ht="14.25" customHeight="1" x14ac:dyDescent="0.2">
      <c r="A469" s="65" t="s">
        <v>8132</v>
      </c>
      <c r="B469" s="65" t="s">
        <v>8133</v>
      </c>
      <c r="C469" s="65" t="s">
        <v>8134</v>
      </c>
      <c r="D469" s="66">
        <v>43340</v>
      </c>
      <c r="E469" s="76" t="s">
        <v>1037</v>
      </c>
      <c r="F469" s="79" t="s">
        <v>6824</v>
      </c>
      <c r="G469" s="61"/>
      <c r="I469" s="78"/>
    </row>
    <row r="470" spans="1:9" ht="14.25" customHeight="1" x14ac:dyDescent="0.2">
      <c r="A470" s="65" t="s">
        <v>8135</v>
      </c>
      <c r="B470" s="65" t="s">
        <v>8136</v>
      </c>
      <c r="C470" s="65" t="s">
        <v>8137</v>
      </c>
      <c r="D470" s="66">
        <v>43335</v>
      </c>
      <c r="E470" s="76" t="s">
        <v>6809</v>
      </c>
      <c r="F470" s="79" t="s">
        <v>6810</v>
      </c>
      <c r="G470" s="61"/>
      <c r="I470" s="78"/>
    </row>
    <row r="471" spans="1:9" ht="14.25" customHeight="1" x14ac:dyDescent="0.2">
      <c r="A471" s="65" t="s">
        <v>6903</v>
      </c>
      <c r="B471" s="65" t="s">
        <v>6904</v>
      </c>
      <c r="C471" s="65" t="s">
        <v>6905</v>
      </c>
      <c r="D471" s="66">
        <v>43329</v>
      </c>
      <c r="E471" s="76" t="s">
        <v>6809</v>
      </c>
      <c r="F471" s="79" t="s">
        <v>6824</v>
      </c>
      <c r="G471" s="61"/>
      <c r="I471" s="78"/>
    </row>
    <row r="472" spans="1:9" ht="14.25" customHeight="1" x14ac:dyDescent="0.2">
      <c r="A472" s="65" t="s">
        <v>8138</v>
      </c>
      <c r="B472" s="65" t="s">
        <v>8139</v>
      </c>
      <c r="C472" s="65" t="s">
        <v>8140</v>
      </c>
      <c r="D472" s="66">
        <v>43327</v>
      </c>
      <c r="E472" s="76" t="s">
        <v>7465</v>
      </c>
      <c r="F472" s="79" t="s">
        <v>6814</v>
      </c>
      <c r="G472" s="61"/>
      <c r="I472" s="78"/>
    </row>
    <row r="473" spans="1:9" ht="14.25" customHeight="1" x14ac:dyDescent="0.2">
      <c r="A473" s="65" t="s">
        <v>8141</v>
      </c>
      <c r="B473" s="65" t="s">
        <v>3556</v>
      </c>
      <c r="C473" s="65" t="s">
        <v>8142</v>
      </c>
      <c r="D473" s="66">
        <v>43326</v>
      </c>
      <c r="E473" s="76" t="s">
        <v>6809</v>
      </c>
      <c r="F473" s="79" t="s">
        <v>6810</v>
      </c>
      <c r="G473" s="61"/>
      <c r="I473" s="78"/>
    </row>
    <row r="474" spans="1:9" ht="14.25" customHeight="1" x14ac:dyDescent="0.2">
      <c r="A474" s="65" t="s">
        <v>8143</v>
      </c>
      <c r="B474" s="65" t="s">
        <v>8144</v>
      </c>
      <c r="C474" s="65" t="s">
        <v>8145</v>
      </c>
      <c r="D474" s="66">
        <v>43314</v>
      </c>
      <c r="E474" s="76" t="s">
        <v>6809</v>
      </c>
      <c r="F474" s="79" t="s">
        <v>6824</v>
      </c>
      <c r="G474" s="61"/>
      <c r="I474" s="78"/>
    </row>
    <row r="475" spans="1:9" ht="14.25" customHeight="1" x14ac:dyDescent="0.2">
      <c r="A475" s="65" t="s">
        <v>8146</v>
      </c>
      <c r="B475" s="65" t="s">
        <v>8147</v>
      </c>
      <c r="C475" s="65" t="s">
        <v>8148</v>
      </c>
      <c r="D475" s="66">
        <v>43313</v>
      </c>
      <c r="E475" s="76" t="s">
        <v>6809</v>
      </c>
      <c r="F475" s="79" t="s">
        <v>6810</v>
      </c>
      <c r="G475" s="61"/>
      <c r="I475" s="78"/>
    </row>
    <row r="476" spans="1:9" ht="14.25" customHeight="1" x14ac:dyDescent="0.2">
      <c r="A476" s="65" t="s">
        <v>8149</v>
      </c>
      <c r="B476" s="65" t="s">
        <v>8150</v>
      </c>
      <c r="C476" s="65" t="s">
        <v>8151</v>
      </c>
      <c r="D476" s="66">
        <v>43313</v>
      </c>
      <c r="E476" s="76" t="s">
        <v>6809</v>
      </c>
      <c r="F476" s="79" t="s">
        <v>6810</v>
      </c>
      <c r="G476" s="61"/>
      <c r="I476" s="78"/>
    </row>
    <row r="477" spans="1:9" ht="14.25" customHeight="1" x14ac:dyDescent="0.2">
      <c r="A477" s="65" t="s">
        <v>8152</v>
      </c>
      <c r="B477" s="65" t="s">
        <v>8153</v>
      </c>
      <c r="C477" s="65" t="s">
        <v>8154</v>
      </c>
      <c r="D477" s="66">
        <v>43313</v>
      </c>
      <c r="E477" s="76" t="s">
        <v>6809</v>
      </c>
      <c r="F477" s="79" t="s">
        <v>6810</v>
      </c>
      <c r="G477" s="61"/>
      <c r="I477" s="78"/>
    </row>
    <row r="478" spans="1:9" ht="14.25" customHeight="1" x14ac:dyDescent="0.2">
      <c r="A478" s="65" t="s">
        <v>8155</v>
      </c>
      <c r="B478" s="65" t="s">
        <v>8156</v>
      </c>
      <c r="C478" s="65" t="s">
        <v>8157</v>
      </c>
      <c r="D478" s="66">
        <v>43313</v>
      </c>
      <c r="E478" s="76" t="s">
        <v>6809</v>
      </c>
      <c r="F478" s="79" t="s">
        <v>6810</v>
      </c>
      <c r="G478" s="61"/>
      <c r="I478" s="78"/>
    </row>
    <row r="479" spans="1:9" ht="14.25" customHeight="1" x14ac:dyDescent="0.2">
      <c r="A479" s="65" t="s">
        <v>8158</v>
      </c>
      <c r="B479" s="65" t="s">
        <v>8159</v>
      </c>
      <c r="C479" s="65" t="s">
        <v>8160</v>
      </c>
      <c r="D479" s="66">
        <v>43313</v>
      </c>
      <c r="E479" s="76" t="s">
        <v>6809</v>
      </c>
      <c r="F479" s="79" t="s">
        <v>6810</v>
      </c>
      <c r="G479" s="61"/>
      <c r="I479" s="78"/>
    </row>
    <row r="480" spans="1:9" ht="14.25" customHeight="1" x14ac:dyDescent="0.2">
      <c r="A480" s="65" t="s">
        <v>8161</v>
      </c>
      <c r="B480" s="65" t="s">
        <v>8162</v>
      </c>
      <c r="C480" s="65" t="s">
        <v>8163</v>
      </c>
      <c r="D480" s="66">
        <v>43313</v>
      </c>
      <c r="E480" s="76" t="s">
        <v>6809</v>
      </c>
      <c r="F480" s="79" t="s">
        <v>6824</v>
      </c>
      <c r="G480" s="61"/>
      <c r="I480" s="78"/>
    </row>
    <row r="481" spans="1:9" ht="14.25" customHeight="1" x14ac:dyDescent="0.2">
      <c r="A481" s="65" t="s">
        <v>8164</v>
      </c>
      <c r="B481" s="65" t="s">
        <v>8165</v>
      </c>
      <c r="C481" s="65" t="s">
        <v>8166</v>
      </c>
      <c r="D481" s="66">
        <v>43313</v>
      </c>
      <c r="E481" s="76" t="s">
        <v>6809</v>
      </c>
      <c r="F481" s="79" t="s">
        <v>6810</v>
      </c>
      <c r="G481" s="61"/>
      <c r="I481" s="78"/>
    </row>
    <row r="482" spans="1:9" ht="14.25" customHeight="1" x14ac:dyDescent="0.2">
      <c r="A482" s="65" t="s">
        <v>8167</v>
      </c>
      <c r="B482" s="65" t="s">
        <v>8168</v>
      </c>
      <c r="C482" s="65" t="s">
        <v>8169</v>
      </c>
      <c r="D482" s="66">
        <v>43313</v>
      </c>
      <c r="E482" s="76" t="s">
        <v>6809</v>
      </c>
      <c r="F482" s="79" t="s">
        <v>6824</v>
      </c>
      <c r="G482" s="61"/>
      <c r="I482" s="78"/>
    </row>
    <row r="483" spans="1:9" ht="14.25" customHeight="1" x14ac:dyDescent="0.2">
      <c r="A483" s="65" t="s">
        <v>8170</v>
      </c>
      <c r="B483" s="65" t="s">
        <v>8171</v>
      </c>
      <c r="C483" s="65" t="s">
        <v>8172</v>
      </c>
      <c r="D483" s="66">
        <v>43313</v>
      </c>
      <c r="E483" s="76" t="s">
        <v>6809</v>
      </c>
      <c r="F483" s="79" t="s">
        <v>6824</v>
      </c>
      <c r="G483" s="61"/>
      <c r="I483" s="78"/>
    </row>
    <row r="484" spans="1:9" ht="14.25" customHeight="1" x14ac:dyDescent="0.2">
      <c r="A484" s="65" t="s">
        <v>8173</v>
      </c>
      <c r="B484" s="65" t="s">
        <v>8174</v>
      </c>
      <c r="C484" s="65" t="s">
        <v>8175</v>
      </c>
      <c r="D484" s="66">
        <v>43313</v>
      </c>
      <c r="E484" s="76" t="s">
        <v>6809</v>
      </c>
      <c r="F484" s="79" t="s">
        <v>6824</v>
      </c>
      <c r="G484" s="61"/>
      <c r="I484" s="78"/>
    </row>
    <row r="485" spans="1:9" ht="14.25" customHeight="1" x14ac:dyDescent="0.2">
      <c r="A485" s="65" t="s">
        <v>8176</v>
      </c>
      <c r="B485" s="65" t="s">
        <v>8177</v>
      </c>
      <c r="C485" s="65" t="s">
        <v>8178</v>
      </c>
      <c r="D485" s="66">
        <v>43313</v>
      </c>
      <c r="E485" s="76" t="s">
        <v>6809</v>
      </c>
      <c r="F485" s="79" t="s">
        <v>6824</v>
      </c>
      <c r="G485" s="61"/>
      <c r="I485" s="78"/>
    </row>
    <row r="486" spans="1:9" ht="14.25" customHeight="1" x14ac:dyDescent="0.2">
      <c r="A486" s="65" t="s">
        <v>8179</v>
      </c>
      <c r="B486" s="65" t="s">
        <v>8180</v>
      </c>
      <c r="C486" s="65" t="s">
        <v>8181</v>
      </c>
      <c r="D486" s="66">
        <v>43313</v>
      </c>
      <c r="E486" s="76" t="s">
        <v>6809</v>
      </c>
      <c r="F486" s="79" t="s">
        <v>6824</v>
      </c>
      <c r="G486" s="61"/>
      <c r="I486" s="78"/>
    </row>
    <row r="487" spans="1:9" ht="14.25" customHeight="1" x14ac:dyDescent="0.2">
      <c r="A487" s="65" t="s">
        <v>8182</v>
      </c>
      <c r="B487" s="65" t="s">
        <v>8183</v>
      </c>
      <c r="C487" s="65" t="s">
        <v>8184</v>
      </c>
      <c r="D487" s="66">
        <v>43313</v>
      </c>
      <c r="E487" s="76" t="s">
        <v>6809</v>
      </c>
      <c r="F487" s="79" t="s">
        <v>6824</v>
      </c>
      <c r="G487" s="61"/>
      <c r="I487" s="78"/>
    </row>
    <row r="488" spans="1:9" ht="14.25" customHeight="1" x14ac:dyDescent="0.2">
      <c r="A488" s="65" t="s">
        <v>8185</v>
      </c>
      <c r="B488" s="65" t="s">
        <v>8186</v>
      </c>
      <c r="C488" s="65" t="s">
        <v>8187</v>
      </c>
      <c r="D488" s="66">
        <v>43313</v>
      </c>
      <c r="E488" s="76" t="s">
        <v>6809</v>
      </c>
      <c r="F488" s="79" t="s">
        <v>6824</v>
      </c>
      <c r="G488" s="61"/>
      <c r="I488" s="78"/>
    </row>
    <row r="489" spans="1:9" ht="14.25" customHeight="1" x14ac:dyDescent="0.2">
      <c r="A489" s="65" t="s">
        <v>8188</v>
      </c>
      <c r="B489" s="65" t="s">
        <v>8189</v>
      </c>
      <c r="C489" s="65" t="s">
        <v>8190</v>
      </c>
      <c r="D489" s="66">
        <v>43313</v>
      </c>
      <c r="E489" s="76" t="s">
        <v>6809</v>
      </c>
      <c r="F489" s="79" t="s">
        <v>6824</v>
      </c>
      <c r="G489" s="61"/>
      <c r="I489" s="78"/>
    </row>
    <row r="490" spans="1:9" ht="14.25" customHeight="1" x14ac:dyDescent="0.2">
      <c r="A490" s="65" t="s">
        <v>8191</v>
      </c>
      <c r="B490" s="65" t="s">
        <v>8192</v>
      </c>
      <c r="C490" s="65" t="s">
        <v>8193</v>
      </c>
      <c r="D490" s="66">
        <v>43313</v>
      </c>
      <c r="E490" s="76" t="s">
        <v>6809</v>
      </c>
      <c r="F490" s="79" t="s">
        <v>6824</v>
      </c>
      <c r="G490" s="61"/>
      <c r="I490" s="78"/>
    </row>
    <row r="491" spans="1:9" ht="14.25" customHeight="1" x14ac:dyDescent="0.2">
      <c r="A491" s="65" t="s">
        <v>8194</v>
      </c>
      <c r="B491" s="65" t="s">
        <v>8195</v>
      </c>
      <c r="C491" s="65" t="s">
        <v>8196</v>
      </c>
      <c r="D491" s="66">
        <v>43313</v>
      </c>
      <c r="E491" s="76" t="s">
        <v>6809</v>
      </c>
      <c r="F491" s="79" t="s">
        <v>6824</v>
      </c>
      <c r="G491" s="61"/>
      <c r="I491" s="78"/>
    </row>
    <row r="492" spans="1:9" ht="14.25" customHeight="1" x14ac:dyDescent="0.2">
      <c r="A492" s="65" t="s">
        <v>8197</v>
      </c>
      <c r="B492" s="65" t="s">
        <v>7188</v>
      </c>
      <c r="C492" s="65" t="s">
        <v>8198</v>
      </c>
      <c r="D492" s="66">
        <v>43313</v>
      </c>
      <c r="E492" s="76" t="s">
        <v>6809</v>
      </c>
      <c r="F492" s="79" t="s">
        <v>6824</v>
      </c>
      <c r="G492" s="61"/>
      <c r="I492" s="78"/>
    </row>
    <row r="493" spans="1:9" ht="14.25" customHeight="1" x14ac:dyDescent="0.2">
      <c r="A493" s="65" t="s">
        <v>8199</v>
      </c>
      <c r="B493" s="65" t="s">
        <v>8200</v>
      </c>
      <c r="C493" s="65" t="s">
        <v>8201</v>
      </c>
      <c r="D493" s="66">
        <v>43313</v>
      </c>
      <c r="E493" s="76" t="s">
        <v>6809</v>
      </c>
      <c r="F493" s="79" t="s">
        <v>6824</v>
      </c>
      <c r="G493" s="61"/>
      <c r="I493" s="78"/>
    </row>
    <row r="494" spans="1:9" ht="14.25" customHeight="1" x14ac:dyDescent="0.2">
      <c r="A494" s="65" t="s">
        <v>8202</v>
      </c>
      <c r="B494" s="65" t="s">
        <v>8203</v>
      </c>
      <c r="C494" s="65" t="s">
        <v>6890</v>
      </c>
      <c r="D494" s="66">
        <v>43313</v>
      </c>
      <c r="E494" s="76" t="s">
        <v>6809</v>
      </c>
      <c r="F494" s="79" t="s">
        <v>6824</v>
      </c>
      <c r="G494" s="61"/>
      <c r="I494" s="78"/>
    </row>
    <row r="495" spans="1:9" ht="14.25" customHeight="1" x14ac:dyDescent="0.2">
      <c r="A495" s="65" t="s">
        <v>8204</v>
      </c>
      <c r="B495" s="65" t="s">
        <v>7463</v>
      </c>
      <c r="C495" s="65" t="s">
        <v>7467</v>
      </c>
      <c r="D495" s="66">
        <v>43313</v>
      </c>
      <c r="E495" s="76" t="s">
        <v>6809</v>
      </c>
      <c r="F495" s="79" t="s">
        <v>6824</v>
      </c>
      <c r="G495" s="61"/>
      <c r="I495" s="78"/>
    </row>
    <row r="496" spans="1:9" ht="14.25" customHeight="1" x14ac:dyDescent="0.2">
      <c r="A496" s="65" t="s">
        <v>8205</v>
      </c>
      <c r="B496" s="65" t="s">
        <v>8206</v>
      </c>
      <c r="C496" s="65" t="s">
        <v>8207</v>
      </c>
      <c r="D496" s="66">
        <v>43313</v>
      </c>
      <c r="E496" s="76" t="s">
        <v>6809</v>
      </c>
      <c r="F496" s="79" t="s">
        <v>6824</v>
      </c>
      <c r="G496" s="61"/>
      <c r="I496" s="78"/>
    </row>
    <row r="497" spans="1:9" ht="14.25" customHeight="1" x14ac:dyDescent="0.2">
      <c r="A497" s="65" t="s">
        <v>8208</v>
      </c>
      <c r="B497" s="65" t="s">
        <v>8209</v>
      </c>
      <c r="C497" s="65" t="s">
        <v>8210</v>
      </c>
      <c r="D497" s="66">
        <v>43313</v>
      </c>
      <c r="E497" s="76" t="s">
        <v>6809</v>
      </c>
      <c r="F497" s="79" t="s">
        <v>6824</v>
      </c>
      <c r="G497" s="61"/>
      <c r="I497" s="78"/>
    </row>
    <row r="498" spans="1:9" ht="14.25" customHeight="1" x14ac:dyDescent="0.2">
      <c r="A498" s="65" t="s">
        <v>8211</v>
      </c>
      <c r="B498" s="65" t="s">
        <v>8212</v>
      </c>
      <c r="C498" s="65" t="s">
        <v>8213</v>
      </c>
      <c r="D498" s="66">
        <v>43313</v>
      </c>
      <c r="E498" s="76" t="s">
        <v>6809</v>
      </c>
      <c r="F498" s="79" t="s">
        <v>6824</v>
      </c>
      <c r="G498" s="61"/>
      <c r="I498" s="78"/>
    </row>
    <row r="499" spans="1:9" ht="14.25" customHeight="1" x14ac:dyDescent="0.2">
      <c r="A499" s="65" t="s">
        <v>8214</v>
      </c>
      <c r="B499" s="65" t="s">
        <v>8215</v>
      </c>
      <c r="C499" s="65" t="s">
        <v>8216</v>
      </c>
      <c r="D499" s="66">
        <v>43313</v>
      </c>
      <c r="E499" s="76" t="s">
        <v>6809</v>
      </c>
      <c r="F499" s="79" t="s">
        <v>6824</v>
      </c>
      <c r="G499" s="61"/>
      <c r="I499" s="78"/>
    </row>
    <row r="500" spans="1:9" ht="14.25" customHeight="1" x14ac:dyDescent="0.2">
      <c r="A500" s="65" t="s">
        <v>8217</v>
      </c>
      <c r="B500" s="65" t="s">
        <v>3420</v>
      </c>
      <c r="C500" s="65" t="s">
        <v>8218</v>
      </c>
      <c r="D500" s="66">
        <v>43313</v>
      </c>
      <c r="E500" s="76" t="s">
        <v>6809</v>
      </c>
      <c r="F500" s="79" t="s">
        <v>6824</v>
      </c>
      <c r="G500" s="61"/>
      <c r="I500" s="78"/>
    </row>
    <row r="501" spans="1:9" ht="14.25" customHeight="1" x14ac:dyDescent="0.2">
      <c r="A501" s="65" t="s">
        <v>8219</v>
      </c>
      <c r="B501" s="65" t="s">
        <v>8220</v>
      </c>
      <c r="C501" s="65" t="s">
        <v>8221</v>
      </c>
      <c r="D501" s="66">
        <v>43307</v>
      </c>
      <c r="E501" s="76" t="s">
        <v>6809</v>
      </c>
      <c r="F501" s="79" t="s">
        <v>6814</v>
      </c>
      <c r="G501" s="61"/>
      <c r="I501" s="78"/>
    </row>
    <row r="502" spans="1:9" ht="14.25" customHeight="1" x14ac:dyDescent="0.2">
      <c r="A502" s="65" t="s">
        <v>8222</v>
      </c>
      <c r="B502" s="65" t="s">
        <v>8223</v>
      </c>
      <c r="C502" s="65" t="s">
        <v>8224</v>
      </c>
      <c r="D502" s="66">
        <v>43307</v>
      </c>
      <c r="E502" s="76" t="s">
        <v>6809</v>
      </c>
      <c r="F502" s="79" t="s">
        <v>6810</v>
      </c>
      <c r="G502" s="61"/>
      <c r="I502" s="78"/>
    </row>
    <row r="503" spans="1:9" ht="14.25" customHeight="1" x14ac:dyDescent="0.2">
      <c r="A503" s="65" t="s">
        <v>8225</v>
      </c>
      <c r="B503" s="65" t="s">
        <v>8226</v>
      </c>
      <c r="C503" s="65" t="s">
        <v>8227</v>
      </c>
      <c r="D503" s="66">
        <v>43307</v>
      </c>
      <c r="E503" s="76" t="s">
        <v>6809</v>
      </c>
      <c r="F503" s="79" t="s">
        <v>6824</v>
      </c>
      <c r="G503" s="61"/>
      <c r="I503" s="78"/>
    </row>
    <row r="504" spans="1:9" ht="14.25" customHeight="1" x14ac:dyDescent="0.2">
      <c r="A504" s="65" t="s">
        <v>8228</v>
      </c>
      <c r="B504" s="65" t="s">
        <v>8229</v>
      </c>
      <c r="C504" s="65" t="s">
        <v>8230</v>
      </c>
      <c r="D504" s="66">
        <v>43306</v>
      </c>
      <c r="E504" s="76" t="s">
        <v>6809</v>
      </c>
      <c r="F504" s="79" t="s">
        <v>6810</v>
      </c>
      <c r="G504" s="61"/>
      <c r="I504" s="78"/>
    </row>
    <row r="505" spans="1:9" ht="14.25" customHeight="1" x14ac:dyDescent="0.2">
      <c r="A505" s="65" t="s">
        <v>8231</v>
      </c>
      <c r="B505" s="65" t="s">
        <v>8232</v>
      </c>
      <c r="C505" s="65" t="s">
        <v>8233</v>
      </c>
      <c r="D505" s="66">
        <v>43291</v>
      </c>
      <c r="E505" s="76" t="s">
        <v>6809</v>
      </c>
      <c r="F505" s="79" t="s">
        <v>6814</v>
      </c>
      <c r="G505" s="61"/>
      <c r="I505" s="78"/>
    </row>
    <row r="506" spans="1:9" ht="14.25" customHeight="1" x14ac:dyDescent="0.2">
      <c r="A506" s="65" t="s">
        <v>8234</v>
      </c>
      <c r="B506" s="65" t="s">
        <v>8235</v>
      </c>
      <c r="C506" s="65" t="s">
        <v>8236</v>
      </c>
      <c r="D506" s="66">
        <v>43290</v>
      </c>
      <c r="E506" s="76" t="s">
        <v>6809</v>
      </c>
      <c r="F506" s="79" t="s">
        <v>6824</v>
      </c>
      <c r="G506" s="61"/>
      <c r="I506" s="78"/>
    </row>
    <row r="507" spans="1:9" ht="14.25" customHeight="1" x14ac:dyDescent="0.2">
      <c r="A507" s="65" t="s">
        <v>8237</v>
      </c>
      <c r="B507" s="65" t="s">
        <v>8238</v>
      </c>
      <c r="C507" s="65" t="s">
        <v>8239</v>
      </c>
      <c r="D507" s="66">
        <v>43286</v>
      </c>
      <c r="E507" s="76" t="s">
        <v>6809</v>
      </c>
      <c r="F507" s="79" t="s">
        <v>6824</v>
      </c>
      <c r="G507" s="61"/>
      <c r="I507" s="78"/>
    </row>
    <row r="508" spans="1:9" ht="14.25" customHeight="1" x14ac:dyDescent="0.2">
      <c r="A508" s="65" t="s">
        <v>8240</v>
      </c>
      <c r="B508" s="65" t="s">
        <v>8241</v>
      </c>
      <c r="C508" s="65" t="s">
        <v>8242</v>
      </c>
      <c r="D508" s="66">
        <v>43286</v>
      </c>
      <c r="E508" s="76" t="s">
        <v>6809</v>
      </c>
      <c r="F508" s="79" t="s">
        <v>6824</v>
      </c>
      <c r="G508" s="61"/>
      <c r="I508" s="78"/>
    </row>
    <row r="509" spans="1:9" ht="14.25" customHeight="1" x14ac:dyDescent="0.2">
      <c r="A509" s="65" t="s">
        <v>8243</v>
      </c>
      <c r="B509" s="65" t="s">
        <v>8244</v>
      </c>
      <c r="C509" s="65" t="s">
        <v>8245</v>
      </c>
      <c r="D509" s="66">
        <v>43286</v>
      </c>
      <c r="E509" s="76" t="s">
        <v>6809</v>
      </c>
      <c r="F509" s="79" t="s">
        <v>6824</v>
      </c>
      <c r="G509" s="61"/>
      <c r="I509" s="78"/>
    </row>
    <row r="510" spans="1:9" ht="14.25" customHeight="1" x14ac:dyDescent="0.2">
      <c r="A510" s="65" t="s">
        <v>8246</v>
      </c>
      <c r="B510" s="65" t="s">
        <v>8247</v>
      </c>
      <c r="C510" s="65" t="s">
        <v>8248</v>
      </c>
      <c r="D510" s="66">
        <v>43286</v>
      </c>
      <c r="E510" s="76" t="s">
        <v>6809</v>
      </c>
      <c r="F510" s="79" t="s">
        <v>6824</v>
      </c>
      <c r="G510" s="61"/>
      <c r="I510" s="78"/>
    </row>
    <row r="511" spans="1:9" ht="14.25" customHeight="1" x14ac:dyDescent="0.2">
      <c r="A511" s="65" t="s">
        <v>8249</v>
      </c>
      <c r="B511" s="65" t="s">
        <v>4851</v>
      </c>
      <c r="C511" s="65" t="s">
        <v>8250</v>
      </c>
      <c r="D511" s="66">
        <v>43286</v>
      </c>
      <c r="E511" s="76" t="s">
        <v>6809</v>
      </c>
      <c r="F511" s="79" t="s">
        <v>6824</v>
      </c>
      <c r="G511" s="61"/>
      <c r="I511" s="78"/>
    </row>
    <row r="512" spans="1:9" ht="14.25" customHeight="1" x14ac:dyDescent="0.2">
      <c r="A512" s="65" t="s">
        <v>8251</v>
      </c>
      <c r="B512" s="65" t="s">
        <v>8252</v>
      </c>
      <c r="C512" s="65" t="s">
        <v>8253</v>
      </c>
      <c r="D512" s="66">
        <v>43286</v>
      </c>
      <c r="E512" s="76" t="s">
        <v>6809</v>
      </c>
      <c r="F512" s="79" t="s">
        <v>6810</v>
      </c>
      <c r="G512" s="61"/>
      <c r="I512" s="78"/>
    </row>
    <row r="513" spans="1:9" ht="14.25" customHeight="1" x14ac:dyDescent="0.2">
      <c r="A513" s="65">
        <v>99220199063</v>
      </c>
      <c r="B513" s="65" t="s">
        <v>8254</v>
      </c>
      <c r="C513" s="65" t="s">
        <v>8255</v>
      </c>
      <c r="D513" s="66">
        <v>43286</v>
      </c>
      <c r="E513" s="76" t="s">
        <v>6809</v>
      </c>
      <c r="F513" s="79" t="s">
        <v>6824</v>
      </c>
      <c r="G513" s="61"/>
      <c r="I513" s="78"/>
    </row>
    <row r="514" spans="1:9" ht="14.25" customHeight="1" x14ac:dyDescent="0.2">
      <c r="A514" s="65" t="s">
        <v>8256</v>
      </c>
      <c r="B514" s="65" t="s">
        <v>8257</v>
      </c>
      <c r="C514" s="65" t="s">
        <v>8258</v>
      </c>
      <c r="D514" s="66">
        <v>43286</v>
      </c>
      <c r="E514" s="76" t="s">
        <v>6809</v>
      </c>
      <c r="F514" s="79" t="s">
        <v>6824</v>
      </c>
      <c r="G514" s="61"/>
      <c r="I514" s="78"/>
    </row>
    <row r="515" spans="1:9" ht="14.25" customHeight="1" x14ac:dyDescent="0.2">
      <c r="A515" s="65" t="s">
        <v>8259</v>
      </c>
      <c r="B515" s="65" t="s">
        <v>8260</v>
      </c>
      <c r="C515" s="65" t="s">
        <v>8261</v>
      </c>
      <c r="D515" s="66">
        <v>43286</v>
      </c>
      <c r="E515" s="76" t="s">
        <v>6809</v>
      </c>
      <c r="F515" s="79" t="s">
        <v>6824</v>
      </c>
      <c r="G515" s="61"/>
      <c r="I515" s="78"/>
    </row>
    <row r="516" spans="1:9" ht="14.25" customHeight="1" x14ac:dyDescent="0.2">
      <c r="A516" s="65" t="s">
        <v>8262</v>
      </c>
      <c r="B516" s="65" t="s">
        <v>8263</v>
      </c>
      <c r="C516" s="65" t="s">
        <v>8264</v>
      </c>
      <c r="D516" s="66">
        <v>43286</v>
      </c>
      <c r="E516" s="76" t="s">
        <v>6809</v>
      </c>
      <c r="F516" s="79" t="s">
        <v>6824</v>
      </c>
      <c r="G516" s="61"/>
      <c r="I516" s="78"/>
    </row>
    <row r="517" spans="1:9" ht="14.25" customHeight="1" x14ac:dyDescent="0.2">
      <c r="A517" s="65" t="s">
        <v>8265</v>
      </c>
      <c r="B517" s="65" t="s">
        <v>8266</v>
      </c>
      <c r="C517" s="65" t="s">
        <v>8267</v>
      </c>
      <c r="D517" s="66">
        <v>43286</v>
      </c>
      <c r="E517" s="76" t="s">
        <v>6809</v>
      </c>
      <c r="F517" s="79" t="s">
        <v>6810</v>
      </c>
      <c r="G517" s="61"/>
      <c r="I517" s="78"/>
    </row>
    <row r="518" spans="1:9" ht="14.25" customHeight="1" x14ac:dyDescent="0.2">
      <c r="A518" s="65" t="s">
        <v>8268</v>
      </c>
      <c r="B518" s="65" t="s">
        <v>8269</v>
      </c>
      <c r="C518" s="65" t="s">
        <v>8270</v>
      </c>
      <c r="D518" s="66">
        <v>43286</v>
      </c>
      <c r="E518" s="76" t="s">
        <v>6809</v>
      </c>
      <c r="F518" s="79" t="s">
        <v>6810</v>
      </c>
      <c r="G518" s="61"/>
      <c r="I518" s="78"/>
    </row>
    <row r="519" spans="1:9" ht="14.25" customHeight="1" x14ac:dyDescent="0.2">
      <c r="A519" s="65" t="s">
        <v>8271</v>
      </c>
      <c r="B519" s="65" t="s">
        <v>8272</v>
      </c>
      <c r="C519" s="65" t="s">
        <v>8273</v>
      </c>
      <c r="D519" s="66">
        <v>43286</v>
      </c>
      <c r="E519" s="76" t="s">
        <v>6809</v>
      </c>
      <c r="F519" s="79" t="s">
        <v>6810</v>
      </c>
      <c r="G519" s="61"/>
      <c r="I519" s="78"/>
    </row>
    <row r="520" spans="1:9" ht="14.25" customHeight="1" x14ac:dyDescent="0.2">
      <c r="A520" s="65" t="s">
        <v>8274</v>
      </c>
      <c r="B520" s="65" t="s">
        <v>8275</v>
      </c>
      <c r="C520" s="65" t="s">
        <v>8276</v>
      </c>
      <c r="D520" s="66">
        <v>43286</v>
      </c>
      <c r="E520" s="76" t="s">
        <v>6809</v>
      </c>
      <c r="F520" s="79" t="s">
        <v>6810</v>
      </c>
      <c r="G520" s="61"/>
      <c r="I520" s="78"/>
    </row>
    <row r="521" spans="1:9" ht="14.25" customHeight="1" x14ac:dyDescent="0.2">
      <c r="A521" s="65" t="s">
        <v>8277</v>
      </c>
      <c r="B521" s="65" t="s">
        <v>8278</v>
      </c>
      <c r="C521" s="65" t="s">
        <v>8279</v>
      </c>
      <c r="D521" s="66">
        <v>43286</v>
      </c>
      <c r="E521" s="76" t="s">
        <v>6809</v>
      </c>
      <c r="F521" s="79" t="s">
        <v>6810</v>
      </c>
      <c r="G521" s="61"/>
      <c r="I521" s="78"/>
    </row>
    <row r="522" spans="1:9" ht="14.25" customHeight="1" x14ac:dyDescent="0.2">
      <c r="A522" s="65" t="s">
        <v>8280</v>
      </c>
      <c r="B522" s="65" t="s">
        <v>8281</v>
      </c>
      <c r="C522" s="65" t="s">
        <v>8282</v>
      </c>
      <c r="D522" s="66">
        <v>43286</v>
      </c>
      <c r="E522" s="76" t="s">
        <v>6809</v>
      </c>
      <c r="F522" s="79" t="s">
        <v>6810</v>
      </c>
      <c r="G522" s="61"/>
      <c r="I522" s="78"/>
    </row>
    <row r="523" spans="1:9" ht="14.25" customHeight="1" x14ac:dyDescent="0.2">
      <c r="A523" s="65" t="s">
        <v>8283</v>
      </c>
      <c r="B523" s="65" t="s">
        <v>8284</v>
      </c>
      <c r="C523" s="65" t="s">
        <v>8285</v>
      </c>
      <c r="D523" s="66">
        <v>43286</v>
      </c>
      <c r="E523" s="76" t="s">
        <v>6809</v>
      </c>
      <c r="F523" s="79" t="s">
        <v>6810</v>
      </c>
      <c r="G523" s="61"/>
      <c r="I523" s="78"/>
    </row>
    <row r="524" spans="1:9" ht="14.25" customHeight="1" x14ac:dyDescent="0.2">
      <c r="A524" s="65" t="s">
        <v>8286</v>
      </c>
      <c r="B524" s="65" t="s">
        <v>8287</v>
      </c>
      <c r="C524" s="65" t="s">
        <v>8288</v>
      </c>
      <c r="D524" s="66">
        <v>43286</v>
      </c>
      <c r="E524" s="76" t="s">
        <v>6809</v>
      </c>
      <c r="F524" s="79" t="s">
        <v>6810</v>
      </c>
      <c r="G524" s="61"/>
      <c r="I524" s="78"/>
    </row>
    <row r="525" spans="1:9" ht="14.25" customHeight="1" x14ac:dyDescent="0.2">
      <c r="A525" s="65" t="s">
        <v>8289</v>
      </c>
      <c r="B525" s="65" t="s">
        <v>8290</v>
      </c>
      <c r="C525" s="65" t="s">
        <v>1437</v>
      </c>
      <c r="D525" s="66">
        <v>43286</v>
      </c>
      <c r="E525" s="76" t="s">
        <v>6809</v>
      </c>
      <c r="F525" s="79" t="s">
        <v>6810</v>
      </c>
      <c r="G525" s="61"/>
      <c r="I525" s="78"/>
    </row>
    <row r="526" spans="1:9" ht="14.25" customHeight="1" x14ac:dyDescent="0.2">
      <c r="A526" s="65" t="s">
        <v>8291</v>
      </c>
      <c r="B526" s="65" t="s">
        <v>8292</v>
      </c>
      <c r="C526" s="65" t="s">
        <v>8293</v>
      </c>
      <c r="D526" s="66">
        <v>43286</v>
      </c>
      <c r="E526" s="76" t="s">
        <v>6809</v>
      </c>
      <c r="F526" s="79" t="s">
        <v>6810</v>
      </c>
      <c r="G526" s="61"/>
      <c r="I526" s="78"/>
    </row>
    <row r="527" spans="1:9" ht="14.25" customHeight="1" x14ac:dyDescent="0.2">
      <c r="A527" s="65" t="s">
        <v>8294</v>
      </c>
      <c r="B527" s="65" t="s">
        <v>8295</v>
      </c>
      <c r="C527" s="65" t="s">
        <v>8296</v>
      </c>
      <c r="D527" s="66">
        <v>43286</v>
      </c>
      <c r="E527" s="76" t="s">
        <v>6809</v>
      </c>
      <c r="F527" s="79" t="s">
        <v>6810</v>
      </c>
      <c r="G527" s="61"/>
      <c r="I527" s="78"/>
    </row>
    <row r="528" spans="1:9" ht="14.25" customHeight="1" x14ac:dyDescent="0.2">
      <c r="A528" s="65" t="s">
        <v>8297</v>
      </c>
      <c r="B528" s="65" t="s">
        <v>8298</v>
      </c>
      <c r="C528" s="65" t="s">
        <v>8299</v>
      </c>
      <c r="D528" s="66">
        <v>43286</v>
      </c>
      <c r="E528" s="76" t="s">
        <v>6809</v>
      </c>
      <c r="F528" s="79" t="s">
        <v>6810</v>
      </c>
      <c r="G528" s="61"/>
      <c r="I528" s="78"/>
    </row>
    <row r="529" spans="1:9" ht="14.25" customHeight="1" x14ac:dyDescent="0.2">
      <c r="A529" s="65" t="s">
        <v>8300</v>
      </c>
      <c r="B529" s="65" t="s">
        <v>8301</v>
      </c>
      <c r="C529" s="65" t="s">
        <v>8302</v>
      </c>
      <c r="D529" s="66">
        <v>43286</v>
      </c>
      <c r="E529" s="76" t="s">
        <v>6809</v>
      </c>
      <c r="F529" s="79" t="s">
        <v>6810</v>
      </c>
      <c r="G529" s="61"/>
      <c r="I529" s="78"/>
    </row>
    <row r="530" spans="1:9" ht="14.25" customHeight="1" x14ac:dyDescent="0.2">
      <c r="A530" s="65" t="s">
        <v>8303</v>
      </c>
      <c r="B530" s="65" t="s">
        <v>8304</v>
      </c>
      <c r="C530" s="65" t="s">
        <v>8305</v>
      </c>
      <c r="D530" s="66">
        <v>43286</v>
      </c>
      <c r="E530" s="76" t="s">
        <v>6809</v>
      </c>
      <c r="F530" s="79" t="s">
        <v>6810</v>
      </c>
      <c r="G530" s="61"/>
      <c r="I530" s="78"/>
    </row>
    <row r="531" spans="1:9" ht="14.25" customHeight="1" x14ac:dyDescent="0.2">
      <c r="A531" s="65" t="s">
        <v>8306</v>
      </c>
      <c r="B531" s="65" t="s">
        <v>8307</v>
      </c>
      <c r="C531" s="65" t="s">
        <v>8308</v>
      </c>
      <c r="D531" s="66">
        <v>43286</v>
      </c>
      <c r="E531" s="76" t="s">
        <v>6809</v>
      </c>
      <c r="F531" s="79" t="s">
        <v>6810</v>
      </c>
      <c r="G531" s="61"/>
      <c r="I531" s="78"/>
    </row>
    <row r="532" spans="1:9" ht="14.25" customHeight="1" x14ac:dyDescent="0.2">
      <c r="A532" s="65" t="s">
        <v>8309</v>
      </c>
      <c r="B532" s="65" t="s">
        <v>8310</v>
      </c>
      <c r="C532" s="65" t="s">
        <v>8311</v>
      </c>
      <c r="D532" s="66">
        <v>43286</v>
      </c>
      <c r="E532" s="76" t="s">
        <v>6809</v>
      </c>
      <c r="F532" s="79" t="s">
        <v>6810</v>
      </c>
      <c r="G532" s="61"/>
      <c r="I532" s="78"/>
    </row>
    <row r="533" spans="1:9" ht="14.25" customHeight="1" x14ac:dyDescent="0.2">
      <c r="A533" s="65" t="s">
        <v>8312</v>
      </c>
      <c r="B533" s="65" t="s">
        <v>8313</v>
      </c>
      <c r="C533" s="65" t="s">
        <v>8314</v>
      </c>
      <c r="D533" s="66">
        <v>43286</v>
      </c>
      <c r="E533" s="76" t="s">
        <v>6809</v>
      </c>
      <c r="F533" s="79" t="s">
        <v>6810</v>
      </c>
      <c r="G533" s="61"/>
      <c r="I533" s="78"/>
    </row>
    <row r="534" spans="1:9" ht="14.25" customHeight="1" x14ac:dyDescent="0.2">
      <c r="A534" s="65" t="s">
        <v>8315</v>
      </c>
      <c r="B534" s="65" t="s">
        <v>8316</v>
      </c>
      <c r="C534" s="65" t="s">
        <v>8317</v>
      </c>
      <c r="D534" s="66">
        <v>43286</v>
      </c>
      <c r="E534" s="76" t="s">
        <v>6809</v>
      </c>
      <c r="F534" s="79" t="s">
        <v>6810</v>
      </c>
      <c r="G534" s="61"/>
      <c r="I534" s="78"/>
    </row>
    <row r="535" spans="1:9" ht="14.25" customHeight="1" x14ac:dyDescent="0.2">
      <c r="A535" s="65" t="s">
        <v>8318</v>
      </c>
      <c r="B535" s="65" t="s">
        <v>8319</v>
      </c>
      <c r="C535" s="65" t="s">
        <v>8320</v>
      </c>
      <c r="D535" s="66">
        <v>43286</v>
      </c>
      <c r="E535" s="76" t="s">
        <v>6809</v>
      </c>
      <c r="F535" s="79" t="s">
        <v>6810</v>
      </c>
      <c r="G535" s="61"/>
      <c r="I535" s="78"/>
    </row>
    <row r="536" spans="1:9" ht="14.25" customHeight="1" x14ac:dyDescent="0.2">
      <c r="A536" s="65" t="s">
        <v>8321</v>
      </c>
      <c r="B536" s="65" t="s">
        <v>6877</v>
      </c>
      <c r="C536" s="65" t="s">
        <v>8322</v>
      </c>
      <c r="D536" s="66">
        <v>43286</v>
      </c>
      <c r="E536" s="76" t="s">
        <v>6809</v>
      </c>
      <c r="F536" s="79" t="s">
        <v>6810</v>
      </c>
      <c r="G536" s="61"/>
      <c r="I536" s="78"/>
    </row>
    <row r="537" spans="1:9" ht="14.25" customHeight="1" x14ac:dyDescent="0.2">
      <c r="A537" s="65" t="s">
        <v>8323</v>
      </c>
      <c r="B537" s="65" t="s">
        <v>8324</v>
      </c>
      <c r="C537" s="65" t="s">
        <v>8325</v>
      </c>
      <c r="D537" s="66">
        <v>43286</v>
      </c>
      <c r="E537" s="76" t="s">
        <v>6809</v>
      </c>
      <c r="F537" s="79" t="s">
        <v>6810</v>
      </c>
      <c r="G537" s="61"/>
      <c r="I537" s="78"/>
    </row>
    <row r="538" spans="1:9" ht="14.25" customHeight="1" x14ac:dyDescent="0.2">
      <c r="A538" s="65" t="s">
        <v>8326</v>
      </c>
      <c r="B538" s="65" t="s">
        <v>8327</v>
      </c>
      <c r="C538" s="65" t="s">
        <v>8328</v>
      </c>
      <c r="D538" s="66">
        <v>43286</v>
      </c>
      <c r="E538" s="76" t="s">
        <v>6809</v>
      </c>
      <c r="F538" s="79" t="s">
        <v>6810</v>
      </c>
      <c r="G538" s="61"/>
      <c r="I538" s="78"/>
    </row>
    <row r="539" spans="1:9" ht="14.25" customHeight="1" x14ac:dyDescent="0.2">
      <c r="A539" s="65" t="s">
        <v>8329</v>
      </c>
      <c r="B539" s="65" t="s">
        <v>8330</v>
      </c>
      <c r="C539" s="65" t="s">
        <v>8331</v>
      </c>
      <c r="D539" s="66">
        <v>43286</v>
      </c>
      <c r="E539" s="76" t="s">
        <v>6809</v>
      </c>
      <c r="F539" s="79" t="s">
        <v>6810</v>
      </c>
      <c r="G539" s="61"/>
      <c r="I539" s="78"/>
    </row>
    <row r="540" spans="1:9" ht="14.25" customHeight="1" x14ac:dyDescent="0.2">
      <c r="A540" s="65" t="s">
        <v>8332</v>
      </c>
      <c r="B540" s="65" t="s">
        <v>6886</v>
      </c>
      <c r="C540" s="65" t="s">
        <v>8333</v>
      </c>
      <c r="D540" s="66">
        <v>43286</v>
      </c>
      <c r="E540" s="76" t="s">
        <v>6809</v>
      </c>
      <c r="F540" s="79" t="s">
        <v>6810</v>
      </c>
      <c r="G540" s="61"/>
      <c r="I540" s="78"/>
    </row>
    <row r="541" spans="1:9" ht="14.25" customHeight="1" x14ac:dyDescent="0.2">
      <c r="A541" s="65" t="s">
        <v>8334</v>
      </c>
      <c r="B541" s="65" t="s">
        <v>6880</v>
      </c>
      <c r="C541" s="65" t="s">
        <v>8335</v>
      </c>
      <c r="D541" s="66">
        <v>43286</v>
      </c>
      <c r="E541" s="76" t="s">
        <v>6809</v>
      </c>
      <c r="F541" s="79" t="s">
        <v>6810</v>
      </c>
      <c r="G541" s="61"/>
      <c r="I541" s="78"/>
    </row>
    <row r="542" spans="1:9" ht="14.25" customHeight="1" x14ac:dyDescent="0.2">
      <c r="A542" s="65" t="s">
        <v>8336</v>
      </c>
      <c r="B542" s="65" t="s">
        <v>8337</v>
      </c>
      <c r="C542" s="65" t="s">
        <v>8338</v>
      </c>
      <c r="D542" s="66">
        <v>43286</v>
      </c>
      <c r="E542" s="76" t="s">
        <v>6809</v>
      </c>
      <c r="F542" s="79" t="s">
        <v>6810</v>
      </c>
      <c r="G542" s="61"/>
      <c r="I542" s="78"/>
    </row>
    <row r="543" spans="1:9" ht="14.25" customHeight="1" x14ac:dyDescent="0.2">
      <c r="A543" s="65" t="s">
        <v>8339</v>
      </c>
      <c r="B543" s="65" t="s">
        <v>8340</v>
      </c>
      <c r="C543" s="65" t="s">
        <v>8341</v>
      </c>
      <c r="D543" s="66">
        <v>43286</v>
      </c>
      <c r="E543" s="76" t="s">
        <v>6809</v>
      </c>
      <c r="F543" s="79" t="s">
        <v>6810</v>
      </c>
      <c r="G543" s="61"/>
      <c r="I543" s="78"/>
    </row>
    <row r="544" spans="1:9" ht="14.25" customHeight="1" x14ac:dyDescent="0.2">
      <c r="A544" s="65" t="s">
        <v>8342</v>
      </c>
      <c r="B544" s="65" t="s">
        <v>8343</v>
      </c>
      <c r="C544" s="65" t="s">
        <v>8344</v>
      </c>
      <c r="D544" s="66">
        <v>43286</v>
      </c>
      <c r="E544" s="76" t="s">
        <v>6809</v>
      </c>
      <c r="F544" s="79" t="s">
        <v>6810</v>
      </c>
      <c r="G544" s="61"/>
      <c r="I544" s="78"/>
    </row>
    <row r="545" spans="1:9" ht="14.25" customHeight="1" x14ac:dyDescent="0.2">
      <c r="A545" s="65" t="s">
        <v>8345</v>
      </c>
      <c r="B545" s="65" t="s">
        <v>8346</v>
      </c>
      <c r="C545" s="65" t="s">
        <v>8347</v>
      </c>
      <c r="D545" s="66">
        <v>43286</v>
      </c>
      <c r="E545" s="76" t="s">
        <v>6809</v>
      </c>
      <c r="F545" s="79" t="s">
        <v>6810</v>
      </c>
      <c r="G545" s="61"/>
      <c r="I545" s="78"/>
    </row>
    <row r="546" spans="1:9" ht="14.25" customHeight="1" x14ac:dyDescent="0.2">
      <c r="A546" s="65" t="s">
        <v>8348</v>
      </c>
      <c r="B546" s="65" t="s">
        <v>8349</v>
      </c>
      <c r="C546" s="65" t="s">
        <v>8350</v>
      </c>
      <c r="D546" s="66">
        <v>43286</v>
      </c>
      <c r="E546" s="76" t="s">
        <v>6809</v>
      </c>
      <c r="F546" s="79" t="s">
        <v>6810</v>
      </c>
      <c r="G546" s="61"/>
      <c r="I546" s="78"/>
    </row>
    <row r="547" spans="1:9" ht="14.25" customHeight="1" x14ac:dyDescent="0.2">
      <c r="A547" s="65" t="s">
        <v>8351</v>
      </c>
      <c r="B547" s="65" t="s">
        <v>8352</v>
      </c>
      <c r="C547" s="65" t="s">
        <v>8353</v>
      </c>
      <c r="D547" s="66">
        <v>43286</v>
      </c>
      <c r="E547" s="76" t="s">
        <v>6809</v>
      </c>
      <c r="F547" s="79" t="s">
        <v>6810</v>
      </c>
      <c r="G547" s="61"/>
      <c r="I547" s="78"/>
    </row>
    <row r="548" spans="1:9" ht="14.25" customHeight="1" x14ac:dyDescent="0.2">
      <c r="A548" s="65" t="s">
        <v>8354</v>
      </c>
      <c r="B548" s="65" t="s">
        <v>8355</v>
      </c>
      <c r="C548" s="65" t="s">
        <v>8356</v>
      </c>
      <c r="D548" s="66">
        <v>43286</v>
      </c>
      <c r="E548" s="76" t="s">
        <v>6809</v>
      </c>
      <c r="F548" s="79" t="s">
        <v>6810</v>
      </c>
      <c r="G548" s="61"/>
      <c r="I548" s="78"/>
    </row>
    <row r="549" spans="1:9" ht="14.25" customHeight="1" x14ac:dyDescent="0.2">
      <c r="A549" s="65" t="s">
        <v>8357</v>
      </c>
      <c r="B549" s="65" t="s">
        <v>8358</v>
      </c>
      <c r="C549" s="65" t="s">
        <v>8359</v>
      </c>
      <c r="D549" s="66">
        <v>43286</v>
      </c>
      <c r="E549" s="76" t="s">
        <v>6809</v>
      </c>
      <c r="F549" s="79" t="s">
        <v>6810</v>
      </c>
      <c r="G549" s="61"/>
      <c r="I549" s="78"/>
    </row>
    <row r="550" spans="1:9" ht="14.25" customHeight="1" x14ac:dyDescent="0.2">
      <c r="A550" s="65" t="s">
        <v>8360</v>
      </c>
      <c r="B550" s="65" t="s">
        <v>8361</v>
      </c>
      <c r="C550" s="65" t="s">
        <v>8362</v>
      </c>
      <c r="D550" s="66">
        <v>43284</v>
      </c>
      <c r="E550" s="76"/>
      <c r="F550" s="79" t="s">
        <v>6824</v>
      </c>
      <c r="G550" s="61"/>
      <c r="I550" s="78"/>
    </row>
    <row r="551" spans="1:9" ht="14.25" customHeight="1" x14ac:dyDescent="0.2">
      <c r="A551" s="65" t="s">
        <v>8363</v>
      </c>
      <c r="B551" s="65" t="s">
        <v>8364</v>
      </c>
      <c r="C551" s="65" t="s">
        <v>8365</v>
      </c>
      <c r="D551" s="66">
        <v>43283</v>
      </c>
      <c r="E551" s="76" t="s">
        <v>6809</v>
      </c>
      <c r="F551" s="79" t="s">
        <v>6810</v>
      </c>
      <c r="G551" s="61"/>
      <c r="I551" s="78"/>
    </row>
    <row r="552" spans="1:9" ht="14.25" customHeight="1" x14ac:dyDescent="0.2">
      <c r="A552" s="65" t="s">
        <v>8366</v>
      </c>
      <c r="B552" s="65" t="s">
        <v>8367</v>
      </c>
      <c r="C552" s="65" t="s">
        <v>8368</v>
      </c>
      <c r="D552" s="66">
        <v>43283</v>
      </c>
      <c r="E552" s="76" t="s">
        <v>6809</v>
      </c>
      <c r="F552" s="79" t="s">
        <v>6810</v>
      </c>
      <c r="G552" s="61"/>
      <c r="I552" s="78"/>
    </row>
    <row r="553" spans="1:9" ht="14.25" customHeight="1" x14ac:dyDescent="0.2">
      <c r="A553" s="65" t="s">
        <v>8369</v>
      </c>
      <c r="B553" s="65" t="s">
        <v>8370</v>
      </c>
      <c r="C553" s="65" t="s">
        <v>8371</v>
      </c>
      <c r="D553" s="66">
        <v>43283</v>
      </c>
      <c r="E553" s="76" t="s">
        <v>6809</v>
      </c>
      <c r="F553" s="79" t="s">
        <v>6810</v>
      </c>
      <c r="G553" s="61"/>
      <c r="I553" s="78"/>
    </row>
    <row r="554" spans="1:9" ht="14.25" customHeight="1" x14ac:dyDescent="0.2">
      <c r="A554" s="65" t="s">
        <v>8372</v>
      </c>
      <c r="B554" s="65" t="s">
        <v>8373</v>
      </c>
      <c r="C554" s="65" t="s">
        <v>8374</v>
      </c>
      <c r="D554" s="66">
        <v>43283</v>
      </c>
      <c r="E554" s="76" t="s">
        <v>6809</v>
      </c>
      <c r="F554" s="79" t="s">
        <v>6810</v>
      </c>
      <c r="G554" s="61"/>
      <c r="I554" s="78"/>
    </row>
    <row r="555" spans="1:9" ht="14.25" customHeight="1" x14ac:dyDescent="0.2">
      <c r="A555" s="65" t="s">
        <v>8375</v>
      </c>
      <c r="B555" s="65" t="s">
        <v>8376</v>
      </c>
      <c r="C555" s="65" t="s">
        <v>8377</v>
      </c>
      <c r="D555" s="66">
        <v>43280</v>
      </c>
      <c r="E555" s="76" t="s">
        <v>289</v>
      </c>
      <c r="F555" s="79" t="s">
        <v>8378</v>
      </c>
      <c r="G555" s="61"/>
      <c r="I555" s="78"/>
    </row>
    <row r="556" spans="1:9" ht="14.25" customHeight="1" x14ac:dyDescent="0.2">
      <c r="A556" s="65" t="s">
        <v>8379</v>
      </c>
      <c r="B556" s="65" t="s">
        <v>3175</v>
      </c>
      <c r="C556" s="65" t="s">
        <v>8380</v>
      </c>
      <c r="D556" s="66">
        <v>43280</v>
      </c>
      <c r="E556" s="76" t="s">
        <v>289</v>
      </c>
      <c r="F556" s="79" t="s">
        <v>8378</v>
      </c>
      <c r="G556" s="61"/>
      <c r="I556" s="78"/>
    </row>
    <row r="557" spans="1:9" ht="14.25" customHeight="1" x14ac:dyDescent="0.2">
      <c r="A557" s="65" t="s">
        <v>8381</v>
      </c>
      <c r="B557" s="65" t="s">
        <v>8382</v>
      </c>
      <c r="C557" s="65" t="s">
        <v>8383</v>
      </c>
      <c r="D557" s="66">
        <v>43280</v>
      </c>
      <c r="E557" s="76" t="s">
        <v>289</v>
      </c>
      <c r="F557" s="79" t="s">
        <v>8378</v>
      </c>
      <c r="G557" s="61"/>
      <c r="I557" s="78"/>
    </row>
    <row r="558" spans="1:9" ht="14.25" customHeight="1" x14ac:dyDescent="0.2">
      <c r="A558" s="65" t="s">
        <v>8384</v>
      </c>
      <c r="B558" s="65" t="s">
        <v>8385</v>
      </c>
      <c r="C558" s="65" t="s">
        <v>8386</v>
      </c>
      <c r="D558" s="66">
        <v>43280</v>
      </c>
      <c r="E558" s="76" t="s">
        <v>289</v>
      </c>
      <c r="F558" s="79" t="s">
        <v>8378</v>
      </c>
      <c r="G558" s="61"/>
      <c r="I558" s="78"/>
    </row>
    <row r="559" spans="1:9" ht="14.25" customHeight="1" x14ac:dyDescent="0.2">
      <c r="A559" s="65" t="s">
        <v>8387</v>
      </c>
      <c r="B559" s="65" t="s">
        <v>8388</v>
      </c>
      <c r="C559" s="65" t="s">
        <v>8389</v>
      </c>
      <c r="D559" s="66">
        <v>43276</v>
      </c>
      <c r="E559" s="76" t="s">
        <v>6809</v>
      </c>
      <c r="F559" s="79" t="s">
        <v>8378</v>
      </c>
      <c r="G559" s="61"/>
      <c r="I559" s="78"/>
    </row>
    <row r="560" spans="1:9" ht="14.25" customHeight="1" x14ac:dyDescent="0.2">
      <c r="A560" s="65" t="s">
        <v>8390</v>
      </c>
      <c r="B560" s="65" t="s">
        <v>8391</v>
      </c>
      <c r="C560" s="65" t="s">
        <v>8392</v>
      </c>
      <c r="D560" s="66">
        <v>43276</v>
      </c>
      <c r="E560" s="76" t="s">
        <v>7922</v>
      </c>
      <c r="F560" s="79" t="s">
        <v>8378</v>
      </c>
      <c r="G560" s="61"/>
      <c r="I560" s="78"/>
    </row>
    <row r="561" spans="1:9" ht="14.25" customHeight="1" x14ac:dyDescent="0.2">
      <c r="A561" s="65" t="s">
        <v>8393</v>
      </c>
      <c r="B561" s="65" t="s">
        <v>8115</v>
      </c>
      <c r="C561" s="65" t="s">
        <v>8394</v>
      </c>
      <c r="D561" s="66">
        <v>43276</v>
      </c>
      <c r="E561" s="76" t="s">
        <v>6809</v>
      </c>
      <c r="F561" s="79" t="s">
        <v>8395</v>
      </c>
      <c r="G561" s="61"/>
      <c r="I561" s="78"/>
    </row>
    <row r="562" spans="1:9" ht="14.25" customHeight="1" x14ac:dyDescent="0.2">
      <c r="A562" s="65" t="s">
        <v>8396</v>
      </c>
      <c r="B562" s="65" t="s">
        <v>8397</v>
      </c>
      <c r="C562" s="65" t="s">
        <v>8398</v>
      </c>
      <c r="D562" s="66">
        <v>43269</v>
      </c>
      <c r="E562" s="76" t="s">
        <v>289</v>
      </c>
      <c r="F562" s="79" t="s">
        <v>8378</v>
      </c>
      <c r="G562" s="61"/>
      <c r="I562" s="78"/>
    </row>
    <row r="563" spans="1:9" ht="14.25" customHeight="1" x14ac:dyDescent="0.2">
      <c r="A563" s="65" t="s">
        <v>8399</v>
      </c>
      <c r="B563" s="65" t="s">
        <v>8400</v>
      </c>
      <c r="C563" s="65" t="s">
        <v>8401</v>
      </c>
      <c r="D563" s="66">
        <v>43262</v>
      </c>
      <c r="E563" s="76" t="s">
        <v>6809</v>
      </c>
      <c r="F563" s="79" t="s">
        <v>6824</v>
      </c>
      <c r="G563" s="61"/>
      <c r="I563" s="78"/>
    </row>
    <row r="564" spans="1:9" ht="14.25" customHeight="1" x14ac:dyDescent="0.2">
      <c r="A564" s="65" t="s">
        <v>8402</v>
      </c>
      <c r="B564" s="65" t="s">
        <v>8403</v>
      </c>
      <c r="C564" s="65" t="s">
        <v>8404</v>
      </c>
      <c r="D564" s="66">
        <v>43261</v>
      </c>
      <c r="E564" s="76" t="s">
        <v>6809</v>
      </c>
      <c r="F564" s="79" t="s">
        <v>6810</v>
      </c>
      <c r="G564" s="61"/>
      <c r="I564" s="78"/>
    </row>
    <row r="565" spans="1:9" ht="14.25" customHeight="1" x14ac:dyDescent="0.2">
      <c r="A565" s="65" t="s">
        <v>8405</v>
      </c>
      <c r="B565" s="65" t="s">
        <v>8406</v>
      </c>
      <c r="C565" s="65" t="s">
        <v>8407</v>
      </c>
      <c r="D565" s="66">
        <v>43261</v>
      </c>
      <c r="E565" s="76" t="s">
        <v>6809</v>
      </c>
      <c r="F565" s="79" t="s">
        <v>6810</v>
      </c>
      <c r="G565" s="61"/>
      <c r="I565" s="78"/>
    </row>
    <row r="566" spans="1:9" ht="14.25" customHeight="1" x14ac:dyDescent="0.2">
      <c r="A566" s="65" t="s">
        <v>8408</v>
      </c>
      <c r="B566" s="65" t="s">
        <v>8409</v>
      </c>
      <c r="C566" s="65" t="s">
        <v>8410</v>
      </c>
      <c r="D566" s="66">
        <v>43261</v>
      </c>
      <c r="E566" s="76" t="s">
        <v>6809</v>
      </c>
      <c r="F566" s="79" t="s">
        <v>6810</v>
      </c>
      <c r="G566" s="61"/>
      <c r="I566" s="78"/>
    </row>
    <row r="567" spans="1:9" ht="14.25" customHeight="1" x14ac:dyDescent="0.2">
      <c r="A567" s="65" t="s">
        <v>8411</v>
      </c>
      <c r="B567" s="65" t="s">
        <v>8412</v>
      </c>
      <c r="C567" s="65" t="s">
        <v>8413</v>
      </c>
      <c r="D567" s="66">
        <v>43261</v>
      </c>
      <c r="E567" s="76" t="s">
        <v>6809</v>
      </c>
      <c r="F567" s="79" t="s">
        <v>6810</v>
      </c>
      <c r="G567" s="61"/>
      <c r="I567" s="78"/>
    </row>
    <row r="568" spans="1:9" ht="14.25" customHeight="1" x14ac:dyDescent="0.2">
      <c r="A568" s="65" t="s">
        <v>8414</v>
      </c>
      <c r="B568" s="65" t="s">
        <v>8415</v>
      </c>
      <c r="C568" s="65" t="s">
        <v>8416</v>
      </c>
      <c r="D568" s="66">
        <v>43261</v>
      </c>
      <c r="E568" s="76" t="s">
        <v>6809</v>
      </c>
      <c r="F568" s="79" t="s">
        <v>6810</v>
      </c>
      <c r="G568" s="61"/>
      <c r="I568" s="78"/>
    </row>
    <row r="569" spans="1:9" ht="14.25" customHeight="1" x14ac:dyDescent="0.2">
      <c r="A569" s="65" t="s">
        <v>8417</v>
      </c>
      <c r="B569" s="65" t="s">
        <v>8418</v>
      </c>
      <c r="C569" s="65" t="s">
        <v>8419</v>
      </c>
      <c r="D569" s="66">
        <v>43261</v>
      </c>
      <c r="E569" s="76" t="s">
        <v>6809</v>
      </c>
      <c r="F569" s="79" t="s">
        <v>6810</v>
      </c>
      <c r="G569" s="61"/>
      <c r="I569" s="78"/>
    </row>
    <row r="570" spans="1:9" ht="14.25" customHeight="1" x14ac:dyDescent="0.2">
      <c r="A570" s="65" t="s">
        <v>8420</v>
      </c>
      <c r="B570" s="65" t="s">
        <v>8421</v>
      </c>
      <c r="C570" s="65" t="s">
        <v>8422</v>
      </c>
      <c r="D570" s="66">
        <v>43261</v>
      </c>
      <c r="E570" s="76" t="s">
        <v>6809</v>
      </c>
      <c r="F570" s="79" t="s">
        <v>6810</v>
      </c>
      <c r="G570" s="61"/>
      <c r="I570" s="78"/>
    </row>
    <row r="571" spans="1:9" ht="14.25" customHeight="1" x14ac:dyDescent="0.2">
      <c r="A571" s="65" t="s">
        <v>8423</v>
      </c>
      <c r="B571" s="65" t="s">
        <v>8424</v>
      </c>
      <c r="C571" s="65" t="s">
        <v>8425</v>
      </c>
      <c r="D571" s="66">
        <v>43261</v>
      </c>
      <c r="E571" s="76" t="s">
        <v>6809</v>
      </c>
      <c r="F571" s="79" t="s">
        <v>6810</v>
      </c>
      <c r="G571" s="61"/>
      <c r="I571" s="78"/>
    </row>
    <row r="572" spans="1:9" ht="14.25" customHeight="1" x14ac:dyDescent="0.2">
      <c r="A572" s="65" t="s">
        <v>8426</v>
      </c>
      <c r="B572" s="65" t="s">
        <v>8427</v>
      </c>
      <c r="C572" s="65" t="s">
        <v>8428</v>
      </c>
      <c r="D572" s="66">
        <v>43261</v>
      </c>
      <c r="E572" s="76" t="s">
        <v>6809</v>
      </c>
      <c r="F572" s="79" t="s">
        <v>6810</v>
      </c>
      <c r="G572" s="61"/>
      <c r="I572" s="78"/>
    </row>
    <row r="573" spans="1:9" ht="14.25" customHeight="1" x14ac:dyDescent="0.2">
      <c r="A573" s="65" t="s">
        <v>8094</v>
      </c>
      <c r="B573" s="65" t="s">
        <v>8095</v>
      </c>
      <c r="C573" s="65" t="s">
        <v>8096</v>
      </c>
      <c r="D573" s="66">
        <v>43261</v>
      </c>
      <c r="E573" s="76" t="s">
        <v>6809</v>
      </c>
      <c r="F573" s="79" t="s">
        <v>8429</v>
      </c>
      <c r="G573" s="61"/>
      <c r="I573" s="78"/>
    </row>
    <row r="574" spans="1:9" ht="14.25" customHeight="1" x14ac:dyDescent="0.2">
      <c r="A574" s="65" t="s">
        <v>8430</v>
      </c>
      <c r="B574" s="65" t="s">
        <v>8431</v>
      </c>
      <c r="C574" s="65" t="s">
        <v>8432</v>
      </c>
      <c r="D574" s="66">
        <v>43261</v>
      </c>
      <c r="E574" s="76" t="s">
        <v>6809</v>
      </c>
      <c r="F574" s="79" t="s">
        <v>6810</v>
      </c>
      <c r="G574" s="61"/>
      <c r="I574" s="78"/>
    </row>
    <row r="575" spans="1:9" ht="14.25" customHeight="1" x14ac:dyDescent="0.2">
      <c r="A575" s="65" t="s">
        <v>8433</v>
      </c>
      <c r="B575" s="65" t="s">
        <v>8434</v>
      </c>
      <c r="C575" s="65" t="s">
        <v>8435</v>
      </c>
      <c r="D575" s="66">
        <v>43261</v>
      </c>
      <c r="E575" s="76" t="s">
        <v>6809</v>
      </c>
      <c r="F575" s="79" t="s">
        <v>6810</v>
      </c>
      <c r="G575" s="61"/>
      <c r="I575" s="78"/>
    </row>
    <row r="576" spans="1:9" ht="14.25" customHeight="1" x14ac:dyDescent="0.2">
      <c r="A576" s="65" t="s">
        <v>8436</v>
      </c>
      <c r="B576" s="65" t="s">
        <v>8437</v>
      </c>
      <c r="C576" s="65" t="s">
        <v>8438</v>
      </c>
      <c r="D576" s="66">
        <v>43261</v>
      </c>
      <c r="E576" s="76" t="s">
        <v>6809</v>
      </c>
      <c r="F576" s="79" t="s">
        <v>6810</v>
      </c>
      <c r="G576" s="61"/>
      <c r="I576" s="78"/>
    </row>
    <row r="577" spans="1:9" ht="14.25" customHeight="1" x14ac:dyDescent="0.2">
      <c r="A577" s="65" t="s">
        <v>8439</v>
      </c>
      <c r="B577" s="65" t="s">
        <v>8440</v>
      </c>
      <c r="C577" s="65" t="s">
        <v>8441</v>
      </c>
      <c r="D577" s="66">
        <v>43261</v>
      </c>
      <c r="E577" s="76" t="s">
        <v>6809</v>
      </c>
      <c r="F577" s="79" t="s">
        <v>6810</v>
      </c>
      <c r="G577" s="61"/>
      <c r="I577" s="78"/>
    </row>
    <row r="578" spans="1:9" ht="14.25" customHeight="1" x14ac:dyDescent="0.2">
      <c r="A578" s="65" t="s">
        <v>8442</v>
      </c>
      <c r="B578" s="65" t="s">
        <v>8443</v>
      </c>
      <c r="C578" s="65" t="s">
        <v>8444</v>
      </c>
      <c r="D578" s="66">
        <v>43261</v>
      </c>
      <c r="E578" s="76" t="s">
        <v>6809</v>
      </c>
      <c r="F578" s="79" t="s">
        <v>6810</v>
      </c>
      <c r="G578" s="61"/>
      <c r="I578" s="78"/>
    </row>
    <row r="579" spans="1:9" ht="14.25" customHeight="1" x14ac:dyDescent="0.2">
      <c r="A579" s="65" t="s">
        <v>8445</v>
      </c>
      <c r="B579" s="65" t="s">
        <v>8446</v>
      </c>
      <c r="C579" s="65" t="s">
        <v>8447</v>
      </c>
      <c r="D579" s="66">
        <v>43261</v>
      </c>
      <c r="E579" s="76" t="s">
        <v>6809</v>
      </c>
      <c r="F579" s="79" t="s">
        <v>6810</v>
      </c>
      <c r="G579" s="61"/>
      <c r="I579" s="78"/>
    </row>
    <row r="580" spans="1:9" ht="14.25" customHeight="1" x14ac:dyDescent="0.2">
      <c r="A580" s="65" t="s">
        <v>8448</v>
      </c>
      <c r="B580" s="65" t="s">
        <v>8449</v>
      </c>
      <c r="C580" s="65" t="s">
        <v>8450</v>
      </c>
      <c r="D580" s="66">
        <v>43261</v>
      </c>
      <c r="E580" s="76" t="s">
        <v>6809</v>
      </c>
      <c r="F580" s="79" t="s">
        <v>6810</v>
      </c>
      <c r="G580" s="61"/>
      <c r="I580" s="78"/>
    </row>
    <row r="581" spans="1:9" ht="14.25" customHeight="1" x14ac:dyDescent="0.2">
      <c r="A581" s="65" t="s">
        <v>8451</v>
      </c>
      <c r="B581" s="65" t="s">
        <v>8452</v>
      </c>
      <c r="C581" s="65" t="s">
        <v>8453</v>
      </c>
      <c r="D581" s="66">
        <v>43261</v>
      </c>
      <c r="E581" s="76" t="s">
        <v>6809</v>
      </c>
      <c r="F581" s="79" t="s">
        <v>6810</v>
      </c>
      <c r="G581" s="61"/>
      <c r="I581" s="78"/>
    </row>
    <row r="582" spans="1:9" ht="14.25" customHeight="1" x14ac:dyDescent="0.2">
      <c r="A582" s="65" t="s">
        <v>8454</v>
      </c>
      <c r="B582" s="65" t="s">
        <v>8455</v>
      </c>
      <c r="C582" s="65" t="s">
        <v>8456</v>
      </c>
      <c r="D582" s="66">
        <v>43261</v>
      </c>
      <c r="E582" s="76" t="s">
        <v>6809</v>
      </c>
      <c r="F582" s="79" t="s">
        <v>6810</v>
      </c>
      <c r="G582" s="61"/>
      <c r="I582" s="78"/>
    </row>
    <row r="583" spans="1:9" ht="14.25" customHeight="1" x14ac:dyDescent="0.2">
      <c r="A583" s="65" t="s">
        <v>8457</v>
      </c>
      <c r="B583" s="65" t="s">
        <v>8458</v>
      </c>
      <c r="C583" s="65" t="s">
        <v>8459</v>
      </c>
      <c r="D583" s="66">
        <v>43261</v>
      </c>
      <c r="E583" s="76" t="s">
        <v>6809</v>
      </c>
      <c r="F583" s="79" t="s">
        <v>6810</v>
      </c>
      <c r="G583" s="61"/>
      <c r="I583" s="78"/>
    </row>
    <row r="584" spans="1:9" ht="14.25" customHeight="1" x14ac:dyDescent="0.2">
      <c r="A584" s="65" t="s">
        <v>8460</v>
      </c>
      <c r="B584" s="65" t="s">
        <v>6874</v>
      </c>
      <c r="C584" s="65" t="s">
        <v>8461</v>
      </c>
      <c r="D584" s="66">
        <v>43261</v>
      </c>
      <c r="E584" s="76" t="s">
        <v>6809</v>
      </c>
      <c r="F584" s="79" t="s">
        <v>6810</v>
      </c>
      <c r="G584" s="61"/>
      <c r="I584" s="78"/>
    </row>
    <row r="585" spans="1:9" ht="14.25" customHeight="1" x14ac:dyDescent="0.2">
      <c r="A585" s="65" t="s">
        <v>8462</v>
      </c>
      <c r="B585" s="65" t="s">
        <v>8463</v>
      </c>
      <c r="C585" s="65" t="s">
        <v>8464</v>
      </c>
      <c r="D585" s="66">
        <v>43261</v>
      </c>
      <c r="E585" s="76" t="s">
        <v>6809</v>
      </c>
      <c r="F585" s="79" t="s">
        <v>6810</v>
      </c>
      <c r="G585" s="61"/>
      <c r="I585" s="78"/>
    </row>
    <row r="586" spans="1:9" ht="14.25" customHeight="1" x14ac:dyDescent="0.2">
      <c r="A586" s="65" t="s">
        <v>8465</v>
      </c>
      <c r="B586" s="65" t="s">
        <v>8466</v>
      </c>
      <c r="C586" s="65" t="s">
        <v>8467</v>
      </c>
      <c r="D586" s="66">
        <v>43261</v>
      </c>
      <c r="E586" s="76" t="s">
        <v>6809</v>
      </c>
      <c r="F586" s="79" t="s">
        <v>6810</v>
      </c>
      <c r="G586" s="61"/>
      <c r="I586" s="78"/>
    </row>
    <row r="587" spans="1:9" ht="14.25" customHeight="1" x14ac:dyDescent="0.2">
      <c r="A587" s="65" t="s">
        <v>8468</v>
      </c>
      <c r="B587" s="65" t="s">
        <v>8469</v>
      </c>
      <c r="C587" s="65" t="s">
        <v>8470</v>
      </c>
      <c r="D587" s="66">
        <v>43261</v>
      </c>
      <c r="E587" s="76" t="s">
        <v>6809</v>
      </c>
      <c r="F587" s="79" t="s">
        <v>6810</v>
      </c>
      <c r="G587" s="61"/>
      <c r="I587" s="78"/>
    </row>
    <row r="588" spans="1:9" ht="14.25" customHeight="1" x14ac:dyDescent="0.2">
      <c r="A588" s="65" t="s">
        <v>8471</v>
      </c>
      <c r="B588" s="65" t="s">
        <v>7798</v>
      </c>
      <c r="C588" s="65" t="s">
        <v>7799</v>
      </c>
      <c r="D588" s="66">
        <v>43261</v>
      </c>
      <c r="E588" s="76" t="s">
        <v>6809</v>
      </c>
      <c r="F588" s="79" t="s">
        <v>6810</v>
      </c>
      <c r="G588" s="61"/>
      <c r="I588" s="78"/>
    </row>
    <row r="589" spans="1:9" ht="14.25" customHeight="1" x14ac:dyDescent="0.2">
      <c r="A589" s="65" t="s">
        <v>8472</v>
      </c>
      <c r="B589" s="65" t="s">
        <v>8473</v>
      </c>
      <c r="C589" s="65" t="s">
        <v>8474</v>
      </c>
      <c r="D589" s="66">
        <v>43261</v>
      </c>
      <c r="E589" s="76" t="s">
        <v>6809</v>
      </c>
      <c r="F589" s="79" t="s">
        <v>6810</v>
      </c>
      <c r="G589" s="61"/>
      <c r="I589" s="78"/>
    </row>
    <row r="590" spans="1:9" ht="14.25" customHeight="1" x14ac:dyDescent="0.2">
      <c r="A590" s="65" t="s">
        <v>8475</v>
      </c>
      <c r="B590" s="65" t="s">
        <v>8476</v>
      </c>
      <c r="C590" s="65" t="s">
        <v>8477</v>
      </c>
      <c r="D590" s="66">
        <v>43258</v>
      </c>
      <c r="E590" s="76" t="s">
        <v>6809</v>
      </c>
      <c r="F590" s="79" t="s">
        <v>6810</v>
      </c>
      <c r="G590" s="61"/>
      <c r="I590" s="78"/>
    </row>
    <row r="591" spans="1:9" ht="14.25" customHeight="1" x14ac:dyDescent="0.2">
      <c r="A591" s="65" t="s">
        <v>8478</v>
      </c>
      <c r="B591" s="65" t="s">
        <v>8479</v>
      </c>
      <c r="C591" s="65" t="s">
        <v>8480</v>
      </c>
      <c r="D591" s="66">
        <v>43258</v>
      </c>
      <c r="E591" s="76" t="s">
        <v>6809</v>
      </c>
      <c r="F591" s="79" t="s">
        <v>6814</v>
      </c>
      <c r="G591" s="61"/>
      <c r="I591" s="78"/>
    </row>
    <row r="592" spans="1:9" ht="14.25" customHeight="1" x14ac:dyDescent="0.2">
      <c r="A592" s="65" t="s">
        <v>8481</v>
      </c>
      <c r="B592" s="65" t="s">
        <v>6883</v>
      </c>
      <c r="C592" s="65" t="s">
        <v>8482</v>
      </c>
      <c r="D592" s="66">
        <v>43238</v>
      </c>
      <c r="E592" s="76" t="s">
        <v>6809</v>
      </c>
      <c r="F592" s="79" t="s">
        <v>6810</v>
      </c>
      <c r="G592" s="61"/>
      <c r="I592" s="78"/>
    </row>
    <row r="593" spans="1:9" ht="14.25" customHeight="1" x14ac:dyDescent="0.2">
      <c r="A593" s="65" t="s">
        <v>8483</v>
      </c>
      <c r="B593" s="65" t="s">
        <v>3167</v>
      </c>
      <c r="C593" s="65" t="s">
        <v>8484</v>
      </c>
      <c r="D593" s="66">
        <v>43238</v>
      </c>
      <c r="E593" s="76" t="s">
        <v>6809</v>
      </c>
      <c r="F593" s="79" t="s">
        <v>6814</v>
      </c>
      <c r="G593" s="61"/>
      <c r="I593" s="78"/>
    </row>
    <row r="594" spans="1:9" ht="14.25" customHeight="1" x14ac:dyDescent="0.2">
      <c r="A594" s="65" t="s">
        <v>8485</v>
      </c>
      <c r="B594" s="65" t="s">
        <v>3159</v>
      </c>
      <c r="C594" s="65" t="s">
        <v>8486</v>
      </c>
      <c r="D594" s="66">
        <v>43238</v>
      </c>
      <c r="E594" s="76" t="s">
        <v>6809</v>
      </c>
      <c r="F594" s="79" t="s">
        <v>6814</v>
      </c>
      <c r="G594" s="61"/>
      <c r="I594" s="78"/>
    </row>
    <row r="595" spans="1:9" ht="14.25" customHeight="1" x14ac:dyDescent="0.2">
      <c r="A595" s="65" t="s">
        <v>8487</v>
      </c>
      <c r="B595" s="65" t="s">
        <v>3939</v>
      </c>
      <c r="C595" s="65" t="s">
        <v>8488</v>
      </c>
      <c r="D595" s="66">
        <v>43238</v>
      </c>
      <c r="E595" s="76" t="s">
        <v>6809</v>
      </c>
      <c r="F595" s="79" t="s">
        <v>6814</v>
      </c>
      <c r="G595" s="61"/>
      <c r="I595" s="78"/>
    </row>
    <row r="596" spans="1:9" ht="14.25" customHeight="1" x14ac:dyDescent="0.2">
      <c r="A596" s="65">
        <v>99120205024</v>
      </c>
      <c r="B596" s="65" t="s">
        <v>8489</v>
      </c>
      <c r="C596" s="65" t="s">
        <v>8490</v>
      </c>
      <c r="D596" s="66">
        <v>43236</v>
      </c>
      <c r="E596" s="76" t="s">
        <v>6809</v>
      </c>
      <c r="F596" s="79" t="s">
        <v>6810</v>
      </c>
      <c r="G596" s="61"/>
      <c r="I596" s="78"/>
    </row>
    <row r="597" spans="1:9" ht="14.25" customHeight="1" x14ac:dyDescent="0.2">
      <c r="A597" s="65" t="s">
        <v>8491</v>
      </c>
      <c r="B597" s="65" t="s">
        <v>8492</v>
      </c>
      <c r="C597" s="65" t="s">
        <v>8493</v>
      </c>
      <c r="D597" s="66">
        <v>43234</v>
      </c>
      <c r="E597" s="76" t="s">
        <v>6809</v>
      </c>
      <c r="F597" s="79" t="s">
        <v>6814</v>
      </c>
      <c r="G597" s="61"/>
      <c r="I597" s="78"/>
    </row>
    <row r="598" spans="1:9" ht="14.25" customHeight="1" x14ac:dyDescent="0.2">
      <c r="A598" s="65" t="s">
        <v>8494</v>
      </c>
      <c r="B598" s="65" t="s">
        <v>8495</v>
      </c>
      <c r="C598" s="65" t="s">
        <v>8496</v>
      </c>
      <c r="D598" s="66">
        <v>43234</v>
      </c>
      <c r="E598" s="76" t="s">
        <v>6809</v>
      </c>
      <c r="F598" s="79" t="s">
        <v>6814</v>
      </c>
      <c r="G598" s="61"/>
      <c r="I598" s="78"/>
    </row>
    <row r="599" spans="1:9" ht="14.25" customHeight="1" x14ac:dyDescent="0.2">
      <c r="A599" s="65" t="s">
        <v>8497</v>
      </c>
      <c r="B599" s="65" t="s">
        <v>8498</v>
      </c>
      <c r="C599" s="65" t="s">
        <v>8499</v>
      </c>
      <c r="D599" s="66">
        <v>43234</v>
      </c>
      <c r="E599" s="76" t="s">
        <v>6809</v>
      </c>
      <c r="F599" s="79" t="s">
        <v>6814</v>
      </c>
      <c r="G599" s="61"/>
      <c r="I599" s="78"/>
    </row>
    <row r="600" spans="1:9" ht="14.25" customHeight="1" x14ac:dyDescent="0.2">
      <c r="A600" s="65" t="s">
        <v>8500</v>
      </c>
      <c r="B600" s="65" t="s">
        <v>6809</v>
      </c>
      <c r="C600" s="65" t="s">
        <v>8501</v>
      </c>
      <c r="D600" s="66">
        <v>43234</v>
      </c>
      <c r="E600" s="76" t="s">
        <v>6809</v>
      </c>
      <c r="F600" s="79" t="s">
        <v>6814</v>
      </c>
      <c r="G600" s="61"/>
      <c r="I600" s="78"/>
    </row>
    <row r="601" spans="1:9" ht="14.25" customHeight="1" x14ac:dyDescent="0.2">
      <c r="A601" s="65" t="s">
        <v>8502</v>
      </c>
      <c r="B601" s="65" t="s">
        <v>6809</v>
      </c>
      <c r="C601" s="65" t="s">
        <v>8503</v>
      </c>
      <c r="D601" s="66">
        <v>43234</v>
      </c>
      <c r="E601" s="76" t="s">
        <v>6809</v>
      </c>
      <c r="F601" s="79" t="s">
        <v>6814</v>
      </c>
      <c r="G601" s="61"/>
      <c r="I601" s="78"/>
    </row>
    <row r="602" spans="1:9" ht="14.25" customHeight="1" x14ac:dyDescent="0.2">
      <c r="A602" s="65" t="s">
        <v>8504</v>
      </c>
      <c r="B602" s="65" t="s">
        <v>6809</v>
      </c>
      <c r="C602" s="65" t="s">
        <v>8505</v>
      </c>
      <c r="D602" s="66">
        <v>43234</v>
      </c>
      <c r="E602" s="76" t="s">
        <v>6809</v>
      </c>
      <c r="F602" s="79" t="s">
        <v>6814</v>
      </c>
      <c r="G602" s="61"/>
      <c r="I602" s="78"/>
    </row>
    <row r="603" spans="1:9" ht="14.25" customHeight="1" x14ac:dyDescent="0.2">
      <c r="A603" s="65" t="s">
        <v>8506</v>
      </c>
      <c r="B603" s="65" t="s">
        <v>6809</v>
      </c>
      <c r="C603" s="65" t="s">
        <v>8507</v>
      </c>
      <c r="D603" s="66">
        <v>43234</v>
      </c>
      <c r="E603" s="76" t="s">
        <v>6809</v>
      </c>
      <c r="F603" s="79" t="s">
        <v>6814</v>
      </c>
      <c r="G603" s="61"/>
      <c r="I603" s="78"/>
    </row>
    <row r="604" spans="1:9" ht="14.25" customHeight="1" x14ac:dyDescent="0.2">
      <c r="A604" s="65" t="s">
        <v>8508</v>
      </c>
      <c r="B604" s="65" t="s">
        <v>6809</v>
      </c>
      <c r="C604" s="65" t="s">
        <v>8509</v>
      </c>
      <c r="D604" s="66">
        <v>43234</v>
      </c>
      <c r="E604" s="76" t="s">
        <v>6809</v>
      </c>
      <c r="F604" s="79" t="s">
        <v>6814</v>
      </c>
      <c r="G604" s="61"/>
      <c r="I604" s="78"/>
    </row>
    <row r="605" spans="1:9" ht="14.25" customHeight="1" x14ac:dyDescent="0.2">
      <c r="A605" s="65" t="s">
        <v>8510</v>
      </c>
      <c r="B605" s="65" t="s">
        <v>6809</v>
      </c>
      <c r="C605" s="65" t="s">
        <v>8511</v>
      </c>
      <c r="D605" s="66">
        <v>43234</v>
      </c>
      <c r="E605" s="76" t="s">
        <v>6809</v>
      </c>
      <c r="F605" s="79" t="s">
        <v>6814</v>
      </c>
      <c r="G605" s="61"/>
      <c r="I605" s="78"/>
    </row>
    <row r="606" spans="1:9" ht="14.25" customHeight="1" x14ac:dyDescent="0.2">
      <c r="A606" s="65" t="s">
        <v>8512</v>
      </c>
      <c r="B606" s="65" t="s">
        <v>8513</v>
      </c>
      <c r="C606" s="65" t="s">
        <v>8514</v>
      </c>
      <c r="D606" s="66">
        <v>43234</v>
      </c>
      <c r="E606" s="76" t="s">
        <v>6809</v>
      </c>
      <c r="F606" s="79" t="s">
        <v>6814</v>
      </c>
      <c r="G606" s="61"/>
      <c r="I606" s="78"/>
    </row>
    <row r="607" spans="1:9" ht="14.25" customHeight="1" x14ac:dyDescent="0.2">
      <c r="A607" s="65" t="s">
        <v>8515</v>
      </c>
      <c r="B607" s="65" t="s">
        <v>8516</v>
      </c>
      <c r="C607" s="65" t="s">
        <v>8517</v>
      </c>
      <c r="D607" s="66">
        <v>43234</v>
      </c>
      <c r="E607" s="76" t="s">
        <v>6809</v>
      </c>
      <c r="F607" s="79" t="s">
        <v>6814</v>
      </c>
      <c r="G607" s="61"/>
      <c r="I607" s="78"/>
    </row>
    <row r="608" spans="1:9" ht="14.25" customHeight="1" x14ac:dyDescent="0.2">
      <c r="A608" s="65" t="s">
        <v>8518</v>
      </c>
      <c r="B608" s="65" t="s">
        <v>8519</v>
      </c>
      <c r="C608" s="65" t="s">
        <v>8520</v>
      </c>
      <c r="D608" s="66">
        <v>43234</v>
      </c>
      <c r="E608" s="76" t="s">
        <v>6809</v>
      </c>
      <c r="F608" s="79" t="s">
        <v>6814</v>
      </c>
      <c r="G608" s="61"/>
      <c r="I608" s="78"/>
    </row>
    <row r="609" spans="1:9" ht="14.25" customHeight="1" x14ac:dyDescent="0.2">
      <c r="A609" s="65" t="s">
        <v>8521</v>
      </c>
      <c r="B609" s="65" t="s">
        <v>8522</v>
      </c>
      <c r="C609" s="65" t="s">
        <v>8523</v>
      </c>
      <c r="D609" s="66">
        <v>43234</v>
      </c>
      <c r="E609" s="76" t="s">
        <v>6809</v>
      </c>
      <c r="F609" s="79" t="s">
        <v>6814</v>
      </c>
      <c r="G609" s="61"/>
      <c r="I609" s="78"/>
    </row>
    <row r="610" spans="1:9" ht="14.25" customHeight="1" x14ac:dyDescent="0.2">
      <c r="A610" s="65" t="s">
        <v>8524</v>
      </c>
      <c r="B610" s="65" t="s">
        <v>8525</v>
      </c>
      <c r="C610" s="65" t="s">
        <v>8526</v>
      </c>
      <c r="D610" s="66">
        <v>43234</v>
      </c>
      <c r="E610" s="76" t="s">
        <v>6809</v>
      </c>
      <c r="F610" s="79" t="s">
        <v>6814</v>
      </c>
      <c r="G610" s="61"/>
      <c r="I610" s="78"/>
    </row>
    <row r="611" spans="1:9" ht="14.25" customHeight="1" x14ac:dyDescent="0.2">
      <c r="A611" s="65" t="s">
        <v>8527</v>
      </c>
      <c r="B611" s="65" t="s">
        <v>8528</v>
      </c>
      <c r="C611" s="65" t="s">
        <v>8529</v>
      </c>
      <c r="D611" s="66">
        <v>43234</v>
      </c>
      <c r="E611" s="76" t="s">
        <v>6809</v>
      </c>
      <c r="F611" s="79" t="s">
        <v>6814</v>
      </c>
      <c r="G611" s="61"/>
      <c r="I611" s="78"/>
    </row>
    <row r="612" spans="1:9" ht="14.25" customHeight="1" x14ac:dyDescent="0.2">
      <c r="A612" s="65" t="s">
        <v>8530</v>
      </c>
      <c r="B612" s="65" t="s">
        <v>2143</v>
      </c>
      <c r="C612" s="65" t="s">
        <v>8531</v>
      </c>
      <c r="D612" s="66">
        <v>43234</v>
      </c>
      <c r="E612" s="76" t="s">
        <v>6809</v>
      </c>
      <c r="F612" s="79" t="s">
        <v>8532</v>
      </c>
      <c r="G612" s="61"/>
      <c r="I612" s="78"/>
    </row>
    <row r="613" spans="1:9" ht="14.25" customHeight="1" x14ac:dyDescent="0.2">
      <c r="A613" s="65" t="s">
        <v>8533</v>
      </c>
      <c r="B613" s="65" t="s">
        <v>8534</v>
      </c>
      <c r="C613" s="65" t="s">
        <v>8535</v>
      </c>
      <c r="D613" s="66">
        <v>43229</v>
      </c>
      <c r="E613" s="76" t="s">
        <v>6809</v>
      </c>
      <c r="F613" s="79" t="s">
        <v>6810</v>
      </c>
      <c r="G613" s="61"/>
      <c r="I613" s="78"/>
    </row>
    <row r="614" spans="1:9" ht="14.25" customHeight="1" x14ac:dyDescent="0.2">
      <c r="A614" s="65" t="s">
        <v>8536</v>
      </c>
      <c r="B614" s="65" t="s">
        <v>8537</v>
      </c>
      <c r="C614" s="65" t="s">
        <v>8538</v>
      </c>
      <c r="D614" s="66">
        <v>43228</v>
      </c>
      <c r="E614" s="76" t="s">
        <v>6809</v>
      </c>
      <c r="F614" s="79" t="s">
        <v>6810</v>
      </c>
      <c r="G614" s="61"/>
      <c r="I614" s="78"/>
    </row>
    <row r="615" spans="1:9" ht="14.25" customHeight="1" x14ac:dyDescent="0.2">
      <c r="A615" s="65" t="s">
        <v>8539</v>
      </c>
      <c r="B615" s="65" t="s">
        <v>2127</v>
      </c>
      <c r="C615" s="65" t="s">
        <v>8540</v>
      </c>
      <c r="D615" s="66">
        <v>43228</v>
      </c>
      <c r="E615" s="76" t="s">
        <v>7915</v>
      </c>
      <c r="F615" s="79" t="s">
        <v>8541</v>
      </c>
      <c r="G615" s="61"/>
      <c r="I615" s="78"/>
    </row>
    <row r="616" spans="1:9" ht="14.25" customHeight="1" x14ac:dyDescent="0.2">
      <c r="A616" s="65" t="s">
        <v>8542</v>
      </c>
      <c r="B616" s="65" t="s">
        <v>8543</v>
      </c>
      <c r="C616" s="65" t="s">
        <v>8544</v>
      </c>
      <c r="D616" s="66">
        <v>43223</v>
      </c>
      <c r="E616" s="76" t="s">
        <v>6809</v>
      </c>
      <c r="F616" s="79" t="s">
        <v>6810</v>
      </c>
      <c r="G616" s="61"/>
      <c r="I616" s="78"/>
    </row>
    <row r="617" spans="1:9" ht="14.25" customHeight="1" x14ac:dyDescent="0.2">
      <c r="A617" s="65">
        <v>99239999089</v>
      </c>
      <c r="B617" s="65" t="s">
        <v>8545</v>
      </c>
      <c r="C617" s="65" t="s">
        <v>8546</v>
      </c>
      <c r="D617" s="66">
        <v>43222</v>
      </c>
      <c r="E617" s="76" t="s">
        <v>8547</v>
      </c>
      <c r="F617" s="79" t="s">
        <v>6814</v>
      </c>
      <c r="G617" s="61"/>
      <c r="I617" s="78"/>
    </row>
    <row r="618" spans="1:9" ht="14.25" customHeight="1" x14ac:dyDescent="0.2">
      <c r="A618" s="65">
        <v>99220299068</v>
      </c>
      <c r="B618" s="65" t="s">
        <v>8548</v>
      </c>
      <c r="C618" s="65" t="s">
        <v>8549</v>
      </c>
      <c r="D618" s="66">
        <v>43222</v>
      </c>
      <c r="E618" s="76" t="s">
        <v>6809</v>
      </c>
      <c r="F618" s="79" t="s">
        <v>6814</v>
      </c>
      <c r="G618" s="61"/>
      <c r="I618" s="78"/>
    </row>
    <row r="619" spans="1:9" ht="14.25" customHeight="1" x14ac:dyDescent="0.2">
      <c r="A619" s="65">
        <v>99220199068</v>
      </c>
      <c r="B619" s="65" t="s">
        <v>8550</v>
      </c>
      <c r="C619" s="65" t="s">
        <v>8551</v>
      </c>
      <c r="D619" s="66">
        <v>43222</v>
      </c>
      <c r="E619" s="76" t="s">
        <v>6809</v>
      </c>
      <c r="F619" s="79" t="s">
        <v>6814</v>
      </c>
      <c r="G619" s="61"/>
      <c r="I619" s="78"/>
    </row>
    <row r="620" spans="1:9" ht="14.25" customHeight="1" x14ac:dyDescent="0.2">
      <c r="A620" s="65">
        <v>99129999009</v>
      </c>
      <c r="B620" s="65" t="s">
        <v>8552</v>
      </c>
      <c r="C620" s="65" t="s">
        <v>8553</v>
      </c>
      <c r="D620" s="66">
        <v>43222</v>
      </c>
      <c r="E620" s="76" t="s">
        <v>6809</v>
      </c>
      <c r="F620" s="79" t="s">
        <v>6810</v>
      </c>
      <c r="G620" s="61"/>
      <c r="I620" s="78"/>
    </row>
    <row r="621" spans="1:9" ht="14.25" customHeight="1" x14ac:dyDescent="0.2">
      <c r="A621" s="65">
        <v>99129999008</v>
      </c>
      <c r="B621" s="65" t="s">
        <v>8554</v>
      </c>
      <c r="C621" s="65" t="s">
        <v>8555</v>
      </c>
      <c r="D621" s="66">
        <v>43222</v>
      </c>
      <c r="E621" s="76" t="s">
        <v>6809</v>
      </c>
      <c r="F621" s="79" t="s">
        <v>6810</v>
      </c>
      <c r="G621" s="61"/>
      <c r="I621" s="78"/>
    </row>
    <row r="622" spans="1:9" ht="14.25" customHeight="1" x14ac:dyDescent="0.2">
      <c r="A622" s="65">
        <v>99120299049</v>
      </c>
      <c r="B622" s="65" t="s">
        <v>8556</v>
      </c>
      <c r="C622" s="65" t="s">
        <v>8557</v>
      </c>
      <c r="D622" s="66">
        <v>43222</v>
      </c>
      <c r="E622" s="76" t="s">
        <v>6809</v>
      </c>
      <c r="F622" s="79" t="s">
        <v>6810</v>
      </c>
      <c r="G622" s="61"/>
      <c r="I622" s="78"/>
    </row>
    <row r="623" spans="1:9" ht="14.25" customHeight="1" x14ac:dyDescent="0.2">
      <c r="A623" s="65">
        <v>99120299042</v>
      </c>
      <c r="B623" s="65" t="s">
        <v>8558</v>
      </c>
      <c r="C623" s="65" t="s">
        <v>8559</v>
      </c>
      <c r="D623" s="66">
        <v>43222</v>
      </c>
      <c r="E623" s="76" t="s">
        <v>6809</v>
      </c>
      <c r="F623" s="79" t="s">
        <v>6810</v>
      </c>
      <c r="G623" s="61"/>
      <c r="I623" s="78"/>
    </row>
    <row r="624" spans="1:9" ht="14.25" customHeight="1" x14ac:dyDescent="0.2">
      <c r="A624" s="65">
        <v>99120299029</v>
      </c>
      <c r="B624" s="65" t="s">
        <v>8560</v>
      </c>
      <c r="C624" s="65" t="s">
        <v>8561</v>
      </c>
      <c r="D624" s="66">
        <v>43222</v>
      </c>
      <c r="E624" s="76" t="s">
        <v>6809</v>
      </c>
      <c r="F624" s="79" t="s">
        <v>6810</v>
      </c>
      <c r="G624" s="61"/>
      <c r="I624" s="78"/>
    </row>
    <row r="625" spans="1:9" ht="14.25" customHeight="1" x14ac:dyDescent="0.2">
      <c r="A625" s="65">
        <v>99120209041</v>
      </c>
      <c r="B625" s="65" t="s">
        <v>8562</v>
      </c>
      <c r="C625" s="65" t="s">
        <v>8563</v>
      </c>
      <c r="D625" s="66">
        <v>43222</v>
      </c>
      <c r="E625" s="76" t="s">
        <v>6809</v>
      </c>
      <c r="F625" s="79" t="s">
        <v>6810</v>
      </c>
      <c r="G625" s="61"/>
      <c r="I625" s="78"/>
    </row>
    <row r="626" spans="1:9" ht="14.25" customHeight="1" x14ac:dyDescent="0.2">
      <c r="A626" s="65">
        <v>99120209040</v>
      </c>
      <c r="B626" s="65" t="s">
        <v>8564</v>
      </c>
      <c r="C626" s="65" t="s">
        <v>8565</v>
      </c>
      <c r="D626" s="66">
        <v>43222</v>
      </c>
      <c r="E626" s="76" t="s">
        <v>6809</v>
      </c>
      <c r="F626" s="79" t="s">
        <v>6810</v>
      </c>
      <c r="G626" s="61"/>
      <c r="I626" s="78"/>
    </row>
    <row r="627" spans="1:9" ht="14.25" customHeight="1" x14ac:dyDescent="0.2">
      <c r="A627" s="65">
        <v>99120201071</v>
      </c>
      <c r="B627" s="65" t="s">
        <v>8566</v>
      </c>
      <c r="C627" s="65" t="s">
        <v>8567</v>
      </c>
      <c r="D627" s="66">
        <v>43222</v>
      </c>
      <c r="E627" s="76" t="s">
        <v>6809</v>
      </c>
      <c r="F627" s="79" t="s">
        <v>6810</v>
      </c>
      <c r="G627" s="61"/>
      <c r="I627" s="78"/>
    </row>
    <row r="628" spans="1:9" ht="14.25" customHeight="1" x14ac:dyDescent="0.2">
      <c r="A628" s="65">
        <v>99120201070</v>
      </c>
      <c r="B628" s="65" t="s">
        <v>8568</v>
      </c>
      <c r="C628" s="65" t="s">
        <v>8569</v>
      </c>
      <c r="D628" s="66">
        <v>43222</v>
      </c>
      <c r="E628" s="76" t="s">
        <v>6809</v>
      </c>
      <c r="F628" s="79" t="s">
        <v>6814</v>
      </c>
      <c r="G628" s="61"/>
      <c r="I628" s="78"/>
    </row>
    <row r="629" spans="1:9" ht="14.25" customHeight="1" x14ac:dyDescent="0.2">
      <c r="A629" s="65">
        <v>99120199053</v>
      </c>
      <c r="B629" s="65" t="s">
        <v>8570</v>
      </c>
      <c r="C629" s="65" t="s">
        <v>8571</v>
      </c>
      <c r="D629" s="66">
        <v>43222</v>
      </c>
      <c r="E629" s="76" t="s">
        <v>6809</v>
      </c>
      <c r="F629" s="79" t="s">
        <v>6810</v>
      </c>
      <c r="G629" s="61"/>
      <c r="I629" s="78"/>
    </row>
    <row r="630" spans="1:9" ht="14.25" customHeight="1" x14ac:dyDescent="0.2">
      <c r="A630" s="65">
        <v>99120199051</v>
      </c>
      <c r="B630" s="65" t="s">
        <v>8572</v>
      </c>
      <c r="C630" s="65" t="s">
        <v>8573</v>
      </c>
      <c r="D630" s="66">
        <v>43222</v>
      </c>
      <c r="E630" s="76" t="s">
        <v>6809</v>
      </c>
      <c r="F630" s="79" t="s">
        <v>6810</v>
      </c>
      <c r="G630" s="61"/>
      <c r="I630" s="78"/>
    </row>
    <row r="631" spans="1:9" ht="14.25" customHeight="1" x14ac:dyDescent="0.2">
      <c r="A631" s="65">
        <v>99120199047</v>
      </c>
      <c r="B631" s="65" t="s">
        <v>8574</v>
      </c>
      <c r="C631" s="65" t="s">
        <v>8575</v>
      </c>
      <c r="D631" s="66">
        <v>43222</v>
      </c>
      <c r="E631" s="76" t="s">
        <v>6809</v>
      </c>
      <c r="F631" s="79" t="s">
        <v>6810</v>
      </c>
      <c r="G631" s="61"/>
      <c r="I631" s="78"/>
    </row>
    <row r="632" spans="1:9" ht="14.25" customHeight="1" x14ac:dyDescent="0.2">
      <c r="A632" s="65">
        <v>99120199045</v>
      </c>
      <c r="B632" s="65" t="s">
        <v>8576</v>
      </c>
      <c r="C632" s="65" t="s">
        <v>8577</v>
      </c>
      <c r="D632" s="66">
        <v>43222</v>
      </c>
      <c r="E632" s="76" t="s">
        <v>6809</v>
      </c>
      <c r="F632" s="79" t="s">
        <v>6810</v>
      </c>
      <c r="G632" s="61"/>
      <c r="I632" s="78"/>
    </row>
    <row r="633" spans="1:9" ht="14.25" customHeight="1" x14ac:dyDescent="0.2">
      <c r="A633" s="65">
        <v>99120199037</v>
      </c>
      <c r="B633" s="65" t="s">
        <v>8578</v>
      </c>
      <c r="C633" s="65" t="s">
        <v>8579</v>
      </c>
      <c r="D633" s="66">
        <v>43222</v>
      </c>
      <c r="E633" s="76" t="s">
        <v>6809</v>
      </c>
      <c r="F633" s="79" t="s">
        <v>6810</v>
      </c>
      <c r="G633" s="61"/>
      <c r="I633" s="78"/>
    </row>
    <row r="634" spans="1:9" ht="14.25" customHeight="1" x14ac:dyDescent="0.2">
      <c r="A634" s="65">
        <v>99120199015</v>
      </c>
      <c r="B634" s="65" t="s">
        <v>8580</v>
      </c>
      <c r="C634" s="65" t="s">
        <v>8581</v>
      </c>
      <c r="D634" s="66">
        <v>43222</v>
      </c>
      <c r="E634" s="76" t="s">
        <v>6809</v>
      </c>
      <c r="F634" s="79" t="s">
        <v>6810</v>
      </c>
      <c r="G634" s="61"/>
      <c r="I634" s="78"/>
    </row>
    <row r="635" spans="1:9" ht="14.25" customHeight="1" x14ac:dyDescent="0.2">
      <c r="A635" s="65">
        <v>99120199009</v>
      </c>
      <c r="B635" s="65" t="s">
        <v>8582</v>
      </c>
      <c r="C635" s="65" t="s">
        <v>8583</v>
      </c>
      <c r="D635" s="66">
        <v>43222</v>
      </c>
      <c r="E635" s="76" t="s">
        <v>7915</v>
      </c>
      <c r="F635" s="79" t="s">
        <v>6810</v>
      </c>
      <c r="G635" s="61"/>
      <c r="I635" s="78"/>
    </row>
    <row r="636" spans="1:9" ht="14.25" customHeight="1" x14ac:dyDescent="0.2">
      <c r="A636" s="65">
        <v>99120104040</v>
      </c>
      <c r="B636" s="65" t="s">
        <v>8584</v>
      </c>
      <c r="C636" s="65" t="s">
        <v>8585</v>
      </c>
      <c r="D636" s="66">
        <v>43222</v>
      </c>
      <c r="E636" s="76" t="s">
        <v>6809</v>
      </c>
      <c r="F636" s="79" t="s">
        <v>6810</v>
      </c>
      <c r="G636" s="61"/>
      <c r="I636" s="78"/>
    </row>
    <row r="637" spans="1:9" ht="14.25" customHeight="1" x14ac:dyDescent="0.2">
      <c r="A637" s="65">
        <v>99120101061</v>
      </c>
      <c r="B637" s="65" t="s">
        <v>8586</v>
      </c>
      <c r="C637" s="65" t="s">
        <v>8587</v>
      </c>
      <c r="D637" s="66">
        <v>43222</v>
      </c>
      <c r="E637" s="76" t="s">
        <v>6809</v>
      </c>
      <c r="F637" s="79" t="s">
        <v>6810</v>
      </c>
      <c r="G637" s="61"/>
      <c r="I637" s="78"/>
    </row>
    <row r="638" spans="1:9" ht="14.25" customHeight="1" x14ac:dyDescent="0.2">
      <c r="A638" s="65">
        <v>99070205008</v>
      </c>
      <c r="B638" s="65" t="s">
        <v>8588</v>
      </c>
      <c r="C638" s="65" t="s">
        <v>8589</v>
      </c>
      <c r="D638" s="66">
        <v>43222</v>
      </c>
      <c r="E638" s="76" t="s">
        <v>6809</v>
      </c>
      <c r="F638" s="79" t="s">
        <v>6810</v>
      </c>
      <c r="G638" s="61"/>
      <c r="I638" s="78"/>
    </row>
    <row r="639" spans="1:9" ht="14.25" customHeight="1" x14ac:dyDescent="0.2">
      <c r="A639" s="65">
        <v>60010299012</v>
      </c>
      <c r="B639" s="65" t="s">
        <v>8590</v>
      </c>
      <c r="C639" s="65" t="s">
        <v>8591</v>
      </c>
      <c r="D639" s="66">
        <v>43222</v>
      </c>
      <c r="E639" s="76" t="s">
        <v>6809</v>
      </c>
      <c r="F639" s="79" t="s">
        <v>6810</v>
      </c>
      <c r="G639" s="61"/>
      <c r="I639" s="78"/>
    </row>
    <row r="640" spans="1:9" ht="14.25" customHeight="1" x14ac:dyDescent="0.2">
      <c r="A640" s="65">
        <v>60010299011</v>
      </c>
      <c r="B640" s="65" t="s">
        <v>8592</v>
      </c>
      <c r="C640" s="65" t="s">
        <v>8593</v>
      </c>
      <c r="D640" s="66">
        <v>43222</v>
      </c>
      <c r="E640" s="76" t="s">
        <v>6809</v>
      </c>
      <c r="F640" s="79" t="s">
        <v>6810</v>
      </c>
      <c r="G640" s="61"/>
      <c r="I640" s="78"/>
    </row>
    <row r="641" spans="1:9" ht="14.25" customHeight="1" x14ac:dyDescent="0.2">
      <c r="A641" s="65" t="s">
        <v>8594</v>
      </c>
      <c r="B641" s="65" t="s">
        <v>8595</v>
      </c>
      <c r="C641" s="65" t="s">
        <v>8596</v>
      </c>
      <c r="D641" s="66">
        <v>43220</v>
      </c>
      <c r="E641" s="76" t="s">
        <v>6809</v>
      </c>
      <c r="F641" s="79" t="s">
        <v>6824</v>
      </c>
      <c r="G641" s="61"/>
      <c r="I641" s="78"/>
    </row>
    <row r="642" spans="1:9" ht="14.25" customHeight="1" x14ac:dyDescent="0.2">
      <c r="A642" s="65" t="s">
        <v>8597</v>
      </c>
      <c r="B642" s="65" t="s">
        <v>8598</v>
      </c>
      <c r="C642" s="65" t="s">
        <v>8599</v>
      </c>
      <c r="D642" s="66">
        <v>43209</v>
      </c>
      <c r="E642" s="76" t="s">
        <v>6809</v>
      </c>
      <c r="F642" s="79" t="s">
        <v>6810</v>
      </c>
      <c r="G642" s="61"/>
      <c r="I642" s="78"/>
    </row>
    <row r="643" spans="1:9" ht="14.25" customHeight="1" x14ac:dyDescent="0.2">
      <c r="A643" s="65" t="s">
        <v>8600</v>
      </c>
      <c r="B643" s="65" t="s">
        <v>198</v>
      </c>
      <c r="C643" s="65" t="s">
        <v>8601</v>
      </c>
      <c r="D643" s="66">
        <v>43195</v>
      </c>
      <c r="E643" s="76" t="s">
        <v>289</v>
      </c>
      <c r="F643" s="79" t="s">
        <v>8602</v>
      </c>
      <c r="G643" s="61"/>
      <c r="I643" s="78"/>
    </row>
    <row r="644" spans="1:9" ht="14.25" customHeight="1" x14ac:dyDescent="0.2">
      <c r="A644" s="65" t="s">
        <v>8603</v>
      </c>
      <c r="B644" s="65" t="s">
        <v>8604</v>
      </c>
      <c r="C644" s="65" t="s">
        <v>8605</v>
      </c>
      <c r="D644" s="66">
        <v>43195</v>
      </c>
      <c r="E644" s="76" t="s">
        <v>6809</v>
      </c>
      <c r="F644" s="79" t="s">
        <v>6814</v>
      </c>
      <c r="G644" s="61"/>
      <c r="I644" s="78"/>
    </row>
    <row r="645" spans="1:9" ht="14.25" customHeight="1" x14ac:dyDescent="0.2">
      <c r="A645" s="65" t="s">
        <v>8606</v>
      </c>
      <c r="B645" s="65" t="s">
        <v>7018</v>
      </c>
      <c r="C645" s="65" t="s">
        <v>8607</v>
      </c>
      <c r="D645" s="66">
        <v>43195</v>
      </c>
      <c r="E645" s="76" t="s">
        <v>6809</v>
      </c>
      <c r="F645" s="79" t="s">
        <v>6810</v>
      </c>
      <c r="G645" s="61"/>
      <c r="I645" s="78"/>
    </row>
    <row r="646" spans="1:9" ht="14.25" customHeight="1" x14ac:dyDescent="0.2">
      <c r="A646" s="65" t="s">
        <v>8608</v>
      </c>
      <c r="B646" s="65" t="s">
        <v>256</v>
      </c>
      <c r="C646" s="65" t="s">
        <v>8609</v>
      </c>
      <c r="D646" s="66">
        <v>43185</v>
      </c>
      <c r="E646" s="76" t="s">
        <v>7915</v>
      </c>
      <c r="F646" s="79" t="s">
        <v>8610</v>
      </c>
      <c r="G646" s="61"/>
      <c r="I646" s="78"/>
    </row>
    <row r="647" spans="1:9" ht="14.25" customHeight="1" x14ac:dyDescent="0.2">
      <c r="A647" s="65" t="s">
        <v>8611</v>
      </c>
      <c r="B647" s="65" t="s">
        <v>2147</v>
      </c>
      <c r="C647" s="65" t="s">
        <v>8612</v>
      </c>
      <c r="D647" s="66">
        <v>43184</v>
      </c>
      <c r="E647" s="76" t="s">
        <v>7915</v>
      </c>
      <c r="F647" s="79" t="s">
        <v>8613</v>
      </c>
      <c r="G647" s="61"/>
      <c r="I647" s="78"/>
    </row>
    <row r="648" spans="1:9" ht="14.25" customHeight="1" x14ac:dyDescent="0.2">
      <c r="A648" s="65" t="s">
        <v>8614</v>
      </c>
      <c r="B648" s="65" t="s">
        <v>8615</v>
      </c>
      <c r="C648" s="65" t="s">
        <v>8616</v>
      </c>
      <c r="D648" s="66">
        <v>43179</v>
      </c>
      <c r="E648" s="76" t="s">
        <v>6809</v>
      </c>
      <c r="F648" s="79" t="s">
        <v>6824</v>
      </c>
      <c r="G648" s="61"/>
      <c r="I648" s="78"/>
    </row>
    <row r="649" spans="1:9" ht="14.25" customHeight="1" x14ac:dyDescent="0.2">
      <c r="A649" s="65" t="s">
        <v>8617</v>
      </c>
      <c r="B649" s="65" t="s">
        <v>8618</v>
      </c>
      <c r="C649" s="65" t="s">
        <v>8619</v>
      </c>
      <c r="D649" s="66">
        <v>43175</v>
      </c>
      <c r="E649" s="76" t="s">
        <v>6809</v>
      </c>
      <c r="F649" s="79" t="s">
        <v>6824</v>
      </c>
      <c r="G649" s="61"/>
      <c r="I649" s="78"/>
    </row>
    <row r="650" spans="1:9" ht="14.25" customHeight="1" x14ac:dyDescent="0.2">
      <c r="A650" s="65" t="s">
        <v>8620</v>
      </c>
      <c r="B650" s="65" t="s">
        <v>2077</v>
      </c>
      <c r="C650" s="65" t="s">
        <v>8621</v>
      </c>
      <c r="D650" s="66">
        <v>43175</v>
      </c>
      <c r="E650" s="76" t="s">
        <v>7915</v>
      </c>
      <c r="F650" s="79" t="s">
        <v>8622</v>
      </c>
      <c r="G650" s="61"/>
      <c r="I650" s="78"/>
    </row>
    <row r="651" spans="1:9" ht="14.25" customHeight="1" x14ac:dyDescent="0.2">
      <c r="A651" s="65" t="s">
        <v>8623</v>
      </c>
      <c r="B651" s="65" t="s">
        <v>2057</v>
      </c>
      <c r="C651" s="65" t="s">
        <v>8624</v>
      </c>
      <c r="D651" s="66">
        <v>43175</v>
      </c>
      <c r="E651" s="76" t="s">
        <v>7922</v>
      </c>
      <c r="F651" s="79" t="s">
        <v>8625</v>
      </c>
      <c r="G651" s="61"/>
      <c r="I651" s="78"/>
    </row>
    <row r="652" spans="1:9" ht="14.25" customHeight="1" x14ac:dyDescent="0.2">
      <c r="A652" s="65" t="s">
        <v>8626</v>
      </c>
      <c r="B652" s="65" t="s">
        <v>2053</v>
      </c>
      <c r="C652" s="65" t="s">
        <v>8627</v>
      </c>
      <c r="D652" s="66">
        <v>43175</v>
      </c>
      <c r="E652" s="76" t="s">
        <v>7915</v>
      </c>
      <c r="F652" s="79" t="s">
        <v>8628</v>
      </c>
      <c r="G652" s="61"/>
      <c r="I652" s="78"/>
    </row>
    <row r="653" spans="1:9" ht="14.25" customHeight="1" x14ac:dyDescent="0.2">
      <c r="A653" s="65" t="s">
        <v>8629</v>
      </c>
      <c r="B653" s="65" t="s">
        <v>8630</v>
      </c>
      <c r="C653" s="65" t="s">
        <v>8631</v>
      </c>
      <c r="D653" s="66">
        <v>43175</v>
      </c>
      <c r="E653" s="76" t="s">
        <v>6809</v>
      </c>
      <c r="F653" s="79" t="s">
        <v>6824</v>
      </c>
      <c r="G653" s="61"/>
      <c r="I653" s="78"/>
    </row>
    <row r="654" spans="1:9" ht="14.25" customHeight="1" x14ac:dyDescent="0.2">
      <c r="A654" s="65" t="s">
        <v>8632</v>
      </c>
      <c r="B654" s="65" t="s">
        <v>7448</v>
      </c>
      <c r="C654" s="65" t="s">
        <v>7449</v>
      </c>
      <c r="D654" s="66">
        <v>43167</v>
      </c>
      <c r="E654" s="76" t="s">
        <v>7922</v>
      </c>
      <c r="F654" s="79" t="s">
        <v>8633</v>
      </c>
      <c r="G654" s="61"/>
      <c r="I654" s="78"/>
    </row>
    <row r="655" spans="1:9" ht="14.25" customHeight="1" x14ac:dyDescent="0.2">
      <c r="A655" s="65" t="s">
        <v>8634</v>
      </c>
      <c r="B655" s="65" t="s">
        <v>8635</v>
      </c>
      <c r="C655" s="65" t="s">
        <v>8636</v>
      </c>
      <c r="D655" s="66">
        <v>43164</v>
      </c>
      <c r="E655" s="76" t="s">
        <v>6809</v>
      </c>
      <c r="F655" s="79" t="s">
        <v>6824</v>
      </c>
      <c r="G655" s="61"/>
      <c r="I655" s="78"/>
    </row>
    <row r="656" spans="1:9" ht="14.25" customHeight="1" x14ac:dyDescent="0.2">
      <c r="A656" s="65" t="s">
        <v>8637</v>
      </c>
      <c r="B656" s="65" t="s">
        <v>2061</v>
      </c>
      <c r="C656" s="65" t="s">
        <v>8638</v>
      </c>
      <c r="D656" s="66">
        <v>43164</v>
      </c>
      <c r="E656" s="76" t="s">
        <v>7915</v>
      </c>
      <c r="F656" s="79" t="s">
        <v>8639</v>
      </c>
      <c r="G656" s="61"/>
      <c r="I656" s="78"/>
    </row>
    <row r="657" spans="1:9" ht="14.25" customHeight="1" x14ac:dyDescent="0.2">
      <c r="A657" s="65" t="s">
        <v>8640</v>
      </c>
      <c r="B657" s="65" t="s">
        <v>8641</v>
      </c>
      <c r="C657" s="65" t="s">
        <v>8642</v>
      </c>
      <c r="D657" s="66">
        <v>43155</v>
      </c>
      <c r="E657" s="76" t="s">
        <v>6809</v>
      </c>
      <c r="F657" s="79" t="s">
        <v>6824</v>
      </c>
      <c r="G657" s="61"/>
      <c r="I657" s="78"/>
    </row>
    <row r="658" spans="1:9" ht="14.25" customHeight="1" x14ac:dyDescent="0.2">
      <c r="A658" s="65" t="s">
        <v>8643</v>
      </c>
      <c r="B658" s="65" t="s">
        <v>1699</v>
      </c>
      <c r="C658" s="65" t="s">
        <v>8644</v>
      </c>
      <c r="D658" s="66">
        <v>43154</v>
      </c>
      <c r="E658" s="76" t="s">
        <v>8645</v>
      </c>
      <c r="F658" s="79" t="s">
        <v>8646</v>
      </c>
      <c r="G658" s="61"/>
      <c r="I658" s="78"/>
    </row>
    <row r="659" spans="1:9" ht="14.25" customHeight="1" x14ac:dyDescent="0.2">
      <c r="A659" s="65" t="s">
        <v>8647</v>
      </c>
      <c r="B659" s="65" t="s">
        <v>1114</v>
      </c>
      <c r="C659" s="65" t="s">
        <v>8648</v>
      </c>
      <c r="D659" s="66">
        <v>43144</v>
      </c>
      <c r="E659" s="76" t="s">
        <v>7915</v>
      </c>
      <c r="F659" s="79" t="s">
        <v>8649</v>
      </c>
      <c r="G659" s="61"/>
      <c r="I659" s="78"/>
    </row>
    <row r="660" spans="1:9" ht="14.25" customHeight="1" x14ac:dyDescent="0.2">
      <c r="A660" s="65" t="s">
        <v>8650</v>
      </c>
      <c r="B660" s="65" t="s">
        <v>8651</v>
      </c>
      <c r="C660" s="65" t="s">
        <v>8652</v>
      </c>
      <c r="D660" s="66">
        <v>43137</v>
      </c>
      <c r="E660" s="76" t="s">
        <v>6809</v>
      </c>
      <c r="F660" s="79" t="s">
        <v>6824</v>
      </c>
      <c r="G660" s="61"/>
      <c r="I660" s="78"/>
    </row>
    <row r="661" spans="1:9" ht="14.25" customHeight="1" x14ac:dyDescent="0.2">
      <c r="A661" s="65" t="s">
        <v>8653</v>
      </c>
      <c r="B661" s="65" t="s">
        <v>8654</v>
      </c>
      <c r="C661" s="65" t="s">
        <v>8655</v>
      </c>
      <c r="D661" s="66">
        <v>43136</v>
      </c>
      <c r="E661" s="76" t="s">
        <v>6809</v>
      </c>
      <c r="F661" s="79" t="s">
        <v>6824</v>
      </c>
      <c r="G661" s="61"/>
      <c r="I661" s="78"/>
    </row>
    <row r="662" spans="1:9" ht="14.25" customHeight="1" x14ac:dyDescent="0.2">
      <c r="A662" s="65" t="s">
        <v>8656</v>
      </c>
      <c r="B662" s="65" t="s">
        <v>8657</v>
      </c>
      <c r="C662" s="65" t="s">
        <v>8658</v>
      </c>
      <c r="D662" s="66">
        <v>43136</v>
      </c>
      <c r="E662" s="76" t="s">
        <v>6809</v>
      </c>
      <c r="F662" s="79" t="s">
        <v>6824</v>
      </c>
      <c r="G662" s="61"/>
      <c r="I662" s="78"/>
    </row>
    <row r="663" spans="1:9" ht="14.25" customHeight="1" x14ac:dyDescent="0.2">
      <c r="A663" s="65" t="s">
        <v>8659</v>
      </c>
      <c r="B663" s="65" t="s">
        <v>3839</v>
      </c>
      <c r="C663" s="65" t="s">
        <v>8660</v>
      </c>
      <c r="D663" s="66">
        <v>43136</v>
      </c>
      <c r="E663" s="76" t="s">
        <v>6809</v>
      </c>
      <c r="F663" s="79" t="s">
        <v>6824</v>
      </c>
      <c r="G663" s="61"/>
      <c r="I663" s="78"/>
    </row>
    <row r="664" spans="1:9" ht="14.25" customHeight="1" x14ac:dyDescent="0.2">
      <c r="A664" s="65" t="s">
        <v>8661</v>
      </c>
      <c r="B664" s="65" t="s">
        <v>2041</v>
      </c>
      <c r="C664" s="65" t="s">
        <v>8662</v>
      </c>
      <c r="D664" s="66">
        <v>43132</v>
      </c>
      <c r="E664" s="76" t="s">
        <v>289</v>
      </c>
      <c r="F664" s="79" t="s">
        <v>8663</v>
      </c>
      <c r="G664" s="61"/>
      <c r="I664" s="78"/>
    </row>
    <row r="665" spans="1:9" ht="14.25" customHeight="1" x14ac:dyDescent="0.2">
      <c r="A665" s="65" t="s">
        <v>8664</v>
      </c>
      <c r="B665" s="65" t="s">
        <v>3552</v>
      </c>
      <c r="C665" s="65" t="s">
        <v>8665</v>
      </c>
      <c r="D665" s="66">
        <v>43126</v>
      </c>
      <c r="E665" s="76" t="s">
        <v>7915</v>
      </c>
      <c r="F665" s="79" t="s">
        <v>8666</v>
      </c>
      <c r="G665" s="61"/>
      <c r="I665" s="78"/>
    </row>
    <row r="666" spans="1:9" ht="14.25" customHeight="1" x14ac:dyDescent="0.2">
      <c r="A666" s="65" t="s">
        <v>8667</v>
      </c>
      <c r="B666" s="65" t="s">
        <v>5202</v>
      </c>
      <c r="C666" s="65" t="s">
        <v>8668</v>
      </c>
      <c r="D666" s="66">
        <v>43123</v>
      </c>
      <c r="E666" s="76" t="s">
        <v>7915</v>
      </c>
      <c r="F666" s="79" t="s">
        <v>8669</v>
      </c>
      <c r="G666" s="61"/>
      <c r="I666" s="78"/>
    </row>
    <row r="667" spans="1:9" ht="14.25" customHeight="1" x14ac:dyDescent="0.2">
      <c r="A667" s="65" t="s">
        <v>8670</v>
      </c>
      <c r="B667" s="65" t="s">
        <v>8671</v>
      </c>
      <c r="C667" s="65" t="s">
        <v>8672</v>
      </c>
      <c r="D667" s="66">
        <v>43118</v>
      </c>
      <c r="E667" s="76" t="s">
        <v>6809</v>
      </c>
      <c r="F667" s="79" t="s">
        <v>6814</v>
      </c>
      <c r="G667" s="61"/>
      <c r="I667" s="78"/>
    </row>
    <row r="668" spans="1:9" ht="14.25" customHeight="1" x14ac:dyDescent="0.2">
      <c r="A668" s="65" t="s">
        <v>8673</v>
      </c>
      <c r="B668" s="65" t="s">
        <v>1158</v>
      </c>
      <c r="C668" s="65" t="s">
        <v>8674</v>
      </c>
      <c r="D668" s="66">
        <v>43118</v>
      </c>
      <c r="E668" s="76" t="s">
        <v>289</v>
      </c>
      <c r="F668" s="79" t="s">
        <v>8675</v>
      </c>
      <c r="G668" s="61"/>
      <c r="I668" s="78"/>
    </row>
    <row r="669" spans="1:9" ht="14.25" customHeight="1" x14ac:dyDescent="0.2">
      <c r="A669" s="65" t="s">
        <v>8676</v>
      </c>
      <c r="B669" s="65" t="s">
        <v>1162</v>
      </c>
      <c r="C669" s="65" t="s">
        <v>7371</v>
      </c>
      <c r="D669" s="66">
        <v>43118</v>
      </c>
      <c r="E669" s="76" t="s">
        <v>7922</v>
      </c>
      <c r="F669" s="79" t="s">
        <v>8677</v>
      </c>
      <c r="G669" s="61"/>
      <c r="I669" s="78"/>
    </row>
    <row r="670" spans="1:9" ht="14.25" customHeight="1" x14ac:dyDescent="0.2">
      <c r="A670" s="65" t="s">
        <v>8678</v>
      </c>
      <c r="B670" s="65" t="s">
        <v>3649</v>
      </c>
      <c r="C670" s="65" t="s">
        <v>8679</v>
      </c>
      <c r="D670" s="66">
        <v>43111</v>
      </c>
      <c r="E670" s="76" t="s">
        <v>6809</v>
      </c>
      <c r="F670" s="79" t="s">
        <v>8680</v>
      </c>
      <c r="G670" s="61"/>
      <c r="I670" s="78"/>
    </row>
    <row r="671" spans="1:9" ht="14.25" customHeight="1" x14ac:dyDescent="0.2">
      <c r="A671" s="65" t="s">
        <v>8681</v>
      </c>
      <c r="B671" s="65" t="s">
        <v>8682</v>
      </c>
      <c r="C671" s="65" t="s">
        <v>8683</v>
      </c>
      <c r="D671" s="66">
        <v>43111</v>
      </c>
      <c r="E671" s="76" t="s">
        <v>6809</v>
      </c>
      <c r="F671" s="79" t="s">
        <v>6824</v>
      </c>
      <c r="G671" s="61"/>
      <c r="I671" s="78"/>
    </row>
    <row r="672" spans="1:9" ht="14.25" customHeight="1" x14ac:dyDescent="0.2">
      <c r="A672" s="65" t="s">
        <v>8684</v>
      </c>
      <c r="B672" s="65" t="s">
        <v>8685</v>
      </c>
      <c r="C672" s="65" t="s">
        <v>8686</v>
      </c>
      <c r="D672" s="66">
        <v>43111</v>
      </c>
      <c r="E672" s="76" t="s">
        <v>6809</v>
      </c>
      <c r="F672" s="79" t="s">
        <v>6814</v>
      </c>
      <c r="G672" s="61"/>
      <c r="I672" s="78"/>
    </row>
    <row r="673" spans="1:9" ht="14.25" customHeight="1" x14ac:dyDescent="0.2">
      <c r="A673" s="65" t="s">
        <v>8687</v>
      </c>
      <c r="B673" s="65" t="s">
        <v>8688</v>
      </c>
      <c r="C673" s="65" t="s">
        <v>8264</v>
      </c>
      <c r="D673" s="66">
        <v>43111</v>
      </c>
      <c r="E673" s="76" t="s">
        <v>6809</v>
      </c>
      <c r="F673" s="79" t="s">
        <v>6814</v>
      </c>
      <c r="G673" s="61"/>
      <c r="I673" s="78"/>
    </row>
    <row r="674" spans="1:9" ht="14.25" customHeight="1" x14ac:dyDescent="0.2">
      <c r="A674" s="65" t="s">
        <v>8689</v>
      </c>
      <c r="B674" s="65" t="s">
        <v>244</v>
      </c>
      <c r="C674" s="65" t="s">
        <v>8690</v>
      </c>
      <c r="D674" s="66">
        <v>43111</v>
      </c>
      <c r="E674" s="76" t="s">
        <v>7915</v>
      </c>
      <c r="F674" s="79" t="s">
        <v>8691</v>
      </c>
      <c r="G674" s="61"/>
      <c r="I674" s="78"/>
    </row>
    <row r="675" spans="1:9" ht="14.25" customHeight="1" x14ac:dyDescent="0.2">
      <c r="A675" s="65" t="s">
        <v>8692</v>
      </c>
      <c r="B675" s="65" t="s">
        <v>2131</v>
      </c>
      <c r="C675" s="65" t="s">
        <v>8693</v>
      </c>
      <c r="D675" s="66">
        <v>43110</v>
      </c>
      <c r="E675" s="76" t="s">
        <v>7915</v>
      </c>
      <c r="F675" s="79" t="s">
        <v>8694</v>
      </c>
      <c r="G675" s="61"/>
      <c r="I675" s="78"/>
    </row>
    <row r="676" spans="1:9" ht="14.25" customHeight="1" x14ac:dyDescent="0.2">
      <c r="A676" s="65" t="s">
        <v>8695</v>
      </c>
      <c r="B676" s="65" t="s">
        <v>1138</v>
      </c>
      <c r="C676" s="65" t="s">
        <v>8696</v>
      </c>
      <c r="D676" s="66">
        <v>43108</v>
      </c>
      <c r="E676" s="76" t="s">
        <v>289</v>
      </c>
      <c r="F676" s="79" t="s">
        <v>8697</v>
      </c>
      <c r="G676" s="61"/>
      <c r="I676" s="78"/>
    </row>
    <row r="677" spans="1:9" ht="14.25" customHeight="1" x14ac:dyDescent="0.2">
      <c r="A677" s="65" t="s">
        <v>8698</v>
      </c>
      <c r="B677" s="65" t="s">
        <v>1174</v>
      </c>
      <c r="C677" s="65" t="s">
        <v>8699</v>
      </c>
      <c r="D677" s="66">
        <v>43108</v>
      </c>
      <c r="E677" s="76" t="s">
        <v>7915</v>
      </c>
      <c r="F677" s="79" t="s">
        <v>8700</v>
      </c>
      <c r="G677" s="61"/>
      <c r="I677" s="78"/>
    </row>
    <row r="678" spans="1:9" ht="14.25" customHeight="1" x14ac:dyDescent="0.2">
      <c r="A678" s="65" t="s">
        <v>8701</v>
      </c>
      <c r="B678" s="65" t="s">
        <v>8702</v>
      </c>
      <c r="C678" s="65" t="s">
        <v>8703</v>
      </c>
      <c r="D678" s="66">
        <v>43104</v>
      </c>
      <c r="E678" s="76" t="s">
        <v>7465</v>
      </c>
      <c r="F678" s="79" t="s">
        <v>6824</v>
      </c>
      <c r="G678" s="61"/>
      <c r="I678" s="78"/>
    </row>
    <row r="679" spans="1:9" ht="14.25" customHeight="1" x14ac:dyDescent="0.2">
      <c r="A679" s="65" t="s">
        <v>8704</v>
      </c>
      <c r="B679" s="65" t="s">
        <v>6901</v>
      </c>
      <c r="C679" s="65" t="s">
        <v>6902</v>
      </c>
      <c r="D679" s="66">
        <v>43104</v>
      </c>
      <c r="E679" s="76" t="s">
        <v>6809</v>
      </c>
      <c r="F679" s="79" t="s">
        <v>6810</v>
      </c>
      <c r="G679" s="61"/>
      <c r="I679" s="78"/>
    </row>
    <row r="680" spans="1:9" s="85" customFormat="1" ht="14.25" customHeight="1" x14ac:dyDescent="0.2">
      <c r="A680" s="79" t="s">
        <v>8705</v>
      </c>
      <c r="B680" s="79" t="s">
        <v>8706</v>
      </c>
      <c r="C680" s="79" t="s">
        <v>8707</v>
      </c>
      <c r="D680" s="68">
        <v>43104</v>
      </c>
      <c r="E680" s="83" t="s">
        <v>6809</v>
      </c>
      <c r="F680" s="79" t="s">
        <v>6824</v>
      </c>
      <c r="G680" s="84"/>
      <c r="I680" s="86"/>
    </row>
    <row r="681" spans="1:9" ht="14.25" customHeight="1" x14ac:dyDescent="0.2">
      <c r="A681" s="65" t="s">
        <v>8708</v>
      </c>
      <c r="B681" s="65" t="s">
        <v>8709</v>
      </c>
      <c r="C681" s="65" t="s">
        <v>8710</v>
      </c>
      <c r="D681" s="66">
        <v>43097</v>
      </c>
      <c r="E681" s="76" t="s">
        <v>6809</v>
      </c>
      <c r="F681" s="79" t="s">
        <v>6814</v>
      </c>
      <c r="G681" s="61"/>
      <c r="I681" s="78"/>
    </row>
    <row r="682" spans="1:9" ht="14.25" customHeight="1" x14ac:dyDescent="0.2">
      <c r="A682" s="65" t="s">
        <v>8711</v>
      </c>
      <c r="B682" s="65" t="s">
        <v>8712</v>
      </c>
      <c r="C682" s="65" t="s">
        <v>8713</v>
      </c>
      <c r="D682" s="66">
        <v>43097</v>
      </c>
      <c r="E682" s="76" t="s">
        <v>6809</v>
      </c>
      <c r="F682" s="79" t="s">
        <v>6810</v>
      </c>
      <c r="G682" s="61"/>
      <c r="I682" s="78"/>
    </row>
    <row r="683" spans="1:9" ht="14.25" customHeight="1" x14ac:dyDescent="0.2">
      <c r="A683" s="65" t="s">
        <v>8714</v>
      </c>
      <c r="B683" s="65" t="s">
        <v>4652</v>
      </c>
      <c r="C683" s="65" t="s">
        <v>8715</v>
      </c>
      <c r="D683" s="66">
        <v>43096</v>
      </c>
      <c r="E683" s="76" t="s">
        <v>6809</v>
      </c>
      <c r="F683" s="79" t="s">
        <v>6824</v>
      </c>
      <c r="G683" s="61"/>
      <c r="I683" s="78"/>
    </row>
    <row r="684" spans="1:9" ht="14.25" customHeight="1" x14ac:dyDescent="0.2">
      <c r="A684" s="65" t="s">
        <v>8716</v>
      </c>
      <c r="B684" s="65" t="s">
        <v>8717</v>
      </c>
      <c r="C684" s="65" t="s">
        <v>8718</v>
      </c>
      <c r="D684" s="66">
        <v>43096</v>
      </c>
      <c r="E684" s="76" t="s">
        <v>6809</v>
      </c>
      <c r="F684" s="79" t="s">
        <v>6824</v>
      </c>
      <c r="G684" s="61"/>
      <c r="I684" s="78"/>
    </row>
    <row r="685" spans="1:9" ht="14.25" customHeight="1" x14ac:dyDescent="0.2">
      <c r="A685" s="65" t="s">
        <v>8719</v>
      </c>
      <c r="B685" s="65" t="s">
        <v>8720</v>
      </c>
      <c r="C685" s="65" t="s">
        <v>8721</v>
      </c>
      <c r="D685" s="66">
        <v>43091</v>
      </c>
      <c r="E685" s="76" t="s">
        <v>6809</v>
      </c>
      <c r="F685" s="79" t="s">
        <v>6814</v>
      </c>
      <c r="G685" s="61"/>
      <c r="I685" s="78"/>
    </row>
    <row r="686" spans="1:9" ht="14.25" customHeight="1" x14ac:dyDescent="0.2">
      <c r="A686" s="65" t="s">
        <v>8722</v>
      </c>
      <c r="B686" s="65" t="s">
        <v>5154</v>
      </c>
      <c r="C686" s="65" t="s">
        <v>8723</v>
      </c>
      <c r="D686" s="66">
        <v>43088</v>
      </c>
      <c r="E686" s="76" t="s">
        <v>7915</v>
      </c>
      <c r="F686" s="79" t="s">
        <v>8724</v>
      </c>
      <c r="G686" s="61"/>
      <c r="I686" s="78"/>
    </row>
    <row r="687" spans="1:9" ht="14.25" customHeight="1" x14ac:dyDescent="0.2">
      <c r="A687" s="65" t="s">
        <v>8725</v>
      </c>
      <c r="B687" s="65" t="s">
        <v>7021</v>
      </c>
      <c r="C687" s="65" t="s">
        <v>8726</v>
      </c>
      <c r="D687" s="66">
        <v>43088</v>
      </c>
      <c r="E687" s="76" t="s">
        <v>7915</v>
      </c>
      <c r="F687" s="79" t="s">
        <v>8727</v>
      </c>
      <c r="G687" s="61"/>
      <c r="I687" s="78"/>
    </row>
    <row r="688" spans="1:9" ht="14.25" customHeight="1" x14ac:dyDescent="0.2">
      <c r="A688" s="65" t="s">
        <v>8728</v>
      </c>
      <c r="B688" s="65" t="s">
        <v>1198</v>
      </c>
      <c r="C688" s="65" t="s">
        <v>7365</v>
      </c>
      <c r="D688" s="66">
        <v>43087</v>
      </c>
      <c r="E688" s="76" t="s">
        <v>289</v>
      </c>
      <c r="F688" s="79" t="s">
        <v>8729</v>
      </c>
      <c r="G688" s="61"/>
      <c r="I688" s="78"/>
    </row>
    <row r="689" spans="1:9" ht="14.25" customHeight="1" x14ac:dyDescent="0.2">
      <c r="A689" s="65" t="s">
        <v>8730</v>
      </c>
      <c r="B689" s="65" t="s">
        <v>1801</v>
      </c>
      <c r="C689" s="65" t="s">
        <v>8731</v>
      </c>
      <c r="D689" s="66">
        <v>43087</v>
      </c>
      <c r="E689" s="76" t="s">
        <v>289</v>
      </c>
      <c r="F689" s="79" t="s">
        <v>8732</v>
      </c>
      <c r="G689" s="61"/>
      <c r="I689" s="78"/>
    </row>
    <row r="690" spans="1:9" ht="14.25" customHeight="1" x14ac:dyDescent="0.2">
      <c r="A690" s="65" t="s">
        <v>8733</v>
      </c>
      <c r="B690" s="65" t="s">
        <v>8734</v>
      </c>
      <c r="C690" s="65" t="s">
        <v>8735</v>
      </c>
      <c r="D690" s="66">
        <v>43083</v>
      </c>
      <c r="E690" s="76" t="s">
        <v>6809</v>
      </c>
      <c r="F690" s="79" t="s">
        <v>6810</v>
      </c>
      <c r="G690" s="61"/>
      <c r="I690" s="78"/>
    </row>
    <row r="691" spans="1:9" ht="14.25" customHeight="1" x14ac:dyDescent="0.2">
      <c r="A691" s="65" t="s">
        <v>8736</v>
      </c>
      <c r="B691" s="65" t="s">
        <v>6832</v>
      </c>
      <c r="C691" s="65" t="s">
        <v>6833</v>
      </c>
      <c r="D691" s="66">
        <v>43083</v>
      </c>
      <c r="E691" s="76" t="s">
        <v>7922</v>
      </c>
      <c r="F691" s="79" t="s">
        <v>8737</v>
      </c>
      <c r="G691" s="61"/>
      <c r="I691" s="78"/>
    </row>
    <row r="692" spans="1:9" ht="14.25" customHeight="1" x14ac:dyDescent="0.2">
      <c r="A692" s="65" t="s">
        <v>8738</v>
      </c>
      <c r="B692" s="65" t="s">
        <v>2241</v>
      </c>
      <c r="C692" s="65" t="s">
        <v>8739</v>
      </c>
      <c r="D692" s="66">
        <v>43081</v>
      </c>
      <c r="E692" s="76" t="s">
        <v>7922</v>
      </c>
      <c r="F692" s="79" t="s">
        <v>8740</v>
      </c>
      <c r="G692" s="61"/>
      <c r="I692" s="78"/>
    </row>
    <row r="693" spans="1:9" ht="14.25" customHeight="1" x14ac:dyDescent="0.2">
      <c r="A693" s="65" t="s">
        <v>8741</v>
      </c>
      <c r="B693" s="65" t="s">
        <v>1414</v>
      </c>
      <c r="C693" s="65" t="s">
        <v>8742</v>
      </c>
      <c r="D693" s="66">
        <v>43081</v>
      </c>
      <c r="E693" s="76" t="s">
        <v>7915</v>
      </c>
      <c r="F693" s="79" t="s">
        <v>8743</v>
      </c>
      <c r="G693" s="61"/>
      <c r="I693" s="78"/>
    </row>
    <row r="694" spans="1:9" ht="14.25" customHeight="1" x14ac:dyDescent="0.2">
      <c r="A694" s="65" t="s">
        <v>8744</v>
      </c>
      <c r="B694" s="65" t="s">
        <v>141</v>
      </c>
      <c r="C694" s="65" t="s">
        <v>8745</v>
      </c>
      <c r="D694" s="66">
        <v>43080</v>
      </c>
      <c r="E694" s="76" t="s">
        <v>289</v>
      </c>
      <c r="F694" s="79" t="s">
        <v>8746</v>
      </c>
      <c r="G694" s="61"/>
      <c r="I694" s="78"/>
    </row>
    <row r="695" spans="1:9" ht="14.25" customHeight="1" x14ac:dyDescent="0.2">
      <c r="A695" s="65" t="s">
        <v>8747</v>
      </c>
      <c r="B695" s="65" t="s">
        <v>8748</v>
      </c>
      <c r="C695" s="65" t="s">
        <v>8749</v>
      </c>
      <c r="D695" s="66">
        <v>43080</v>
      </c>
      <c r="E695" s="76" t="s">
        <v>6809</v>
      </c>
      <c r="F695" s="79" t="s">
        <v>6814</v>
      </c>
      <c r="G695" s="61"/>
      <c r="I695" s="78"/>
    </row>
    <row r="696" spans="1:9" ht="14.25" customHeight="1" x14ac:dyDescent="0.2">
      <c r="A696" s="65" t="s">
        <v>8750</v>
      </c>
      <c r="B696" s="65" t="s">
        <v>8751</v>
      </c>
      <c r="C696" s="65" t="s">
        <v>8752</v>
      </c>
      <c r="D696" s="66">
        <v>43080</v>
      </c>
      <c r="E696" s="76" t="s">
        <v>6809</v>
      </c>
      <c r="F696" s="79" t="s">
        <v>6814</v>
      </c>
      <c r="G696" s="61"/>
      <c r="I696" s="78"/>
    </row>
    <row r="697" spans="1:9" ht="14.25" customHeight="1" x14ac:dyDescent="0.2">
      <c r="A697" s="65" t="s">
        <v>8753</v>
      </c>
      <c r="B697" s="65" t="s">
        <v>8754</v>
      </c>
      <c r="C697" s="65" t="s">
        <v>8755</v>
      </c>
      <c r="D697" s="66">
        <v>43080</v>
      </c>
      <c r="E697" s="76" t="s">
        <v>6809</v>
      </c>
      <c r="F697" s="79" t="s">
        <v>6814</v>
      </c>
      <c r="G697" s="61"/>
      <c r="I697" s="78"/>
    </row>
    <row r="698" spans="1:9" ht="14.25" customHeight="1" x14ac:dyDescent="0.2">
      <c r="A698" s="65" t="s">
        <v>8756</v>
      </c>
      <c r="B698" s="65" t="s">
        <v>8757</v>
      </c>
      <c r="C698" s="65" t="s">
        <v>8758</v>
      </c>
      <c r="D698" s="66">
        <v>43080</v>
      </c>
      <c r="E698" s="76" t="s">
        <v>6809</v>
      </c>
      <c r="F698" s="79" t="s">
        <v>6814</v>
      </c>
      <c r="G698" s="61"/>
      <c r="I698" s="78"/>
    </row>
    <row r="699" spans="1:9" ht="14.25" customHeight="1" x14ac:dyDescent="0.2">
      <c r="A699" s="65" t="s">
        <v>8759</v>
      </c>
      <c r="B699" s="65" t="s">
        <v>8760</v>
      </c>
      <c r="C699" s="65" t="s">
        <v>8761</v>
      </c>
      <c r="D699" s="66">
        <v>43080</v>
      </c>
      <c r="E699" s="76" t="s">
        <v>6809</v>
      </c>
      <c r="F699" s="79" t="s">
        <v>6814</v>
      </c>
      <c r="G699" s="61"/>
      <c r="I699" s="78"/>
    </row>
    <row r="700" spans="1:9" ht="14.25" customHeight="1" x14ac:dyDescent="0.2">
      <c r="A700" s="65" t="s">
        <v>8762</v>
      </c>
      <c r="B700" s="65" t="s">
        <v>8763</v>
      </c>
      <c r="C700" s="65" t="s">
        <v>8764</v>
      </c>
      <c r="D700" s="66">
        <v>43080</v>
      </c>
      <c r="E700" s="76" t="s">
        <v>6809</v>
      </c>
      <c r="F700" s="79" t="s">
        <v>6814</v>
      </c>
      <c r="G700" s="61"/>
      <c r="I700" s="78"/>
    </row>
    <row r="701" spans="1:9" ht="14.25" customHeight="1" x14ac:dyDescent="0.2">
      <c r="A701" s="65" t="s">
        <v>8765</v>
      </c>
      <c r="B701" s="65" t="s">
        <v>8766</v>
      </c>
      <c r="C701" s="65" t="s">
        <v>8767</v>
      </c>
      <c r="D701" s="66">
        <v>43080</v>
      </c>
      <c r="E701" s="76" t="s">
        <v>6809</v>
      </c>
      <c r="F701" s="79" t="s">
        <v>6814</v>
      </c>
      <c r="G701" s="61"/>
      <c r="I701" s="78"/>
    </row>
    <row r="702" spans="1:9" ht="14.25" customHeight="1" x14ac:dyDescent="0.2">
      <c r="A702" s="65" t="s">
        <v>8768</v>
      </c>
      <c r="B702" s="65" t="s">
        <v>8769</v>
      </c>
      <c r="C702" s="65" t="s">
        <v>8770</v>
      </c>
      <c r="D702" s="66">
        <v>43080</v>
      </c>
      <c r="E702" s="76" t="s">
        <v>6809</v>
      </c>
      <c r="F702" s="79" t="s">
        <v>6814</v>
      </c>
      <c r="G702" s="61"/>
      <c r="I702" s="78"/>
    </row>
    <row r="703" spans="1:9" ht="14.25" customHeight="1" x14ac:dyDescent="0.2">
      <c r="A703" s="65" t="s">
        <v>8771</v>
      </c>
      <c r="B703" s="65" t="s">
        <v>8772</v>
      </c>
      <c r="C703" s="65" t="s">
        <v>8773</v>
      </c>
      <c r="D703" s="66">
        <v>43080</v>
      </c>
      <c r="E703" s="76" t="s">
        <v>6809</v>
      </c>
      <c r="F703" s="79" t="s">
        <v>6814</v>
      </c>
      <c r="G703" s="61"/>
      <c r="I703" s="78"/>
    </row>
    <row r="704" spans="1:9" ht="14.25" customHeight="1" x14ac:dyDescent="0.2">
      <c r="A704" s="65" t="s">
        <v>8774</v>
      </c>
      <c r="B704" s="65" t="s">
        <v>8775</v>
      </c>
      <c r="C704" s="65" t="s">
        <v>8776</v>
      </c>
      <c r="D704" s="66">
        <v>43076</v>
      </c>
      <c r="E704" s="76" t="s">
        <v>6809</v>
      </c>
      <c r="F704" s="79" t="s">
        <v>6814</v>
      </c>
      <c r="G704" s="61"/>
      <c r="I704" s="78"/>
    </row>
    <row r="705" spans="1:9" ht="14.25" customHeight="1" x14ac:dyDescent="0.2">
      <c r="A705" s="65" t="s">
        <v>8777</v>
      </c>
      <c r="B705" s="65" t="s">
        <v>8778</v>
      </c>
      <c r="C705" s="65" t="s">
        <v>8779</v>
      </c>
      <c r="D705" s="66">
        <v>43076</v>
      </c>
      <c r="E705" s="76" t="s">
        <v>6809</v>
      </c>
      <c r="F705" s="79" t="s">
        <v>6824</v>
      </c>
      <c r="G705" s="61"/>
      <c r="I705" s="78"/>
    </row>
    <row r="706" spans="1:9" ht="14.25" customHeight="1" x14ac:dyDescent="0.2">
      <c r="A706" s="65" t="s">
        <v>8780</v>
      </c>
      <c r="B706" s="65" t="s">
        <v>1086</v>
      </c>
      <c r="C706" s="65" t="s">
        <v>8781</v>
      </c>
      <c r="D706" s="66">
        <v>43074</v>
      </c>
      <c r="E706" s="76" t="s">
        <v>7915</v>
      </c>
      <c r="F706" s="79" t="s">
        <v>8782</v>
      </c>
      <c r="G706" s="61"/>
      <c r="I706" s="78"/>
    </row>
    <row r="707" spans="1:9" ht="14.25" customHeight="1" x14ac:dyDescent="0.2">
      <c r="A707" s="65" t="s">
        <v>8783</v>
      </c>
      <c r="B707" s="65" t="s">
        <v>1781</v>
      </c>
      <c r="C707" s="65" t="s">
        <v>8784</v>
      </c>
      <c r="D707" s="66">
        <v>43074</v>
      </c>
      <c r="E707" s="76" t="s">
        <v>289</v>
      </c>
      <c r="F707" s="79" t="s">
        <v>8785</v>
      </c>
      <c r="G707" s="61"/>
      <c r="I707" s="78"/>
    </row>
    <row r="708" spans="1:9" ht="14.25" customHeight="1" x14ac:dyDescent="0.2">
      <c r="A708" s="65" t="s">
        <v>8692</v>
      </c>
      <c r="B708" s="65" t="s">
        <v>2131</v>
      </c>
      <c r="C708" s="65" t="s">
        <v>8786</v>
      </c>
      <c r="D708" s="66">
        <v>43069</v>
      </c>
      <c r="E708" s="76" t="s">
        <v>7915</v>
      </c>
      <c r="F708" s="79" t="s">
        <v>8694</v>
      </c>
      <c r="G708" s="61"/>
      <c r="I708" s="78"/>
    </row>
    <row r="709" spans="1:9" ht="14.25" customHeight="1" x14ac:dyDescent="0.2">
      <c r="A709" s="65" t="s">
        <v>2124</v>
      </c>
      <c r="B709" s="65" t="s">
        <v>2123</v>
      </c>
      <c r="C709" s="65" t="s">
        <v>8787</v>
      </c>
      <c r="D709" s="66">
        <v>43069</v>
      </c>
      <c r="E709" s="65" t="s">
        <v>6809</v>
      </c>
      <c r="F709" s="79" t="s">
        <v>8788</v>
      </c>
      <c r="G709" s="61"/>
      <c r="I709" s="78"/>
    </row>
    <row r="710" spans="1:9" ht="14.25" customHeight="1" x14ac:dyDescent="0.2">
      <c r="A710" s="65" t="s">
        <v>8789</v>
      </c>
      <c r="B710" s="65" t="s">
        <v>1760</v>
      </c>
      <c r="C710" s="65" t="s">
        <v>8790</v>
      </c>
      <c r="D710" s="66">
        <v>43069</v>
      </c>
      <c r="E710" s="76" t="s">
        <v>289</v>
      </c>
      <c r="F710" s="79" t="s">
        <v>8791</v>
      </c>
      <c r="G710" s="61"/>
      <c r="I710" s="78"/>
    </row>
    <row r="711" spans="1:9" ht="14.25" customHeight="1" x14ac:dyDescent="0.2">
      <c r="A711" s="65" t="s">
        <v>8792</v>
      </c>
      <c r="B711" s="65" t="s">
        <v>7362</v>
      </c>
      <c r="C711" s="65" t="s">
        <v>7363</v>
      </c>
      <c r="D711" s="66">
        <v>43067</v>
      </c>
      <c r="E711" s="76" t="s">
        <v>7922</v>
      </c>
      <c r="F711" s="79" t="s">
        <v>8793</v>
      </c>
      <c r="G711" s="61"/>
      <c r="I711" s="78"/>
    </row>
    <row r="712" spans="1:9" ht="14.25" customHeight="1" x14ac:dyDescent="0.2">
      <c r="A712" s="65" t="s">
        <v>8794</v>
      </c>
      <c r="B712" s="65" t="s">
        <v>8352</v>
      </c>
      <c r="C712" s="65" t="s">
        <v>8353</v>
      </c>
      <c r="D712" s="66">
        <v>43067</v>
      </c>
      <c r="E712" s="76" t="s">
        <v>7922</v>
      </c>
      <c r="F712" s="79" t="s">
        <v>8795</v>
      </c>
      <c r="G712" s="61"/>
      <c r="I712" s="78"/>
    </row>
    <row r="713" spans="1:9" ht="14.25" customHeight="1" x14ac:dyDescent="0.2">
      <c r="A713" s="65" t="s">
        <v>8796</v>
      </c>
      <c r="B713" s="65" t="s">
        <v>8797</v>
      </c>
      <c r="C713" s="65" t="s">
        <v>8798</v>
      </c>
      <c r="D713" s="66">
        <v>43063</v>
      </c>
      <c r="E713" s="76" t="s">
        <v>6809</v>
      </c>
      <c r="F713" s="79" t="s">
        <v>6810</v>
      </c>
      <c r="G713" s="61"/>
      <c r="I713" s="78"/>
    </row>
    <row r="714" spans="1:9" ht="14.25" customHeight="1" x14ac:dyDescent="0.2">
      <c r="A714" s="65" t="s">
        <v>8799</v>
      </c>
      <c r="B714" s="65" t="s">
        <v>1190</v>
      </c>
      <c r="C714" s="65" t="s">
        <v>8800</v>
      </c>
      <c r="D714" s="66">
        <v>43063</v>
      </c>
      <c r="E714" s="76" t="s">
        <v>6809</v>
      </c>
      <c r="F714" s="79" t="s">
        <v>6810</v>
      </c>
      <c r="G714" s="61"/>
      <c r="I714" s="78"/>
    </row>
    <row r="715" spans="1:9" ht="14.25" customHeight="1" x14ac:dyDescent="0.2">
      <c r="A715" s="65" t="s">
        <v>8801</v>
      </c>
      <c r="B715" s="65" t="s">
        <v>8802</v>
      </c>
      <c r="C715" s="65" t="s">
        <v>8803</v>
      </c>
      <c r="D715" s="66">
        <v>43063</v>
      </c>
      <c r="E715" s="76" t="s">
        <v>6809</v>
      </c>
      <c r="F715" s="79" t="s">
        <v>6810</v>
      </c>
      <c r="G715" s="61"/>
      <c r="I715" s="78"/>
    </row>
    <row r="716" spans="1:9" ht="14.25" customHeight="1" x14ac:dyDescent="0.2">
      <c r="A716" s="65" t="s">
        <v>8804</v>
      </c>
      <c r="B716" s="65" t="s">
        <v>8805</v>
      </c>
      <c r="C716" s="65" t="s">
        <v>8806</v>
      </c>
      <c r="D716" s="66">
        <v>43063</v>
      </c>
      <c r="E716" s="76" t="s">
        <v>6809</v>
      </c>
      <c r="F716" s="79" t="s">
        <v>6810</v>
      </c>
      <c r="G716" s="61"/>
      <c r="I716" s="78"/>
    </row>
    <row r="717" spans="1:9" ht="14.25" customHeight="1" x14ac:dyDescent="0.2">
      <c r="A717" s="65" t="s">
        <v>8807</v>
      </c>
      <c r="B717" s="65" t="s">
        <v>8808</v>
      </c>
      <c r="C717" s="65" t="s">
        <v>8809</v>
      </c>
      <c r="D717" s="66">
        <v>43063</v>
      </c>
      <c r="E717" s="76" t="s">
        <v>6809</v>
      </c>
      <c r="F717" s="79" t="s">
        <v>6810</v>
      </c>
      <c r="G717" s="61"/>
      <c r="I717" s="78"/>
    </row>
    <row r="718" spans="1:9" ht="14.25" customHeight="1" x14ac:dyDescent="0.2">
      <c r="A718" s="65" t="s">
        <v>8810</v>
      </c>
      <c r="B718" s="65" t="s">
        <v>8811</v>
      </c>
      <c r="C718" s="65" t="s">
        <v>8812</v>
      </c>
      <c r="D718" s="66">
        <v>43063</v>
      </c>
      <c r="E718" s="76" t="s">
        <v>6809</v>
      </c>
      <c r="F718" s="79" t="s">
        <v>6824</v>
      </c>
      <c r="G718" s="61"/>
      <c r="I718" s="78"/>
    </row>
    <row r="719" spans="1:9" ht="14.25" customHeight="1" x14ac:dyDescent="0.2">
      <c r="A719" s="65" t="s">
        <v>8813</v>
      </c>
      <c r="B719" s="65" t="s">
        <v>8814</v>
      </c>
      <c r="C719" s="65" t="s">
        <v>8815</v>
      </c>
      <c r="D719" s="66">
        <v>43063</v>
      </c>
      <c r="E719" s="76" t="s">
        <v>6809</v>
      </c>
      <c r="F719" s="79" t="s">
        <v>6810</v>
      </c>
      <c r="G719" s="61"/>
      <c r="I719" s="78"/>
    </row>
    <row r="720" spans="1:9" ht="14.25" customHeight="1" x14ac:dyDescent="0.2">
      <c r="A720" s="65" t="s">
        <v>8816</v>
      </c>
      <c r="B720" s="65" t="s">
        <v>8817</v>
      </c>
      <c r="C720" s="65" t="s">
        <v>8818</v>
      </c>
      <c r="D720" s="66">
        <v>43063</v>
      </c>
      <c r="E720" s="76" t="s">
        <v>6809</v>
      </c>
      <c r="F720" s="79" t="s">
        <v>6810</v>
      </c>
      <c r="G720" s="61"/>
      <c r="I720" s="78"/>
    </row>
    <row r="721" spans="1:9" ht="14.25" customHeight="1" x14ac:dyDescent="0.2">
      <c r="A721" s="65" t="s">
        <v>8819</v>
      </c>
      <c r="B721" s="65" t="s">
        <v>8820</v>
      </c>
      <c r="C721" s="65" t="s">
        <v>8821</v>
      </c>
      <c r="D721" s="66">
        <v>43063</v>
      </c>
      <c r="E721" s="76" t="s">
        <v>6809</v>
      </c>
      <c r="F721" s="79" t="s">
        <v>6810</v>
      </c>
      <c r="G721" s="61"/>
      <c r="I721" s="78"/>
    </row>
    <row r="722" spans="1:9" ht="14.25" customHeight="1" x14ac:dyDescent="0.2">
      <c r="A722" s="65" t="s">
        <v>8822</v>
      </c>
      <c r="B722" s="65" t="s">
        <v>8823</v>
      </c>
      <c r="C722" s="65" t="s">
        <v>8824</v>
      </c>
      <c r="D722" s="66">
        <v>43060</v>
      </c>
      <c r="E722" s="76" t="s">
        <v>6809</v>
      </c>
      <c r="F722" s="79" t="s">
        <v>6810</v>
      </c>
      <c r="G722" s="61"/>
      <c r="I722" s="78"/>
    </row>
    <row r="723" spans="1:9" ht="14.25" customHeight="1" x14ac:dyDescent="0.2">
      <c r="A723" s="65" t="s">
        <v>8825</v>
      </c>
      <c r="B723" s="65" t="s">
        <v>8826</v>
      </c>
      <c r="C723" s="65" t="s">
        <v>8827</v>
      </c>
      <c r="D723" s="66">
        <v>43059</v>
      </c>
      <c r="E723" s="76" t="s">
        <v>6809</v>
      </c>
      <c r="F723" s="79" t="s">
        <v>6814</v>
      </c>
      <c r="G723" s="61"/>
      <c r="I723" s="78"/>
    </row>
    <row r="724" spans="1:9" ht="14.25" customHeight="1" x14ac:dyDescent="0.2">
      <c r="A724" s="65" t="s">
        <v>8828</v>
      </c>
      <c r="B724" s="65" t="s">
        <v>8829</v>
      </c>
      <c r="C724" s="65" t="s">
        <v>8830</v>
      </c>
      <c r="D724" s="66">
        <v>43056</v>
      </c>
      <c r="E724" s="76" t="s">
        <v>6809</v>
      </c>
      <c r="F724" s="79" t="s">
        <v>6810</v>
      </c>
      <c r="G724" s="61"/>
      <c r="I724" s="78"/>
    </row>
    <row r="725" spans="1:9" ht="14.25" customHeight="1" x14ac:dyDescent="0.2">
      <c r="A725" s="65" t="s">
        <v>8831</v>
      </c>
      <c r="B725" s="65" t="s">
        <v>8832</v>
      </c>
      <c r="C725" s="65" t="s">
        <v>8833</v>
      </c>
      <c r="D725" s="66">
        <v>43056</v>
      </c>
      <c r="E725" s="76" t="s">
        <v>6809</v>
      </c>
      <c r="F725" s="79" t="s">
        <v>6810</v>
      </c>
      <c r="G725" s="61"/>
      <c r="I725" s="78"/>
    </row>
    <row r="726" spans="1:9" ht="14.25" customHeight="1" x14ac:dyDescent="0.2">
      <c r="A726" s="65" t="s">
        <v>8834</v>
      </c>
      <c r="B726" s="65" t="s">
        <v>8835</v>
      </c>
      <c r="C726" s="65" t="s">
        <v>8836</v>
      </c>
      <c r="D726" s="66">
        <v>43056</v>
      </c>
      <c r="E726" s="76" t="s">
        <v>6809</v>
      </c>
      <c r="F726" s="79" t="s">
        <v>6810</v>
      </c>
      <c r="G726" s="61"/>
      <c r="I726" s="78"/>
    </row>
    <row r="727" spans="1:9" ht="14.25" customHeight="1" x14ac:dyDescent="0.2">
      <c r="A727" s="65">
        <v>60030201010</v>
      </c>
      <c r="B727" s="65" t="s">
        <v>8837</v>
      </c>
      <c r="C727" s="65" t="s">
        <v>8838</v>
      </c>
      <c r="D727" s="66">
        <v>43056</v>
      </c>
      <c r="E727" s="76" t="s">
        <v>6809</v>
      </c>
      <c r="F727" s="79" t="s">
        <v>6810</v>
      </c>
      <c r="G727" s="61"/>
      <c r="I727" s="78"/>
    </row>
    <row r="728" spans="1:9" ht="14.25" customHeight="1" x14ac:dyDescent="0.2">
      <c r="A728" s="65">
        <v>60040201011</v>
      </c>
      <c r="B728" s="65" t="s">
        <v>6925</v>
      </c>
      <c r="C728" s="65" t="s">
        <v>8839</v>
      </c>
      <c r="D728" s="66">
        <v>43056</v>
      </c>
      <c r="E728" s="76" t="s">
        <v>6809</v>
      </c>
      <c r="F728" s="79" t="s">
        <v>6810</v>
      </c>
      <c r="G728" s="61"/>
      <c r="I728" s="78"/>
    </row>
    <row r="729" spans="1:9" ht="14.25" customHeight="1" x14ac:dyDescent="0.2">
      <c r="A729" s="65">
        <v>60040209003</v>
      </c>
      <c r="B729" s="65" t="s">
        <v>8840</v>
      </c>
      <c r="C729" s="65" t="s">
        <v>8841</v>
      </c>
      <c r="D729" s="66">
        <v>43056</v>
      </c>
      <c r="E729" s="76" t="s">
        <v>6809</v>
      </c>
      <c r="F729" s="79" t="s">
        <v>6810</v>
      </c>
      <c r="G729" s="61"/>
      <c r="I729" s="78"/>
    </row>
    <row r="730" spans="1:9" ht="14.25" customHeight="1" x14ac:dyDescent="0.2">
      <c r="A730" s="65">
        <v>60040218003</v>
      </c>
      <c r="B730" s="65" t="s">
        <v>8842</v>
      </c>
      <c r="C730" s="65" t="s">
        <v>8843</v>
      </c>
      <c r="D730" s="66">
        <v>43056</v>
      </c>
      <c r="E730" s="76" t="s">
        <v>6809</v>
      </c>
      <c r="F730" s="79" t="s">
        <v>6810</v>
      </c>
      <c r="G730" s="61"/>
      <c r="I730" s="78"/>
    </row>
    <row r="731" spans="1:9" ht="14.25" customHeight="1" x14ac:dyDescent="0.2">
      <c r="A731" s="65">
        <v>60040299046</v>
      </c>
      <c r="B731" s="65" t="s">
        <v>8844</v>
      </c>
      <c r="C731" s="65" t="s">
        <v>8845</v>
      </c>
      <c r="D731" s="66">
        <v>43056</v>
      </c>
      <c r="E731" s="76" t="s">
        <v>6809</v>
      </c>
      <c r="F731" s="79" t="s">
        <v>6810</v>
      </c>
      <c r="G731" s="61"/>
      <c r="I731" s="78"/>
    </row>
    <row r="732" spans="1:9" ht="14.25" customHeight="1" x14ac:dyDescent="0.2">
      <c r="A732" s="65">
        <v>60040699001</v>
      </c>
      <c r="B732" s="65" t="s">
        <v>8846</v>
      </c>
      <c r="C732" s="65" t="s">
        <v>8847</v>
      </c>
      <c r="D732" s="66">
        <v>43056</v>
      </c>
      <c r="E732" s="76" t="s">
        <v>6809</v>
      </c>
      <c r="F732" s="79" t="s">
        <v>6810</v>
      </c>
      <c r="G732" s="61"/>
      <c r="I732" s="78"/>
    </row>
    <row r="733" spans="1:9" ht="14.25" customHeight="1" x14ac:dyDescent="0.2">
      <c r="A733" s="65">
        <v>60041499034</v>
      </c>
      <c r="B733" s="65" t="s">
        <v>8848</v>
      </c>
      <c r="C733" s="65" t="s">
        <v>8849</v>
      </c>
      <c r="D733" s="66">
        <v>43056</v>
      </c>
      <c r="E733" s="76" t="s">
        <v>6809</v>
      </c>
      <c r="F733" s="79" t="s">
        <v>6810</v>
      </c>
      <c r="G733" s="61"/>
      <c r="I733" s="78"/>
    </row>
    <row r="734" spans="1:9" ht="14.25" customHeight="1" x14ac:dyDescent="0.2">
      <c r="A734" s="65">
        <v>99070109004</v>
      </c>
      <c r="B734" s="65" t="s">
        <v>8850</v>
      </c>
      <c r="C734" s="65" t="s">
        <v>8851</v>
      </c>
      <c r="D734" s="66">
        <v>43056</v>
      </c>
      <c r="E734" s="76" t="s">
        <v>6809</v>
      </c>
      <c r="F734" s="79" t="s">
        <v>6810</v>
      </c>
      <c r="G734" s="61"/>
      <c r="I734" s="78"/>
    </row>
    <row r="735" spans="1:9" ht="14.25" customHeight="1" x14ac:dyDescent="0.2">
      <c r="A735" s="65">
        <v>99070205009</v>
      </c>
      <c r="B735" s="65" t="s">
        <v>8852</v>
      </c>
      <c r="C735" s="65" t="s">
        <v>8853</v>
      </c>
      <c r="D735" s="66">
        <v>43056</v>
      </c>
      <c r="E735" s="76" t="s">
        <v>6809</v>
      </c>
      <c r="F735" s="79" t="s">
        <v>6810</v>
      </c>
      <c r="G735" s="61"/>
      <c r="I735" s="78"/>
    </row>
    <row r="736" spans="1:9" ht="14.25" customHeight="1" x14ac:dyDescent="0.2">
      <c r="A736" s="65">
        <v>99070218005</v>
      </c>
      <c r="B736" s="65" t="s">
        <v>8854</v>
      </c>
      <c r="C736" s="65" t="s">
        <v>8855</v>
      </c>
      <c r="D736" s="66">
        <v>43056</v>
      </c>
      <c r="E736" s="76" t="s">
        <v>6809</v>
      </c>
      <c r="F736" s="79" t="s">
        <v>6810</v>
      </c>
      <c r="G736" s="61"/>
      <c r="I736" s="78"/>
    </row>
    <row r="737" spans="1:9" ht="14.25" customHeight="1" x14ac:dyDescent="0.2">
      <c r="A737" s="65">
        <v>99070218006</v>
      </c>
      <c r="B737" s="65" t="s">
        <v>8856</v>
      </c>
      <c r="C737" s="65" t="s">
        <v>8857</v>
      </c>
      <c r="D737" s="66">
        <v>43056</v>
      </c>
      <c r="E737" s="76" t="s">
        <v>6809</v>
      </c>
      <c r="F737" s="79" t="s">
        <v>6810</v>
      </c>
      <c r="G737" s="61"/>
      <c r="I737" s="78"/>
    </row>
    <row r="738" spans="1:9" ht="14.25" customHeight="1" x14ac:dyDescent="0.2">
      <c r="A738" s="65">
        <v>99070218009</v>
      </c>
      <c r="B738" s="65" t="s">
        <v>6997</v>
      </c>
      <c r="C738" s="65" t="s">
        <v>8858</v>
      </c>
      <c r="D738" s="66">
        <v>43056</v>
      </c>
      <c r="E738" s="76" t="s">
        <v>6809</v>
      </c>
      <c r="F738" s="79" t="s">
        <v>6810</v>
      </c>
      <c r="G738" s="61"/>
      <c r="I738" s="78"/>
    </row>
    <row r="739" spans="1:9" ht="14.25" customHeight="1" x14ac:dyDescent="0.2">
      <c r="A739" s="65">
        <v>99070218010</v>
      </c>
      <c r="B739" s="65" t="s">
        <v>8859</v>
      </c>
      <c r="C739" s="65" t="s">
        <v>8860</v>
      </c>
      <c r="D739" s="66">
        <v>43056</v>
      </c>
      <c r="E739" s="76" t="s">
        <v>6809</v>
      </c>
      <c r="F739" s="79" t="s">
        <v>6810</v>
      </c>
      <c r="G739" s="61"/>
      <c r="I739" s="78"/>
    </row>
    <row r="740" spans="1:9" ht="14.25" customHeight="1" x14ac:dyDescent="0.2">
      <c r="A740" s="65">
        <v>99070219001</v>
      </c>
      <c r="B740" s="65" t="s">
        <v>8861</v>
      </c>
      <c r="C740" s="65" t="s">
        <v>8862</v>
      </c>
      <c r="D740" s="66">
        <v>43056</v>
      </c>
      <c r="E740" s="76" t="s">
        <v>6809</v>
      </c>
      <c r="F740" s="79" t="s">
        <v>6810</v>
      </c>
      <c r="G740" s="61"/>
      <c r="I740" s="78"/>
    </row>
    <row r="741" spans="1:9" ht="14.25" customHeight="1" x14ac:dyDescent="0.2">
      <c r="A741" s="65">
        <v>99070219002</v>
      </c>
      <c r="B741" s="65" t="s">
        <v>8863</v>
      </c>
      <c r="C741" s="65" t="s">
        <v>8864</v>
      </c>
      <c r="D741" s="66">
        <v>43056</v>
      </c>
      <c r="E741" s="76" t="s">
        <v>6809</v>
      </c>
      <c r="F741" s="79" t="s">
        <v>6810</v>
      </c>
      <c r="G741" s="61"/>
      <c r="I741" s="78"/>
    </row>
    <row r="742" spans="1:9" ht="14.25" customHeight="1" x14ac:dyDescent="0.2">
      <c r="A742" s="65">
        <v>99120101043</v>
      </c>
      <c r="B742" s="65" t="s">
        <v>8865</v>
      </c>
      <c r="C742" s="65" t="s">
        <v>8866</v>
      </c>
      <c r="D742" s="66">
        <v>43056</v>
      </c>
      <c r="E742" s="76" t="s">
        <v>6809</v>
      </c>
      <c r="F742" s="79" t="s">
        <v>6810</v>
      </c>
      <c r="G742" s="61"/>
      <c r="I742" s="78"/>
    </row>
    <row r="743" spans="1:9" ht="14.25" customHeight="1" x14ac:dyDescent="0.2">
      <c r="A743" s="65">
        <v>99120101144</v>
      </c>
      <c r="B743" s="65">
        <v>42826</v>
      </c>
      <c r="C743" s="65" t="s">
        <v>8867</v>
      </c>
      <c r="D743" s="66">
        <v>43056</v>
      </c>
      <c r="E743" s="76" t="s">
        <v>6809</v>
      </c>
      <c r="F743" s="79" t="s">
        <v>6810</v>
      </c>
      <c r="G743" s="61"/>
      <c r="I743" s="78"/>
    </row>
    <row r="744" spans="1:9" ht="14.25" customHeight="1" x14ac:dyDescent="0.2">
      <c r="A744" s="65">
        <v>99120101156</v>
      </c>
      <c r="B744" s="65" t="s">
        <v>8868</v>
      </c>
      <c r="C744" s="65" t="s">
        <v>8869</v>
      </c>
      <c r="D744" s="66">
        <v>43056</v>
      </c>
      <c r="E744" s="76" t="s">
        <v>6809</v>
      </c>
      <c r="F744" s="79" t="s">
        <v>6810</v>
      </c>
      <c r="G744" s="61"/>
      <c r="I744" s="78"/>
    </row>
    <row r="745" spans="1:9" ht="14.25" customHeight="1" x14ac:dyDescent="0.2">
      <c r="A745" s="65">
        <v>99120101162</v>
      </c>
      <c r="B745" s="65" t="s">
        <v>8870</v>
      </c>
      <c r="C745" s="65" t="s">
        <v>8871</v>
      </c>
      <c r="D745" s="66">
        <v>43056</v>
      </c>
      <c r="E745" s="76" t="s">
        <v>6809</v>
      </c>
      <c r="F745" s="79" t="s">
        <v>6810</v>
      </c>
      <c r="G745" s="61"/>
      <c r="I745" s="78"/>
    </row>
    <row r="746" spans="1:9" ht="14.25" customHeight="1" x14ac:dyDescent="0.2">
      <c r="A746" s="65">
        <v>99120101164</v>
      </c>
      <c r="B746" s="65" t="s">
        <v>8872</v>
      </c>
      <c r="C746" s="65" t="s">
        <v>8293</v>
      </c>
      <c r="D746" s="66">
        <v>43056</v>
      </c>
      <c r="E746" s="76" t="s">
        <v>6809</v>
      </c>
      <c r="F746" s="79" t="s">
        <v>6810</v>
      </c>
      <c r="G746" s="61"/>
      <c r="I746" s="78"/>
    </row>
    <row r="747" spans="1:9" ht="14.25" customHeight="1" x14ac:dyDescent="0.2">
      <c r="A747" s="65">
        <v>99120101171</v>
      </c>
      <c r="B747" s="65">
        <v>42887</v>
      </c>
      <c r="C747" s="65" t="s">
        <v>8873</v>
      </c>
      <c r="D747" s="66">
        <v>43056</v>
      </c>
      <c r="E747" s="76" t="s">
        <v>6809</v>
      </c>
      <c r="F747" s="79" t="s">
        <v>6810</v>
      </c>
      <c r="G747" s="61"/>
      <c r="I747" s="78"/>
    </row>
    <row r="748" spans="1:9" ht="14.25" customHeight="1" x14ac:dyDescent="0.2">
      <c r="A748" s="65">
        <v>99120104028</v>
      </c>
      <c r="B748" s="65" t="s">
        <v>8874</v>
      </c>
      <c r="C748" s="65" t="s">
        <v>8875</v>
      </c>
      <c r="D748" s="66">
        <v>43056</v>
      </c>
      <c r="E748" s="76" t="s">
        <v>6809</v>
      </c>
      <c r="F748" s="79" t="s">
        <v>6810</v>
      </c>
      <c r="G748" s="61"/>
      <c r="I748" s="78"/>
    </row>
    <row r="749" spans="1:9" ht="14.25" customHeight="1" x14ac:dyDescent="0.2">
      <c r="A749" s="65">
        <v>99120109003</v>
      </c>
      <c r="B749" s="65" t="s">
        <v>8876</v>
      </c>
      <c r="C749" s="65" t="s">
        <v>8877</v>
      </c>
      <c r="D749" s="66">
        <v>43056</v>
      </c>
      <c r="E749" s="76" t="s">
        <v>6809</v>
      </c>
      <c r="F749" s="79" t="s">
        <v>6810</v>
      </c>
      <c r="G749" s="61"/>
      <c r="I749" s="78"/>
    </row>
    <row r="750" spans="1:9" ht="14.25" customHeight="1" x14ac:dyDescent="0.2">
      <c r="A750" s="65">
        <v>99120109005</v>
      </c>
      <c r="B750" s="65" t="s">
        <v>8878</v>
      </c>
      <c r="C750" s="65" t="s">
        <v>8879</v>
      </c>
      <c r="D750" s="66">
        <v>43056</v>
      </c>
      <c r="E750" s="76" t="s">
        <v>6809</v>
      </c>
      <c r="F750" s="79" t="s">
        <v>6810</v>
      </c>
      <c r="G750" s="61"/>
      <c r="I750" s="78"/>
    </row>
    <row r="751" spans="1:9" ht="14.25" customHeight="1" x14ac:dyDescent="0.2">
      <c r="A751" s="65">
        <v>99120112020</v>
      </c>
      <c r="B751" s="65" t="s">
        <v>8880</v>
      </c>
      <c r="C751" s="65" t="s">
        <v>8881</v>
      </c>
      <c r="D751" s="66">
        <v>43056</v>
      </c>
      <c r="E751" s="76" t="s">
        <v>6809</v>
      </c>
      <c r="F751" s="79" t="s">
        <v>6810</v>
      </c>
      <c r="G751" s="61"/>
      <c r="I751" s="78"/>
    </row>
    <row r="752" spans="1:9" ht="14.25" customHeight="1" x14ac:dyDescent="0.2">
      <c r="A752" s="65">
        <v>99120113049</v>
      </c>
      <c r="B752" s="65" t="s">
        <v>8882</v>
      </c>
      <c r="C752" s="65" t="s">
        <v>8883</v>
      </c>
      <c r="D752" s="66">
        <v>43056</v>
      </c>
      <c r="E752" s="76" t="s">
        <v>6809</v>
      </c>
      <c r="F752" s="79" t="s">
        <v>6810</v>
      </c>
      <c r="G752" s="61"/>
      <c r="I752" s="78"/>
    </row>
    <row r="753" spans="1:9" ht="14.25" customHeight="1" x14ac:dyDescent="0.2">
      <c r="A753" s="65">
        <v>99120113052</v>
      </c>
      <c r="B753" s="65" t="s">
        <v>8884</v>
      </c>
      <c r="C753" s="65" t="s">
        <v>8885</v>
      </c>
      <c r="D753" s="66">
        <v>43056</v>
      </c>
      <c r="E753" s="76" t="s">
        <v>6809</v>
      </c>
      <c r="F753" s="79" t="s">
        <v>6810</v>
      </c>
      <c r="G753" s="61"/>
      <c r="I753" s="78"/>
    </row>
    <row r="754" spans="1:9" ht="14.25" customHeight="1" x14ac:dyDescent="0.2">
      <c r="A754" s="65">
        <v>99120199030</v>
      </c>
      <c r="B754" s="65" t="s">
        <v>8886</v>
      </c>
      <c r="C754" s="65" t="s">
        <v>8887</v>
      </c>
      <c r="D754" s="66">
        <v>43056</v>
      </c>
      <c r="E754" s="76" t="s">
        <v>6809</v>
      </c>
      <c r="F754" s="79" t="s">
        <v>6810</v>
      </c>
      <c r="G754" s="61"/>
      <c r="I754" s="78"/>
    </row>
    <row r="755" spans="1:9" ht="14.25" customHeight="1" x14ac:dyDescent="0.2">
      <c r="A755" s="65">
        <v>99120201013</v>
      </c>
      <c r="B755" s="65" t="s">
        <v>8888</v>
      </c>
      <c r="C755" s="65" t="s">
        <v>8889</v>
      </c>
      <c r="D755" s="66">
        <v>43056</v>
      </c>
      <c r="E755" s="76" t="s">
        <v>6809</v>
      </c>
      <c r="F755" s="79" t="s">
        <v>6810</v>
      </c>
      <c r="G755" s="61"/>
      <c r="I755" s="78"/>
    </row>
    <row r="756" spans="1:9" ht="14.25" customHeight="1" x14ac:dyDescent="0.2">
      <c r="A756" s="65">
        <v>99120202017</v>
      </c>
      <c r="B756" s="65" t="s">
        <v>8890</v>
      </c>
      <c r="C756" s="65" t="s">
        <v>8891</v>
      </c>
      <c r="D756" s="66">
        <v>43056</v>
      </c>
      <c r="E756" s="76" t="s">
        <v>6809</v>
      </c>
      <c r="F756" s="79" t="s">
        <v>6810</v>
      </c>
      <c r="G756" s="61"/>
      <c r="I756" s="78"/>
    </row>
    <row r="757" spans="1:9" ht="14.25" customHeight="1" x14ac:dyDescent="0.2">
      <c r="A757" s="65">
        <v>99120206019</v>
      </c>
      <c r="B757" s="65" t="s">
        <v>8892</v>
      </c>
      <c r="C757" s="65" t="s">
        <v>8893</v>
      </c>
      <c r="D757" s="66">
        <v>43056</v>
      </c>
      <c r="E757" s="76" t="s">
        <v>6809</v>
      </c>
      <c r="F757" s="79" t="s">
        <v>6810</v>
      </c>
      <c r="G757" s="61"/>
      <c r="I757" s="78"/>
    </row>
    <row r="758" spans="1:9" ht="14.25" customHeight="1" x14ac:dyDescent="0.2">
      <c r="A758" s="65">
        <v>99120207035</v>
      </c>
      <c r="B758" s="65" t="s">
        <v>8894</v>
      </c>
      <c r="C758" s="65" t="s">
        <v>8895</v>
      </c>
      <c r="D758" s="66">
        <v>43056</v>
      </c>
      <c r="E758" s="76" t="s">
        <v>6809</v>
      </c>
      <c r="F758" s="79" t="s">
        <v>6810</v>
      </c>
      <c r="G758" s="61"/>
      <c r="I758" s="78"/>
    </row>
    <row r="759" spans="1:9" ht="14.25" customHeight="1" x14ac:dyDescent="0.2">
      <c r="A759" s="65">
        <v>99120208017</v>
      </c>
      <c r="B759" s="65" t="s">
        <v>8896</v>
      </c>
      <c r="C759" s="65" t="s">
        <v>8897</v>
      </c>
      <c r="D759" s="66">
        <v>43056</v>
      </c>
      <c r="E759" s="76" t="s">
        <v>6809</v>
      </c>
      <c r="F759" s="79" t="s">
        <v>6810</v>
      </c>
      <c r="G759" s="61"/>
      <c r="I759" s="78"/>
    </row>
    <row r="760" spans="1:9" ht="14.25" customHeight="1" x14ac:dyDescent="0.2">
      <c r="A760" s="65">
        <v>99120208018</v>
      </c>
      <c r="B760" s="65" t="s">
        <v>8898</v>
      </c>
      <c r="C760" s="65" t="s">
        <v>8899</v>
      </c>
      <c r="D760" s="66">
        <v>43056</v>
      </c>
      <c r="E760" s="76" t="s">
        <v>6809</v>
      </c>
      <c r="F760" s="79" t="s">
        <v>6810</v>
      </c>
      <c r="G760" s="61"/>
      <c r="I760" s="78"/>
    </row>
    <row r="761" spans="1:9" ht="14.25" customHeight="1" x14ac:dyDescent="0.2">
      <c r="A761" s="65">
        <v>99120209007</v>
      </c>
      <c r="B761" s="65" t="s">
        <v>8900</v>
      </c>
      <c r="C761" s="65" t="s">
        <v>8901</v>
      </c>
      <c r="D761" s="66">
        <v>43056</v>
      </c>
      <c r="E761" s="76" t="s">
        <v>6809</v>
      </c>
      <c r="F761" s="79" t="s">
        <v>6810</v>
      </c>
      <c r="G761" s="61"/>
      <c r="I761" s="78"/>
    </row>
    <row r="762" spans="1:9" ht="14.25" customHeight="1" x14ac:dyDescent="0.2">
      <c r="A762" s="65">
        <v>99120299032</v>
      </c>
      <c r="B762" s="65" t="s">
        <v>8902</v>
      </c>
      <c r="C762" s="65" t="s">
        <v>8903</v>
      </c>
      <c r="D762" s="66">
        <v>43056</v>
      </c>
      <c r="E762" s="76" t="s">
        <v>6809</v>
      </c>
      <c r="F762" s="79" t="s">
        <v>6810</v>
      </c>
      <c r="G762" s="61"/>
      <c r="I762" s="78"/>
    </row>
    <row r="763" spans="1:9" ht="14.25" customHeight="1" x14ac:dyDescent="0.2">
      <c r="A763" s="65">
        <v>99120799001</v>
      </c>
      <c r="B763" s="65" t="s">
        <v>8904</v>
      </c>
      <c r="C763" s="65" t="s">
        <v>8905</v>
      </c>
      <c r="D763" s="66">
        <v>43056</v>
      </c>
      <c r="E763" s="76" t="s">
        <v>6809</v>
      </c>
      <c r="F763" s="79" t="s">
        <v>6810</v>
      </c>
      <c r="G763" s="61"/>
      <c r="I763" s="78"/>
    </row>
    <row r="764" spans="1:9" ht="14.25" customHeight="1" x14ac:dyDescent="0.2">
      <c r="A764" s="65">
        <v>99120799002</v>
      </c>
      <c r="B764" s="65" t="s">
        <v>8906</v>
      </c>
      <c r="C764" s="65" t="s">
        <v>8907</v>
      </c>
      <c r="D764" s="66">
        <v>43056</v>
      </c>
      <c r="E764" s="76" t="s">
        <v>6809</v>
      </c>
      <c r="F764" s="79" t="s">
        <v>6810</v>
      </c>
      <c r="G764" s="61"/>
      <c r="I764" s="78"/>
    </row>
    <row r="765" spans="1:9" ht="14.25" customHeight="1" x14ac:dyDescent="0.2">
      <c r="A765" s="65">
        <v>99121462010</v>
      </c>
      <c r="B765" s="65" t="s">
        <v>8908</v>
      </c>
      <c r="C765" s="65" t="s">
        <v>8909</v>
      </c>
      <c r="D765" s="66">
        <v>43056</v>
      </c>
      <c r="E765" s="76" t="s">
        <v>6809</v>
      </c>
      <c r="F765" s="79" t="s">
        <v>6810</v>
      </c>
      <c r="G765" s="61"/>
      <c r="I765" s="78"/>
    </row>
    <row r="766" spans="1:9" ht="14.25" customHeight="1" x14ac:dyDescent="0.2">
      <c r="A766" s="65">
        <v>99121466007</v>
      </c>
      <c r="B766" s="65" t="s">
        <v>8910</v>
      </c>
      <c r="C766" s="65" t="s">
        <v>8911</v>
      </c>
      <c r="D766" s="66">
        <v>43056</v>
      </c>
      <c r="E766" s="76" t="s">
        <v>6809</v>
      </c>
      <c r="F766" s="79" t="s">
        <v>6810</v>
      </c>
      <c r="G766" s="61"/>
      <c r="I766" s="78"/>
    </row>
    <row r="767" spans="1:9" ht="14.25" customHeight="1" x14ac:dyDescent="0.2">
      <c r="A767" s="65">
        <v>99220101007</v>
      </c>
      <c r="B767" s="65" t="s">
        <v>8912</v>
      </c>
      <c r="C767" s="65" t="s">
        <v>8913</v>
      </c>
      <c r="D767" s="66">
        <v>43056</v>
      </c>
      <c r="E767" s="76" t="s">
        <v>6809</v>
      </c>
      <c r="F767" s="79" t="s">
        <v>6810</v>
      </c>
      <c r="G767" s="61"/>
      <c r="I767" s="78"/>
    </row>
    <row r="768" spans="1:9" ht="14.25" customHeight="1" x14ac:dyDescent="0.2">
      <c r="A768" s="65">
        <v>99220199058</v>
      </c>
      <c r="B768" s="65" t="s">
        <v>8914</v>
      </c>
      <c r="C768" s="65" t="s">
        <v>8915</v>
      </c>
      <c r="D768" s="66">
        <v>43056</v>
      </c>
      <c r="E768" s="76" t="s">
        <v>6809</v>
      </c>
      <c r="F768" s="79" t="s">
        <v>6810</v>
      </c>
      <c r="G768" s="61"/>
      <c r="I768" s="78"/>
    </row>
    <row r="769" spans="1:9" ht="14.25" customHeight="1" x14ac:dyDescent="0.2">
      <c r="A769" s="65" t="s">
        <v>8916</v>
      </c>
      <c r="B769" s="65" t="s">
        <v>8917</v>
      </c>
      <c r="C769" s="65" t="s">
        <v>8918</v>
      </c>
      <c r="D769" s="66">
        <v>43056</v>
      </c>
      <c r="E769" s="76" t="s">
        <v>6809</v>
      </c>
      <c r="F769" s="79" t="s">
        <v>6810</v>
      </c>
      <c r="G769" s="61"/>
      <c r="I769" s="78"/>
    </row>
    <row r="770" spans="1:9" ht="14.25" customHeight="1" x14ac:dyDescent="0.2">
      <c r="A770" s="65">
        <v>99220204001</v>
      </c>
      <c r="B770" s="65" t="s">
        <v>8919</v>
      </c>
      <c r="C770" s="65" t="s">
        <v>7357</v>
      </c>
      <c r="D770" s="66">
        <v>43056</v>
      </c>
      <c r="E770" s="76" t="s">
        <v>6809</v>
      </c>
      <c r="F770" s="79" t="s">
        <v>6810</v>
      </c>
      <c r="G770" s="61"/>
      <c r="I770" s="78"/>
    </row>
    <row r="771" spans="1:9" ht="14.25" customHeight="1" x14ac:dyDescent="0.2">
      <c r="A771" s="65">
        <v>99220299046</v>
      </c>
      <c r="B771" s="65" t="s">
        <v>7657</v>
      </c>
      <c r="C771" s="65" t="s">
        <v>8920</v>
      </c>
      <c r="D771" s="66">
        <v>43056</v>
      </c>
      <c r="E771" s="76" t="s">
        <v>6809</v>
      </c>
      <c r="F771" s="79" t="s">
        <v>6810</v>
      </c>
      <c r="G771" s="61"/>
      <c r="I771" s="78"/>
    </row>
    <row r="772" spans="1:9" ht="14.25" customHeight="1" x14ac:dyDescent="0.2">
      <c r="A772" s="65">
        <v>99220299048</v>
      </c>
      <c r="B772" s="65" t="s">
        <v>8921</v>
      </c>
      <c r="C772" s="65" t="s">
        <v>8922</v>
      </c>
      <c r="D772" s="66">
        <v>43056</v>
      </c>
      <c r="E772" s="76" t="s">
        <v>6809</v>
      </c>
      <c r="F772" s="79" t="s">
        <v>6810</v>
      </c>
      <c r="G772" s="61"/>
      <c r="I772" s="78"/>
    </row>
    <row r="773" spans="1:9" ht="14.25" customHeight="1" x14ac:dyDescent="0.2">
      <c r="A773" s="65">
        <v>99220299050</v>
      </c>
      <c r="B773" s="65" t="s">
        <v>8923</v>
      </c>
      <c r="C773" s="65" t="s">
        <v>8924</v>
      </c>
      <c r="D773" s="66">
        <v>43056</v>
      </c>
      <c r="E773" s="76" t="s">
        <v>6809</v>
      </c>
      <c r="F773" s="79" t="s">
        <v>6810</v>
      </c>
      <c r="G773" s="61"/>
      <c r="I773" s="78"/>
    </row>
    <row r="774" spans="1:9" ht="14.25" customHeight="1" x14ac:dyDescent="0.2">
      <c r="A774" s="65">
        <v>99801464097</v>
      </c>
      <c r="B774" s="65" t="s">
        <v>8925</v>
      </c>
      <c r="C774" s="65" t="s">
        <v>8926</v>
      </c>
      <c r="D774" s="66">
        <v>43056</v>
      </c>
      <c r="E774" s="76" t="s">
        <v>6809</v>
      </c>
      <c r="F774" s="79" t="s">
        <v>6810</v>
      </c>
      <c r="G774" s="61"/>
      <c r="I774" s="78"/>
    </row>
    <row r="775" spans="1:9" ht="14.25" customHeight="1" x14ac:dyDescent="0.2">
      <c r="A775" s="65">
        <v>99801464100</v>
      </c>
      <c r="B775" s="65" t="s">
        <v>8927</v>
      </c>
      <c r="C775" s="65" t="s">
        <v>8928</v>
      </c>
      <c r="D775" s="66">
        <v>43056</v>
      </c>
      <c r="E775" s="76" t="s">
        <v>6809</v>
      </c>
      <c r="F775" s="79" t="s">
        <v>6810</v>
      </c>
      <c r="G775" s="61"/>
      <c r="I775" s="78"/>
    </row>
    <row r="776" spans="1:9" ht="14.25" customHeight="1" x14ac:dyDescent="0.2">
      <c r="A776" s="65" t="s">
        <v>8929</v>
      </c>
      <c r="B776" s="65" t="s">
        <v>7481</v>
      </c>
      <c r="C776" s="65" t="s">
        <v>8930</v>
      </c>
      <c r="D776" s="66">
        <v>43056</v>
      </c>
      <c r="E776" s="65" t="s">
        <v>7915</v>
      </c>
      <c r="F776" s="79" t="s">
        <v>8931</v>
      </c>
      <c r="G776" s="61"/>
      <c r="I776" s="78"/>
    </row>
    <row r="777" spans="1:9" ht="14.25" customHeight="1" x14ac:dyDescent="0.2">
      <c r="A777" s="65" t="s">
        <v>8932</v>
      </c>
      <c r="B777" s="65" t="s">
        <v>2187</v>
      </c>
      <c r="C777" s="65" t="s">
        <v>8933</v>
      </c>
      <c r="D777" s="66">
        <v>43056</v>
      </c>
      <c r="E777" s="65" t="s">
        <v>7922</v>
      </c>
      <c r="F777" s="79" t="s">
        <v>8934</v>
      </c>
      <c r="G777" s="61"/>
      <c r="I777" s="78"/>
    </row>
    <row r="778" spans="1:9" ht="14.25" customHeight="1" x14ac:dyDescent="0.2">
      <c r="A778" s="65" t="s">
        <v>8935</v>
      </c>
      <c r="B778" s="65" t="s">
        <v>1715</v>
      </c>
      <c r="C778" s="65" t="s">
        <v>8936</v>
      </c>
      <c r="D778" s="66">
        <v>43056</v>
      </c>
      <c r="E778" s="65" t="s">
        <v>7915</v>
      </c>
      <c r="F778" s="79" t="s">
        <v>8937</v>
      </c>
      <c r="G778" s="61"/>
      <c r="I778" s="78"/>
    </row>
    <row r="779" spans="1:9" ht="14.25" customHeight="1" x14ac:dyDescent="0.2">
      <c r="A779" s="65" t="s">
        <v>8938</v>
      </c>
      <c r="B779" s="65" t="s">
        <v>2159</v>
      </c>
      <c r="C779" s="65" t="s">
        <v>8939</v>
      </c>
      <c r="D779" s="66">
        <v>43055</v>
      </c>
      <c r="E779" s="65" t="s">
        <v>7922</v>
      </c>
      <c r="F779" s="79" t="s">
        <v>8940</v>
      </c>
      <c r="G779" s="61"/>
      <c r="I779" s="78"/>
    </row>
    <row r="780" spans="1:9" ht="14.25" customHeight="1" x14ac:dyDescent="0.2">
      <c r="A780" s="65" t="s">
        <v>8941</v>
      </c>
      <c r="B780" s="65" t="s">
        <v>8942</v>
      </c>
      <c r="C780" s="65" t="s">
        <v>8943</v>
      </c>
      <c r="D780" s="66">
        <v>43055</v>
      </c>
      <c r="E780" s="65" t="s">
        <v>6809</v>
      </c>
      <c r="F780" s="79" t="s">
        <v>6810</v>
      </c>
      <c r="G780" s="61"/>
      <c r="I780" s="78"/>
    </row>
    <row r="781" spans="1:9" ht="14.25" customHeight="1" x14ac:dyDescent="0.2">
      <c r="A781" s="65" t="s">
        <v>8944</v>
      </c>
      <c r="B781" s="65" t="s">
        <v>8945</v>
      </c>
      <c r="C781" s="65" t="s">
        <v>8946</v>
      </c>
      <c r="D781" s="66">
        <v>43055</v>
      </c>
      <c r="E781" s="65" t="s">
        <v>6809</v>
      </c>
      <c r="F781" s="79" t="s">
        <v>6810</v>
      </c>
      <c r="G781" s="61"/>
      <c r="I781" s="78"/>
    </row>
    <row r="782" spans="1:9" ht="14.25" customHeight="1" x14ac:dyDescent="0.2">
      <c r="A782" s="65" t="s">
        <v>8947</v>
      </c>
      <c r="B782" s="65" t="s">
        <v>3620</v>
      </c>
      <c r="C782" s="65" t="s">
        <v>8948</v>
      </c>
      <c r="D782" s="66">
        <v>43054</v>
      </c>
      <c r="E782" s="65" t="s">
        <v>7915</v>
      </c>
      <c r="F782" s="79" t="s">
        <v>8949</v>
      </c>
      <c r="G782" s="61"/>
      <c r="I782" s="78"/>
    </row>
    <row r="783" spans="1:9" ht="14.25" customHeight="1" x14ac:dyDescent="0.2">
      <c r="A783" s="65" t="s">
        <v>8950</v>
      </c>
      <c r="B783" s="65" t="s">
        <v>1723</v>
      </c>
      <c r="C783" s="65" t="s">
        <v>8951</v>
      </c>
      <c r="D783" s="66">
        <v>43053</v>
      </c>
      <c r="E783" s="65" t="s">
        <v>7915</v>
      </c>
      <c r="F783" s="79" t="s">
        <v>8952</v>
      </c>
      <c r="G783" s="61"/>
      <c r="I783" s="78"/>
    </row>
    <row r="784" spans="1:9" ht="14.25" customHeight="1" x14ac:dyDescent="0.2">
      <c r="A784" s="65" t="s">
        <v>8676</v>
      </c>
      <c r="B784" s="65" t="s">
        <v>1162</v>
      </c>
      <c r="C784" s="65" t="s">
        <v>7371</v>
      </c>
      <c r="D784" s="66">
        <v>43052</v>
      </c>
      <c r="E784" s="65" t="s">
        <v>7922</v>
      </c>
      <c r="F784" s="79" t="s">
        <v>8677</v>
      </c>
      <c r="G784" s="61"/>
      <c r="I784" s="78"/>
    </row>
    <row r="785" spans="1:9" ht="14.25" customHeight="1" x14ac:dyDescent="0.2">
      <c r="A785" s="65" t="s">
        <v>8953</v>
      </c>
      <c r="B785" s="65" t="s">
        <v>3616</v>
      </c>
      <c r="C785" s="65" t="s">
        <v>8954</v>
      </c>
      <c r="D785" s="66">
        <v>43051</v>
      </c>
      <c r="E785" s="65" t="s">
        <v>7915</v>
      </c>
      <c r="F785" s="79" t="s">
        <v>8955</v>
      </c>
      <c r="G785" s="61"/>
      <c r="I785" s="78"/>
    </row>
    <row r="786" spans="1:9" ht="14.25" customHeight="1" x14ac:dyDescent="0.2">
      <c r="A786" s="65" t="s">
        <v>8956</v>
      </c>
      <c r="B786" s="65" t="s">
        <v>1150</v>
      </c>
      <c r="C786" s="65" t="s">
        <v>8957</v>
      </c>
      <c r="D786" s="66">
        <v>43051</v>
      </c>
      <c r="E786" s="65" t="s">
        <v>289</v>
      </c>
      <c r="F786" s="79" t="s">
        <v>8958</v>
      </c>
      <c r="G786" s="61"/>
      <c r="I786" s="78"/>
    </row>
    <row r="787" spans="1:9" ht="14.25" customHeight="1" x14ac:dyDescent="0.2">
      <c r="A787" s="65" t="s">
        <v>8959</v>
      </c>
      <c r="B787" s="65" t="s">
        <v>1134</v>
      </c>
      <c r="C787" s="65" t="s">
        <v>8960</v>
      </c>
      <c r="D787" s="66">
        <v>43051</v>
      </c>
      <c r="E787" s="65" t="s">
        <v>289</v>
      </c>
      <c r="F787" s="79" t="s">
        <v>8961</v>
      </c>
      <c r="G787" s="61"/>
      <c r="I787" s="78"/>
    </row>
    <row r="788" spans="1:9" ht="14.25" customHeight="1" x14ac:dyDescent="0.2">
      <c r="A788" s="65" t="s">
        <v>8962</v>
      </c>
      <c r="B788" s="65" t="s">
        <v>2237</v>
      </c>
      <c r="C788" s="65" t="s">
        <v>8963</v>
      </c>
      <c r="D788" s="66">
        <v>43051</v>
      </c>
      <c r="E788" s="65" t="s">
        <v>289</v>
      </c>
      <c r="F788" s="79" t="s">
        <v>8964</v>
      </c>
      <c r="G788" s="61"/>
      <c r="I788" s="78"/>
    </row>
    <row r="789" spans="1:9" ht="14.25" customHeight="1" x14ac:dyDescent="0.2">
      <c r="A789" s="65" t="s">
        <v>8965</v>
      </c>
      <c r="B789" s="65" t="s">
        <v>2253</v>
      </c>
      <c r="C789" s="65" t="s">
        <v>8966</v>
      </c>
      <c r="D789" s="66">
        <v>43051</v>
      </c>
      <c r="E789" s="65" t="s">
        <v>7915</v>
      </c>
      <c r="F789" s="79" t="s">
        <v>8967</v>
      </c>
      <c r="G789" s="61"/>
      <c r="I789" s="78"/>
    </row>
    <row r="790" spans="1:9" ht="14.25" customHeight="1" x14ac:dyDescent="0.2">
      <c r="A790" s="65" t="s">
        <v>8968</v>
      </c>
      <c r="B790" s="65" t="s">
        <v>8969</v>
      </c>
      <c r="C790" s="65" t="s">
        <v>8970</v>
      </c>
      <c r="D790" s="66">
        <v>43048</v>
      </c>
      <c r="E790" s="65" t="s">
        <v>6809</v>
      </c>
      <c r="F790" s="79" t="s">
        <v>6810</v>
      </c>
      <c r="G790" s="61"/>
      <c r="I790" s="78"/>
    </row>
    <row r="791" spans="1:9" ht="14.25" customHeight="1" x14ac:dyDescent="0.2">
      <c r="A791" s="65" t="s">
        <v>8971</v>
      </c>
      <c r="B791" s="65" t="s">
        <v>4685</v>
      </c>
      <c r="C791" s="65" t="s">
        <v>8972</v>
      </c>
      <c r="D791" s="66">
        <v>43047</v>
      </c>
      <c r="E791" s="65" t="s">
        <v>7465</v>
      </c>
      <c r="F791" s="79" t="s">
        <v>6814</v>
      </c>
      <c r="G791" s="61"/>
      <c r="I791" s="78"/>
    </row>
    <row r="792" spans="1:9" ht="14.25" customHeight="1" x14ac:dyDescent="0.2">
      <c r="A792" s="65" t="s">
        <v>8973</v>
      </c>
      <c r="B792" s="65" t="s">
        <v>8974</v>
      </c>
      <c r="C792" s="65" t="s">
        <v>8975</v>
      </c>
      <c r="D792" s="66">
        <v>43040</v>
      </c>
      <c r="E792" s="65" t="s">
        <v>6809</v>
      </c>
      <c r="F792" s="79" t="s">
        <v>6810</v>
      </c>
      <c r="G792" s="61"/>
      <c r="I792" s="78"/>
    </row>
    <row r="793" spans="1:9" ht="14.25" customHeight="1" x14ac:dyDescent="0.2">
      <c r="A793" s="65" t="s">
        <v>8976</v>
      </c>
      <c r="B793" s="65" t="s">
        <v>1894</v>
      </c>
      <c r="C793" s="65" t="s">
        <v>8977</v>
      </c>
      <c r="D793" s="66">
        <v>43039</v>
      </c>
      <c r="E793" s="65" t="s">
        <v>7915</v>
      </c>
      <c r="F793" s="79" t="s">
        <v>8978</v>
      </c>
      <c r="G793" s="61"/>
      <c r="I793" s="78"/>
    </row>
    <row r="794" spans="1:9" ht="14.25" customHeight="1" x14ac:dyDescent="0.2">
      <c r="A794" s="65" t="s">
        <v>8979</v>
      </c>
      <c r="B794" s="65" t="s">
        <v>8980</v>
      </c>
      <c r="C794" s="65" t="s">
        <v>8981</v>
      </c>
      <c r="D794" s="66">
        <v>43039</v>
      </c>
      <c r="E794" s="65" t="s">
        <v>6809</v>
      </c>
      <c r="F794" s="79" t="s">
        <v>8982</v>
      </c>
      <c r="G794" s="61"/>
      <c r="I794" s="78"/>
    </row>
    <row r="795" spans="1:9" ht="14.25" customHeight="1" x14ac:dyDescent="0.2">
      <c r="A795" s="65" t="s">
        <v>8983</v>
      </c>
      <c r="B795" s="65" t="s">
        <v>8984</v>
      </c>
      <c r="C795" s="65" t="s">
        <v>8985</v>
      </c>
      <c r="D795" s="66">
        <v>43039</v>
      </c>
      <c r="E795" s="65" t="s">
        <v>6809</v>
      </c>
      <c r="F795" s="79" t="s">
        <v>6810</v>
      </c>
      <c r="G795" s="61"/>
      <c r="I795" s="78"/>
    </row>
    <row r="796" spans="1:9" ht="14.25" customHeight="1" x14ac:dyDescent="0.2">
      <c r="A796" s="65" t="s">
        <v>8986</v>
      </c>
      <c r="B796" s="65" t="s">
        <v>8987</v>
      </c>
      <c r="C796" s="65" t="s">
        <v>8988</v>
      </c>
      <c r="D796" s="66">
        <v>43039</v>
      </c>
      <c r="E796" s="65" t="s">
        <v>6809</v>
      </c>
      <c r="F796" s="79" t="s">
        <v>6810</v>
      </c>
      <c r="G796" s="61"/>
      <c r="I796" s="78"/>
    </row>
    <row r="797" spans="1:9" ht="14.25" customHeight="1" x14ac:dyDescent="0.2">
      <c r="A797" s="65" t="s">
        <v>8989</v>
      </c>
      <c r="B797" s="65" t="s">
        <v>8990</v>
      </c>
      <c r="C797" s="65" t="s">
        <v>8991</v>
      </c>
      <c r="D797" s="66">
        <v>43039</v>
      </c>
      <c r="E797" s="65" t="s">
        <v>6809</v>
      </c>
      <c r="F797" s="79" t="s">
        <v>6810</v>
      </c>
      <c r="G797" s="61"/>
      <c r="I797" s="78"/>
    </row>
    <row r="798" spans="1:9" ht="14.25" customHeight="1" x14ac:dyDescent="0.2">
      <c r="A798" s="65" t="s">
        <v>8992</v>
      </c>
      <c r="B798" s="65" t="s">
        <v>3871</v>
      </c>
      <c r="C798" s="65" t="s">
        <v>5144</v>
      </c>
      <c r="D798" s="66">
        <v>43034</v>
      </c>
      <c r="E798" s="65" t="s">
        <v>6809</v>
      </c>
      <c r="F798" s="79" t="s">
        <v>6810</v>
      </c>
      <c r="G798" s="61"/>
      <c r="I798" s="78"/>
    </row>
    <row r="799" spans="1:9" ht="14.25" customHeight="1" x14ac:dyDescent="0.2">
      <c r="A799" s="65" t="s">
        <v>8993</v>
      </c>
      <c r="B799" s="65" t="s">
        <v>8994</v>
      </c>
      <c r="C799" s="65" t="s">
        <v>8995</v>
      </c>
      <c r="D799" s="66">
        <v>43034</v>
      </c>
      <c r="E799" s="65" t="s">
        <v>6809</v>
      </c>
      <c r="F799" s="79" t="s">
        <v>6810</v>
      </c>
      <c r="G799" s="61"/>
      <c r="I799" s="78"/>
    </row>
    <row r="800" spans="1:9" ht="14.25" customHeight="1" x14ac:dyDescent="0.2">
      <c r="A800" s="65" t="s">
        <v>8436</v>
      </c>
      <c r="B800" s="65" t="s">
        <v>8437</v>
      </c>
      <c r="C800" s="65" t="s">
        <v>8438</v>
      </c>
      <c r="D800" s="66">
        <v>43033</v>
      </c>
      <c r="E800" s="65" t="s">
        <v>6809</v>
      </c>
      <c r="F800" s="79" t="s">
        <v>8996</v>
      </c>
      <c r="G800" s="61"/>
      <c r="I800" s="78"/>
    </row>
    <row r="801" spans="1:9" ht="14.25" customHeight="1" x14ac:dyDescent="0.2">
      <c r="A801" s="65" t="s">
        <v>8997</v>
      </c>
      <c r="B801" s="65" t="s">
        <v>8998</v>
      </c>
      <c r="C801" s="65" t="s">
        <v>8999</v>
      </c>
      <c r="D801" s="66">
        <v>43026</v>
      </c>
      <c r="E801" s="65" t="s">
        <v>6809</v>
      </c>
      <c r="F801" s="79" t="s">
        <v>6810</v>
      </c>
      <c r="G801" s="61"/>
      <c r="I801" s="78"/>
    </row>
    <row r="802" spans="1:9" ht="14.25" customHeight="1" x14ac:dyDescent="0.2">
      <c r="A802" s="65" t="s">
        <v>9000</v>
      </c>
      <c r="B802" s="65" t="s">
        <v>2245</v>
      </c>
      <c r="C802" s="65" t="s">
        <v>9001</v>
      </c>
      <c r="D802" s="66">
        <v>43026</v>
      </c>
      <c r="E802" s="65" t="s">
        <v>7922</v>
      </c>
      <c r="F802" s="79" t="s">
        <v>9002</v>
      </c>
      <c r="G802" s="61"/>
      <c r="I802" s="78"/>
    </row>
    <row r="803" spans="1:9" ht="14.25" customHeight="1" x14ac:dyDescent="0.2">
      <c r="A803" s="65" t="s">
        <v>9003</v>
      </c>
      <c r="B803" s="65" t="s">
        <v>1727</v>
      </c>
      <c r="C803" s="65" t="s">
        <v>9004</v>
      </c>
      <c r="D803" s="66">
        <v>43024</v>
      </c>
      <c r="E803" s="65" t="s">
        <v>7915</v>
      </c>
      <c r="F803" s="79" t="s">
        <v>9005</v>
      </c>
      <c r="G803" s="61"/>
      <c r="I803" s="78"/>
    </row>
    <row r="804" spans="1:9" ht="14.25" customHeight="1" x14ac:dyDescent="0.2">
      <c r="A804" s="65" t="s">
        <v>9006</v>
      </c>
      <c r="B804" s="65" t="s">
        <v>9007</v>
      </c>
      <c r="C804" s="65" t="s">
        <v>9008</v>
      </c>
      <c r="D804" s="66">
        <v>43020</v>
      </c>
      <c r="E804" s="65" t="s">
        <v>6809</v>
      </c>
      <c r="F804" s="79" t="s">
        <v>6810</v>
      </c>
      <c r="G804" s="61"/>
      <c r="I804" s="78"/>
    </row>
    <row r="805" spans="1:9" ht="14.25" customHeight="1" x14ac:dyDescent="0.2">
      <c r="A805" s="65" t="s">
        <v>9009</v>
      </c>
      <c r="B805" s="65" t="s">
        <v>9010</v>
      </c>
      <c r="C805" s="65" t="s">
        <v>9011</v>
      </c>
      <c r="D805" s="66">
        <v>43020</v>
      </c>
      <c r="E805" s="65" t="s">
        <v>6809</v>
      </c>
      <c r="F805" s="79" t="s">
        <v>6810</v>
      </c>
      <c r="G805" s="61"/>
      <c r="I805" s="78"/>
    </row>
    <row r="806" spans="1:9" ht="14.25" customHeight="1" x14ac:dyDescent="0.2">
      <c r="A806" s="65" t="s">
        <v>9012</v>
      </c>
      <c r="B806" s="65" t="s">
        <v>9013</v>
      </c>
      <c r="C806" s="65" t="s">
        <v>9014</v>
      </c>
      <c r="D806" s="66">
        <v>43019</v>
      </c>
      <c r="E806" s="65" t="s">
        <v>6809</v>
      </c>
      <c r="F806" s="79" t="s">
        <v>6814</v>
      </c>
      <c r="G806" s="61"/>
      <c r="I806" s="78"/>
    </row>
    <row r="807" spans="1:9" ht="14.25" customHeight="1" x14ac:dyDescent="0.2">
      <c r="A807" s="65" t="s">
        <v>9015</v>
      </c>
      <c r="B807" s="65" t="s">
        <v>3224</v>
      </c>
      <c r="C807" s="65" t="s">
        <v>9016</v>
      </c>
      <c r="D807" s="66">
        <v>43018</v>
      </c>
      <c r="E807" s="65" t="s">
        <v>6809</v>
      </c>
      <c r="F807" s="79" t="s">
        <v>9017</v>
      </c>
      <c r="G807" s="61"/>
      <c r="I807" s="78"/>
    </row>
    <row r="808" spans="1:9" ht="14.25" customHeight="1" x14ac:dyDescent="0.2">
      <c r="A808" s="65" t="s">
        <v>9018</v>
      </c>
      <c r="B808" s="65" t="s">
        <v>9019</v>
      </c>
      <c r="C808" s="65" t="s">
        <v>9020</v>
      </c>
      <c r="D808" s="66">
        <v>43018</v>
      </c>
      <c r="E808" s="65" t="s">
        <v>6809</v>
      </c>
      <c r="F808" s="79" t="s">
        <v>6810</v>
      </c>
      <c r="G808" s="61"/>
      <c r="I808" s="78"/>
    </row>
    <row r="809" spans="1:9" ht="14.25" customHeight="1" x14ac:dyDescent="0.2">
      <c r="A809" s="65" t="s">
        <v>9021</v>
      </c>
      <c r="B809" s="65" t="s">
        <v>433</v>
      </c>
      <c r="C809" s="65" t="s">
        <v>9022</v>
      </c>
      <c r="D809" s="66">
        <v>43018</v>
      </c>
      <c r="E809" s="65" t="s">
        <v>6809</v>
      </c>
      <c r="F809" s="79" t="s">
        <v>6810</v>
      </c>
      <c r="G809" s="61"/>
      <c r="I809" s="78"/>
    </row>
    <row r="810" spans="1:9" ht="14.25" customHeight="1" x14ac:dyDescent="0.2">
      <c r="A810" s="65" t="s">
        <v>9023</v>
      </c>
      <c r="B810" s="65" t="s">
        <v>1222</v>
      </c>
      <c r="C810" s="65" t="s">
        <v>9024</v>
      </c>
      <c r="D810" s="66">
        <v>43017</v>
      </c>
      <c r="E810" s="65" t="s">
        <v>6809</v>
      </c>
      <c r="F810" s="79" t="s">
        <v>6810</v>
      </c>
      <c r="G810" s="61"/>
      <c r="I810" s="78"/>
    </row>
    <row r="811" spans="1:9" ht="14.25" customHeight="1" x14ac:dyDescent="0.2">
      <c r="A811" s="65" t="s">
        <v>9025</v>
      </c>
      <c r="B811" s="65" t="s">
        <v>9026</v>
      </c>
      <c r="C811" s="65" t="s">
        <v>9027</v>
      </c>
      <c r="D811" s="66">
        <v>43017</v>
      </c>
      <c r="E811" s="65" t="s">
        <v>6809</v>
      </c>
      <c r="F811" s="79" t="s">
        <v>6810</v>
      </c>
      <c r="G811" s="61"/>
      <c r="I811" s="78"/>
    </row>
    <row r="812" spans="1:9" ht="14.25" customHeight="1" x14ac:dyDescent="0.2">
      <c r="A812" s="65" t="s">
        <v>9028</v>
      </c>
      <c r="B812" s="65" t="s">
        <v>9029</v>
      </c>
      <c r="C812" s="65" t="s">
        <v>9030</v>
      </c>
      <c r="D812" s="66">
        <v>43013</v>
      </c>
      <c r="E812" s="65" t="s">
        <v>6809</v>
      </c>
      <c r="F812" s="79" t="s">
        <v>6810</v>
      </c>
      <c r="G812" s="61"/>
      <c r="I812" s="78"/>
    </row>
    <row r="813" spans="1:9" ht="14.25" customHeight="1" x14ac:dyDescent="0.2">
      <c r="A813" s="65" t="s">
        <v>9031</v>
      </c>
      <c r="B813" s="65" t="s">
        <v>9032</v>
      </c>
      <c r="C813" s="65" t="s">
        <v>9033</v>
      </c>
      <c r="D813" s="66">
        <v>43013</v>
      </c>
      <c r="E813" s="65" t="s">
        <v>6809</v>
      </c>
      <c r="F813" s="79" t="s">
        <v>6810</v>
      </c>
      <c r="G813" s="61"/>
      <c r="I813" s="78"/>
    </row>
    <row r="814" spans="1:9" ht="14.25" customHeight="1" x14ac:dyDescent="0.2">
      <c r="A814" s="65" t="s">
        <v>9034</v>
      </c>
      <c r="B814" s="65" t="s">
        <v>9035</v>
      </c>
      <c r="C814" s="65" t="s">
        <v>9036</v>
      </c>
      <c r="D814" s="66">
        <v>43012</v>
      </c>
      <c r="E814" s="65" t="s">
        <v>7465</v>
      </c>
      <c r="F814" s="79" t="s">
        <v>6814</v>
      </c>
      <c r="G814" s="61"/>
      <c r="I814" s="78"/>
    </row>
    <row r="815" spans="1:9" ht="14.25" customHeight="1" x14ac:dyDescent="0.2">
      <c r="A815" s="65" t="s">
        <v>9037</v>
      </c>
      <c r="B815" s="65" t="s">
        <v>1907</v>
      </c>
      <c r="C815" s="65" t="s">
        <v>9038</v>
      </c>
      <c r="D815" s="66">
        <v>43012</v>
      </c>
      <c r="E815" s="65" t="s">
        <v>289</v>
      </c>
      <c r="F815" s="79" t="s">
        <v>9039</v>
      </c>
      <c r="G815" s="61"/>
      <c r="I815" s="78"/>
    </row>
    <row r="816" spans="1:9" ht="14.25" customHeight="1" x14ac:dyDescent="0.2">
      <c r="A816" s="65" t="s">
        <v>9040</v>
      </c>
      <c r="B816" s="65" t="s">
        <v>9041</v>
      </c>
      <c r="C816" s="65" t="s">
        <v>9042</v>
      </c>
      <c r="D816" s="66">
        <v>43012</v>
      </c>
      <c r="E816" s="65" t="s">
        <v>6809</v>
      </c>
      <c r="F816" s="79" t="s">
        <v>6810</v>
      </c>
      <c r="G816" s="61"/>
      <c r="I816" s="78"/>
    </row>
    <row r="817" spans="1:9" ht="14.25" customHeight="1" x14ac:dyDescent="0.2">
      <c r="A817" s="65" t="s">
        <v>9043</v>
      </c>
      <c r="B817" s="65" t="s">
        <v>9044</v>
      </c>
      <c r="C817" s="65" t="s">
        <v>9045</v>
      </c>
      <c r="D817" s="66">
        <v>43006</v>
      </c>
      <c r="E817" s="65" t="s">
        <v>6809</v>
      </c>
      <c r="F817" s="79" t="s">
        <v>6824</v>
      </c>
      <c r="G817" s="61"/>
      <c r="I817" s="78"/>
    </row>
    <row r="818" spans="1:9" ht="14.25" customHeight="1" x14ac:dyDescent="0.2">
      <c r="A818" s="65" t="s">
        <v>9046</v>
      </c>
      <c r="B818" s="65" t="s">
        <v>1805</v>
      </c>
      <c r="C818" s="65" t="s">
        <v>7395</v>
      </c>
      <c r="D818" s="66">
        <v>43006</v>
      </c>
      <c r="E818" s="65" t="s">
        <v>289</v>
      </c>
      <c r="F818" s="79" t="s">
        <v>9047</v>
      </c>
      <c r="G818" s="61"/>
      <c r="I818" s="78"/>
    </row>
    <row r="819" spans="1:9" ht="14.25" customHeight="1" x14ac:dyDescent="0.2">
      <c r="A819" s="65" t="s">
        <v>8643</v>
      </c>
      <c r="B819" s="65" t="s">
        <v>1699</v>
      </c>
      <c r="C819" s="65" t="s">
        <v>8644</v>
      </c>
      <c r="D819" s="66">
        <v>43005</v>
      </c>
      <c r="E819" s="65" t="s">
        <v>289</v>
      </c>
      <c r="F819" s="79" t="s">
        <v>9048</v>
      </c>
      <c r="G819" s="61"/>
      <c r="I819" s="78"/>
    </row>
    <row r="820" spans="1:9" ht="14.25" customHeight="1" x14ac:dyDescent="0.2">
      <c r="A820" s="65" t="s">
        <v>9049</v>
      </c>
      <c r="B820" s="65" t="s">
        <v>5190</v>
      </c>
      <c r="C820" s="75" t="s">
        <v>9050</v>
      </c>
      <c r="D820" s="66">
        <v>43004</v>
      </c>
      <c r="E820" s="65" t="s">
        <v>289</v>
      </c>
      <c r="F820" s="79" t="s">
        <v>9051</v>
      </c>
      <c r="G820" s="61"/>
      <c r="I820" s="78"/>
    </row>
    <row r="821" spans="1:9" ht="14.25" customHeight="1" x14ac:dyDescent="0.2">
      <c r="A821" s="65" t="s">
        <v>8799</v>
      </c>
      <c r="B821" s="65" t="s">
        <v>1190</v>
      </c>
      <c r="C821" s="75" t="s">
        <v>8800</v>
      </c>
      <c r="D821" s="66">
        <v>43004</v>
      </c>
      <c r="E821" s="65" t="s">
        <v>289</v>
      </c>
      <c r="F821" s="79" t="s">
        <v>9052</v>
      </c>
      <c r="G821" s="61"/>
      <c r="I821" s="78"/>
    </row>
    <row r="822" spans="1:9" ht="14.25" customHeight="1" x14ac:dyDescent="0.2">
      <c r="A822" s="65" t="s">
        <v>8673</v>
      </c>
      <c r="B822" s="65" t="s">
        <v>1158</v>
      </c>
      <c r="C822" s="75" t="s">
        <v>9053</v>
      </c>
      <c r="D822" s="66">
        <v>43004</v>
      </c>
      <c r="E822" s="65" t="s">
        <v>289</v>
      </c>
      <c r="F822" s="79" t="s">
        <v>9054</v>
      </c>
      <c r="G822" s="61"/>
      <c r="I822" s="78"/>
    </row>
    <row r="823" spans="1:9" ht="14.25" customHeight="1" x14ac:dyDescent="0.2">
      <c r="A823" s="65" t="s">
        <v>8698</v>
      </c>
      <c r="B823" s="65" t="s">
        <v>1174</v>
      </c>
      <c r="C823" s="65" t="s">
        <v>8699</v>
      </c>
      <c r="D823" s="66">
        <v>43004</v>
      </c>
      <c r="E823" s="65" t="s">
        <v>7922</v>
      </c>
      <c r="F823" s="79" t="s">
        <v>8700</v>
      </c>
      <c r="G823" s="61"/>
      <c r="I823" s="78"/>
    </row>
    <row r="824" spans="1:9" ht="14.25" customHeight="1" x14ac:dyDescent="0.2">
      <c r="A824" s="65" t="s">
        <v>9055</v>
      </c>
      <c r="B824" s="65" t="s">
        <v>9056</v>
      </c>
      <c r="C824" s="65" t="s">
        <v>9057</v>
      </c>
      <c r="D824" s="66">
        <v>42999</v>
      </c>
      <c r="E824" s="65" t="s">
        <v>1037</v>
      </c>
      <c r="F824" s="79" t="s">
        <v>6810</v>
      </c>
      <c r="G824" s="61"/>
      <c r="I824" s="78"/>
    </row>
    <row r="825" spans="1:9" ht="14.25" customHeight="1" x14ac:dyDescent="0.2">
      <c r="A825" s="65" t="s">
        <v>9058</v>
      </c>
      <c r="B825" s="65" t="s">
        <v>7598</v>
      </c>
      <c r="C825" s="65" t="s">
        <v>7599</v>
      </c>
      <c r="D825" s="66">
        <v>42998</v>
      </c>
      <c r="E825" s="65" t="s">
        <v>6809</v>
      </c>
      <c r="F825" s="79" t="s">
        <v>9059</v>
      </c>
      <c r="G825" s="61"/>
      <c r="I825" s="78"/>
    </row>
    <row r="826" spans="1:9" ht="14.25" customHeight="1" x14ac:dyDescent="0.2">
      <c r="A826" s="65" t="s">
        <v>9060</v>
      </c>
      <c r="B826" s="65" t="s">
        <v>1711</v>
      </c>
      <c r="C826" s="65" t="s">
        <v>9061</v>
      </c>
      <c r="D826" s="66">
        <v>42998</v>
      </c>
      <c r="E826" s="65" t="s">
        <v>7915</v>
      </c>
      <c r="F826" s="79" t="s">
        <v>9062</v>
      </c>
      <c r="G826" s="61"/>
      <c r="I826" s="78"/>
    </row>
    <row r="827" spans="1:9" ht="14.25" customHeight="1" x14ac:dyDescent="0.2">
      <c r="A827" s="65" t="s">
        <v>9063</v>
      </c>
      <c r="B827" s="65" t="s">
        <v>9064</v>
      </c>
      <c r="C827" s="65" t="s">
        <v>9065</v>
      </c>
      <c r="D827" s="66">
        <v>42998</v>
      </c>
      <c r="E827" s="65" t="s">
        <v>6809</v>
      </c>
      <c r="F827" s="79" t="s">
        <v>6810</v>
      </c>
      <c r="G827" s="61"/>
      <c r="I827" s="78"/>
    </row>
    <row r="828" spans="1:9" ht="14.25" customHeight="1" x14ac:dyDescent="0.2">
      <c r="A828" s="65" t="s">
        <v>9066</v>
      </c>
      <c r="B828" s="65" t="s">
        <v>9067</v>
      </c>
      <c r="C828" s="65" t="s">
        <v>9068</v>
      </c>
      <c r="D828" s="66">
        <v>42998</v>
      </c>
      <c r="E828" s="65" t="s">
        <v>6809</v>
      </c>
      <c r="F828" s="79" t="s">
        <v>6810</v>
      </c>
      <c r="G828" s="61"/>
      <c r="I828" s="78"/>
    </row>
    <row r="829" spans="1:9" ht="14.25" customHeight="1" x14ac:dyDescent="0.2">
      <c r="A829" s="65" t="s">
        <v>9069</v>
      </c>
      <c r="B829" s="65" t="s">
        <v>2183</v>
      </c>
      <c r="C829" s="65" t="s">
        <v>9070</v>
      </c>
      <c r="D829" s="66">
        <v>42992</v>
      </c>
      <c r="E829" s="65" t="s">
        <v>289</v>
      </c>
      <c r="F829" s="79" t="s">
        <v>9071</v>
      </c>
      <c r="G829" s="61"/>
      <c r="I829" s="78"/>
    </row>
    <row r="830" spans="1:9" ht="14.25" customHeight="1" x14ac:dyDescent="0.2">
      <c r="A830" s="65" t="s">
        <v>9072</v>
      </c>
      <c r="B830" s="65" t="s">
        <v>2207</v>
      </c>
      <c r="C830" s="65" t="s">
        <v>9073</v>
      </c>
      <c r="D830" s="66">
        <v>42992</v>
      </c>
      <c r="E830" s="65" t="s">
        <v>289</v>
      </c>
      <c r="F830" s="79" t="s">
        <v>9074</v>
      </c>
      <c r="G830" s="61"/>
      <c r="I830" s="78"/>
    </row>
    <row r="831" spans="1:9" ht="14.25" customHeight="1" x14ac:dyDescent="0.2">
      <c r="A831" s="65" t="s">
        <v>9075</v>
      </c>
      <c r="B831" s="65" t="s">
        <v>3071</v>
      </c>
      <c r="C831" s="65" t="s">
        <v>9076</v>
      </c>
      <c r="D831" s="66">
        <v>42991</v>
      </c>
      <c r="E831" s="65" t="s">
        <v>6809</v>
      </c>
      <c r="F831" s="79" t="s">
        <v>6810</v>
      </c>
      <c r="G831" s="61"/>
      <c r="I831" s="78"/>
    </row>
    <row r="832" spans="1:9" ht="14.25" customHeight="1" x14ac:dyDescent="0.2">
      <c r="A832" s="65" t="s">
        <v>9077</v>
      </c>
      <c r="B832" s="65" t="s">
        <v>2045</v>
      </c>
      <c r="C832" s="65" t="s">
        <v>9078</v>
      </c>
      <c r="D832" s="66">
        <v>42991</v>
      </c>
      <c r="E832" s="65" t="s">
        <v>289</v>
      </c>
      <c r="F832" s="79" t="s">
        <v>9079</v>
      </c>
      <c r="G832" s="61"/>
      <c r="I832" s="78"/>
    </row>
    <row r="833" spans="1:9" ht="14.25" customHeight="1" x14ac:dyDescent="0.2">
      <c r="A833" s="65" t="s">
        <v>9080</v>
      </c>
      <c r="B833" s="65" t="s">
        <v>9081</v>
      </c>
      <c r="C833" s="65" t="s">
        <v>9082</v>
      </c>
      <c r="D833" s="66">
        <v>42990</v>
      </c>
      <c r="E833" s="65" t="s">
        <v>6809</v>
      </c>
      <c r="F833" s="79" t="s">
        <v>6824</v>
      </c>
      <c r="G833" s="61"/>
      <c r="I833" s="78"/>
    </row>
    <row r="834" spans="1:9" ht="14.25" customHeight="1" x14ac:dyDescent="0.2">
      <c r="A834" s="65" t="s">
        <v>9083</v>
      </c>
      <c r="B834" s="65" t="s">
        <v>3067</v>
      </c>
      <c r="C834" s="65" t="s">
        <v>9084</v>
      </c>
      <c r="D834" s="66">
        <v>42990</v>
      </c>
      <c r="E834" s="65" t="s">
        <v>6809</v>
      </c>
      <c r="F834" s="79" t="s">
        <v>6824</v>
      </c>
      <c r="G834" s="61"/>
      <c r="I834" s="78"/>
    </row>
    <row r="835" spans="1:9" ht="14.25" customHeight="1" x14ac:dyDescent="0.2">
      <c r="A835" s="65" t="s">
        <v>9085</v>
      </c>
      <c r="B835" s="65" t="s">
        <v>9086</v>
      </c>
      <c r="C835" s="65" t="s">
        <v>9087</v>
      </c>
      <c r="D835" s="66">
        <v>42990</v>
      </c>
      <c r="E835" s="65" t="s">
        <v>6809</v>
      </c>
      <c r="F835" s="79" t="s">
        <v>6810</v>
      </c>
      <c r="G835" s="61"/>
      <c r="I835" s="78"/>
    </row>
    <row r="836" spans="1:9" ht="14.25" customHeight="1" x14ac:dyDescent="0.2">
      <c r="A836" s="65">
        <v>99120199050</v>
      </c>
      <c r="B836" s="65" t="s">
        <v>9088</v>
      </c>
      <c r="C836" s="65" t="s">
        <v>9089</v>
      </c>
      <c r="D836" s="66">
        <v>42990</v>
      </c>
      <c r="E836" s="65" t="s">
        <v>6809</v>
      </c>
      <c r="F836" s="79" t="s">
        <v>6810</v>
      </c>
      <c r="G836" s="61"/>
      <c r="I836" s="78"/>
    </row>
    <row r="837" spans="1:9" ht="14.25" customHeight="1" x14ac:dyDescent="0.2">
      <c r="A837" s="65" t="s">
        <v>9090</v>
      </c>
      <c r="B837" s="65" t="s">
        <v>9091</v>
      </c>
      <c r="C837" s="65" t="s">
        <v>9092</v>
      </c>
      <c r="D837" s="66">
        <v>42990</v>
      </c>
      <c r="E837" s="65" t="s">
        <v>6809</v>
      </c>
      <c r="F837" s="79" t="s">
        <v>6810</v>
      </c>
      <c r="G837" s="61"/>
      <c r="I837" s="78"/>
    </row>
    <row r="838" spans="1:9" ht="14.25" customHeight="1" x14ac:dyDescent="0.2">
      <c r="A838" s="65" t="s">
        <v>9093</v>
      </c>
      <c r="B838" s="65" t="s">
        <v>2179</v>
      </c>
      <c r="C838" s="65" t="s">
        <v>9094</v>
      </c>
      <c r="D838" s="66">
        <v>42985</v>
      </c>
      <c r="E838" s="65" t="s">
        <v>289</v>
      </c>
      <c r="F838" s="79" t="s">
        <v>9095</v>
      </c>
      <c r="G838" s="61"/>
      <c r="I838" s="78"/>
    </row>
    <row r="839" spans="1:9" ht="14.25" customHeight="1" x14ac:dyDescent="0.2">
      <c r="A839" s="65" t="s">
        <v>9096</v>
      </c>
      <c r="B839" s="65" t="s">
        <v>9097</v>
      </c>
      <c r="C839" s="65" t="s">
        <v>9098</v>
      </c>
      <c r="D839" s="66">
        <v>42985</v>
      </c>
      <c r="E839" s="65" t="s">
        <v>7922</v>
      </c>
      <c r="F839" s="79" t="s">
        <v>9099</v>
      </c>
      <c r="G839" s="61"/>
      <c r="I839" s="78"/>
    </row>
    <row r="840" spans="1:9" ht="14.25" customHeight="1" x14ac:dyDescent="0.2">
      <c r="A840" s="65" t="s">
        <v>9100</v>
      </c>
      <c r="B840" s="65" t="s">
        <v>9101</v>
      </c>
      <c r="C840" s="65" t="s">
        <v>9102</v>
      </c>
      <c r="D840" s="66">
        <v>42984</v>
      </c>
      <c r="E840" s="65" t="s">
        <v>6809</v>
      </c>
      <c r="F840" s="79" t="s">
        <v>6810</v>
      </c>
      <c r="G840" s="61"/>
      <c r="I840" s="78"/>
    </row>
    <row r="841" spans="1:9" ht="14.25" customHeight="1" x14ac:dyDescent="0.2">
      <c r="A841" s="65" t="s">
        <v>9103</v>
      </c>
      <c r="B841" s="65" t="s">
        <v>9104</v>
      </c>
      <c r="C841" s="65" t="s">
        <v>9105</v>
      </c>
      <c r="D841" s="66">
        <v>42984</v>
      </c>
      <c r="E841" s="65" t="s">
        <v>6809</v>
      </c>
      <c r="F841" s="79" t="s">
        <v>6810</v>
      </c>
      <c r="G841" s="61"/>
      <c r="I841" s="78"/>
    </row>
    <row r="842" spans="1:9" ht="14.25" customHeight="1" x14ac:dyDescent="0.2">
      <c r="A842" s="65" t="s">
        <v>9106</v>
      </c>
      <c r="B842" s="65" t="s">
        <v>9107</v>
      </c>
      <c r="C842" s="65" t="s">
        <v>9108</v>
      </c>
      <c r="D842" s="66">
        <v>42984</v>
      </c>
      <c r="E842" s="65" t="s">
        <v>6809</v>
      </c>
      <c r="F842" s="79" t="s">
        <v>6810</v>
      </c>
      <c r="G842" s="61"/>
      <c r="I842" s="78"/>
    </row>
    <row r="843" spans="1:9" ht="14.25" customHeight="1" x14ac:dyDescent="0.2">
      <c r="A843" s="65" t="s">
        <v>9109</v>
      </c>
      <c r="B843" s="65" t="s">
        <v>1226</v>
      </c>
      <c r="C843" s="65" t="s">
        <v>9110</v>
      </c>
      <c r="D843" s="66">
        <v>42984</v>
      </c>
      <c r="E843" s="65" t="s">
        <v>289</v>
      </c>
      <c r="F843" s="79" t="s">
        <v>9111</v>
      </c>
      <c r="G843" s="61"/>
      <c r="I843" s="78"/>
    </row>
    <row r="844" spans="1:9" ht="14.25" customHeight="1" x14ac:dyDescent="0.2">
      <c r="A844" s="65" t="s">
        <v>9112</v>
      </c>
      <c r="B844" s="65" t="s">
        <v>5158</v>
      </c>
      <c r="C844" s="65" t="s">
        <v>9113</v>
      </c>
      <c r="D844" s="66">
        <v>42983</v>
      </c>
      <c r="E844" s="65" t="s">
        <v>7915</v>
      </c>
      <c r="F844" s="79" t="s">
        <v>9114</v>
      </c>
      <c r="G844" s="61"/>
      <c r="I844" s="78"/>
    </row>
    <row r="845" spans="1:9" ht="14.25" customHeight="1" x14ac:dyDescent="0.2">
      <c r="A845" s="65" t="s">
        <v>9115</v>
      </c>
      <c r="B845" s="65" t="s">
        <v>2024</v>
      </c>
      <c r="C845" s="65" t="s">
        <v>9116</v>
      </c>
      <c r="D845" s="66">
        <v>42982</v>
      </c>
      <c r="E845" s="65" t="s">
        <v>6809</v>
      </c>
      <c r="F845" s="79" t="s">
        <v>9117</v>
      </c>
      <c r="G845" s="61"/>
      <c r="I845" s="78"/>
    </row>
    <row r="846" spans="1:9" ht="14.25" customHeight="1" x14ac:dyDescent="0.2">
      <c r="A846" s="65" t="s">
        <v>9118</v>
      </c>
      <c r="B846" s="65" t="s">
        <v>2037</v>
      </c>
      <c r="C846" s="65" t="s">
        <v>9119</v>
      </c>
      <c r="D846" s="66">
        <v>42979</v>
      </c>
      <c r="E846" s="65" t="s">
        <v>289</v>
      </c>
      <c r="F846" s="79" t="s">
        <v>9120</v>
      </c>
      <c r="G846" s="61"/>
      <c r="I846" s="78"/>
    </row>
    <row r="847" spans="1:9" ht="14.25" customHeight="1" x14ac:dyDescent="0.2">
      <c r="A847" s="65" t="s">
        <v>9121</v>
      </c>
      <c r="B847" s="65" t="s">
        <v>2261</v>
      </c>
      <c r="C847" s="65" t="s">
        <v>9122</v>
      </c>
      <c r="D847" s="66">
        <v>42977</v>
      </c>
      <c r="E847" s="65" t="s">
        <v>7922</v>
      </c>
      <c r="F847" s="79" t="s">
        <v>9123</v>
      </c>
      <c r="G847" s="61"/>
      <c r="I847" s="78"/>
    </row>
    <row r="848" spans="1:9" ht="14.25" customHeight="1" x14ac:dyDescent="0.2">
      <c r="A848" s="65" t="s">
        <v>9124</v>
      </c>
      <c r="B848" s="65" t="s">
        <v>9125</v>
      </c>
      <c r="C848" s="65" t="s">
        <v>9126</v>
      </c>
      <c r="D848" s="66">
        <v>42977</v>
      </c>
      <c r="E848" s="65" t="s">
        <v>6809</v>
      </c>
      <c r="F848" s="79" t="s">
        <v>6810</v>
      </c>
      <c r="G848" s="61"/>
      <c r="I848" s="78"/>
    </row>
    <row r="849" spans="1:9" ht="14.25" customHeight="1" x14ac:dyDescent="0.2">
      <c r="A849" s="65" t="s">
        <v>9127</v>
      </c>
      <c r="B849" s="65" t="s">
        <v>9128</v>
      </c>
      <c r="C849" s="65" t="s">
        <v>9129</v>
      </c>
      <c r="D849" s="66">
        <v>42976</v>
      </c>
      <c r="E849" s="65" t="s">
        <v>6809</v>
      </c>
      <c r="F849" s="79" t="s">
        <v>6810</v>
      </c>
      <c r="G849" s="61"/>
      <c r="I849" s="78"/>
    </row>
    <row r="850" spans="1:9" ht="14.25" customHeight="1" x14ac:dyDescent="0.2">
      <c r="A850" s="65" t="s">
        <v>9130</v>
      </c>
      <c r="B850" s="65" t="s">
        <v>9131</v>
      </c>
      <c r="C850" s="65" t="s">
        <v>9132</v>
      </c>
      <c r="D850" s="66">
        <v>42976</v>
      </c>
      <c r="E850" s="65" t="s">
        <v>6809</v>
      </c>
      <c r="F850" s="79" t="s">
        <v>6810</v>
      </c>
      <c r="G850" s="61"/>
      <c r="I850" s="78"/>
    </row>
    <row r="851" spans="1:9" ht="14.25" customHeight="1" x14ac:dyDescent="0.2">
      <c r="A851" s="65" t="s">
        <v>9133</v>
      </c>
      <c r="B851" s="65" t="s">
        <v>1703</v>
      </c>
      <c r="C851" s="65" t="s">
        <v>9134</v>
      </c>
      <c r="D851" s="66">
        <v>42976</v>
      </c>
      <c r="E851" s="65" t="s">
        <v>7915</v>
      </c>
      <c r="F851" s="79" t="s">
        <v>9135</v>
      </c>
      <c r="G851" s="61"/>
      <c r="I851" s="78"/>
    </row>
    <row r="852" spans="1:9" ht="14.25" customHeight="1" x14ac:dyDescent="0.2">
      <c r="A852" s="65" t="s">
        <v>9136</v>
      </c>
      <c r="B852" s="65" t="s">
        <v>9137</v>
      </c>
      <c r="C852" s="65" t="s">
        <v>9138</v>
      </c>
      <c r="D852" s="66">
        <v>42972</v>
      </c>
      <c r="E852" s="65" t="s">
        <v>6809</v>
      </c>
      <c r="F852" s="79" t="s">
        <v>6810</v>
      </c>
      <c r="G852" s="61"/>
      <c r="I852" s="78"/>
    </row>
    <row r="853" spans="1:9" ht="14.25" customHeight="1" x14ac:dyDescent="0.2">
      <c r="A853" s="65" t="s">
        <v>9139</v>
      </c>
      <c r="B853" s="65" t="s">
        <v>9140</v>
      </c>
      <c r="C853" s="65" t="s">
        <v>9141</v>
      </c>
      <c r="D853" s="66">
        <v>42972</v>
      </c>
      <c r="E853" s="65" t="s">
        <v>6809</v>
      </c>
      <c r="F853" s="79" t="s">
        <v>6814</v>
      </c>
      <c r="G853" s="61"/>
      <c r="I853" s="78"/>
    </row>
    <row r="854" spans="1:9" ht="14.25" customHeight="1" x14ac:dyDescent="0.2">
      <c r="A854" s="65" t="s">
        <v>9142</v>
      </c>
      <c r="B854" s="65" t="s">
        <v>9143</v>
      </c>
      <c r="C854" s="65" t="s">
        <v>9144</v>
      </c>
      <c r="D854" s="66">
        <v>42972</v>
      </c>
      <c r="E854" s="65" t="s">
        <v>6809</v>
      </c>
      <c r="F854" s="79" t="s">
        <v>6810</v>
      </c>
      <c r="G854" s="61"/>
      <c r="I854" s="78"/>
    </row>
    <row r="855" spans="1:9" ht="14.25" customHeight="1" x14ac:dyDescent="0.2">
      <c r="A855" s="65" t="s">
        <v>9145</v>
      </c>
      <c r="B855" s="65" t="s">
        <v>1186</v>
      </c>
      <c r="C855" s="65" t="s">
        <v>9146</v>
      </c>
      <c r="D855" s="66">
        <v>42972</v>
      </c>
      <c r="E855" s="65" t="s">
        <v>289</v>
      </c>
      <c r="F855" s="79" t="s">
        <v>9147</v>
      </c>
      <c r="G855" s="61"/>
      <c r="I855" s="78"/>
    </row>
    <row r="856" spans="1:9" ht="14.25" customHeight="1" x14ac:dyDescent="0.2">
      <c r="A856" s="65" t="s">
        <v>9148</v>
      </c>
      <c r="B856" s="65" t="s">
        <v>1483</v>
      </c>
      <c r="C856" s="65" t="s">
        <v>9149</v>
      </c>
      <c r="D856" s="66">
        <v>42972</v>
      </c>
      <c r="E856" s="65" t="s">
        <v>289</v>
      </c>
      <c r="F856" s="79" t="s">
        <v>9150</v>
      </c>
      <c r="G856" s="61"/>
      <c r="I856" s="78"/>
    </row>
    <row r="857" spans="1:9" ht="14.25" customHeight="1" x14ac:dyDescent="0.2">
      <c r="A857" s="65" t="s">
        <v>9151</v>
      </c>
      <c r="B857" s="65" t="s">
        <v>2167</v>
      </c>
      <c r="C857" s="65" t="s">
        <v>9152</v>
      </c>
      <c r="D857" s="66">
        <v>42972</v>
      </c>
      <c r="E857" s="65" t="s">
        <v>289</v>
      </c>
      <c r="F857" s="79" t="s">
        <v>9153</v>
      </c>
      <c r="G857" s="61"/>
      <c r="I857" s="78"/>
    </row>
    <row r="858" spans="1:9" ht="14.25" customHeight="1" x14ac:dyDescent="0.2">
      <c r="A858" s="65" t="s">
        <v>7632</v>
      </c>
      <c r="B858" s="65" t="s">
        <v>1459</v>
      </c>
      <c r="C858" s="65" t="s">
        <v>9154</v>
      </c>
      <c r="D858" s="66">
        <v>42971</v>
      </c>
      <c r="E858" s="65" t="s">
        <v>6809</v>
      </c>
      <c r="F858" s="79" t="s">
        <v>6810</v>
      </c>
      <c r="G858" s="61"/>
      <c r="I858" s="78"/>
    </row>
    <row r="859" spans="1:9" ht="14.25" customHeight="1" x14ac:dyDescent="0.2">
      <c r="A859" s="65" t="s">
        <v>9155</v>
      </c>
      <c r="B859" s="65" t="s">
        <v>9156</v>
      </c>
      <c r="C859" s="65" t="s">
        <v>9157</v>
      </c>
      <c r="D859" s="66">
        <v>42971</v>
      </c>
      <c r="E859" s="65" t="s">
        <v>6809</v>
      </c>
      <c r="F859" s="79" t="s">
        <v>6824</v>
      </c>
      <c r="G859" s="61"/>
      <c r="I859" s="78"/>
    </row>
    <row r="860" spans="1:9" ht="14.25" customHeight="1" x14ac:dyDescent="0.2">
      <c r="A860" s="65" t="s">
        <v>9158</v>
      </c>
      <c r="B860" s="65" t="s">
        <v>9159</v>
      </c>
      <c r="C860" s="65" t="s">
        <v>9160</v>
      </c>
      <c r="D860" s="66">
        <v>42971</v>
      </c>
      <c r="E860" s="65" t="s">
        <v>6809</v>
      </c>
      <c r="F860" s="79" t="s">
        <v>6810</v>
      </c>
      <c r="G860" s="61"/>
      <c r="I860" s="78"/>
    </row>
    <row r="861" spans="1:9" ht="14.25" customHeight="1" x14ac:dyDescent="0.2">
      <c r="A861" s="65" t="s">
        <v>9161</v>
      </c>
      <c r="B861" s="65" t="s">
        <v>1182</v>
      </c>
      <c r="C861" s="65" t="s">
        <v>7359</v>
      </c>
      <c r="D861" s="66">
        <v>42970</v>
      </c>
      <c r="E861" s="65" t="s">
        <v>289</v>
      </c>
      <c r="F861" s="79" t="s">
        <v>9162</v>
      </c>
      <c r="G861" s="61"/>
      <c r="I861" s="78"/>
    </row>
    <row r="862" spans="1:9" ht="14.25" customHeight="1" x14ac:dyDescent="0.2">
      <c r="A862" s="65" t="s">
        <v>9163</v>
      </c>
      <c r="B862" s="65" t="s">
        <v>2147</v>
      </c>
      <c r="C862" s="65" t="s">
        <v>9164</v>
      </c>
      <c r="D862" s="66">
        <v>42970</v>
      </c>
      <c r="E862" s="65" t="s">
        <v>6809</v>
      </c>
      <c r="F862" s="79" t="s">
        <v>9165</v>
      </c>
      <c r="G862" s="61"/>
      <c r="I862" s="78"/>
    </row>
    <row r="863" spans="1:9" ht="14.25" customHeight="1" x14ac:dyDescent="0.2">
      <c r="A863" s="65" t="s">
        <v>9166</v>
      </c>
      <c r="B863" s="65" t="s">
        <v>9167</v>
      </c>
      <c r="C863" s="65" t="s">
        <v>9168</v>
      </c>
      <c r="D863" s="66">
        <v>42970</v>
      </c>
      <c r="E863" s="65" t="s">
        <v>289</v>
      </c>
      <c r="F863" s="79" t="s">
        <v>9169</v>
      </c>
      <c r="G863" s="61"/>
      <c r="I863" s="78"/>
    </row>
    <row r="864" spans="1:9" ht="14.25" customHeight="1" x14ac:dyDescent="0.2">
      <c r="A864" s="65" t="s">
        <v>9170</v>
      </c>
      <c r="B864" s="65" t="s">
        <v>2203</v>
      </c>
      <c r="C864" s="65" t="s">
        <v>9171</v>
      </c>
      <c r="D864" s="66">
        <v>42970</v>
      </c>
      <c r="E864" s="65" t="s">
        <v>289</v>
      </c>
      <c r="F864" s="79" t="s">
        <v>9172</v>
      </c>
      <c r="G864" s="61"/>
      <c r="I864" s="78"/>
    </row>
    <row r="865" spans="1:9" ht="14.25" customHeight="1" x14ac:dyDescent="0.2">
      <c r="A865" s="65" t="s">
        <v>9173</v>
      </c>
      <c r="B865" s="65" t="s">
        <v>9174</v>
      </c>
      <c r="C865" s="65" t="s">
        <v>9175</v>
      </c>
      <c r="D865" s="66">
        <v>42969</v>
      </c>
      <c r="E865" s="65" t="s">
        <v>6809</v>
      </c>
      <c r="F865" s="79" t="s">
        <v>6810</v>
      </c>
      <c r="G865" s="61"/>
      <c r="I865" s="78"/>
    </row>
    <row r="866" spans="1:9" ht="14.25" customHeight="1" x14ac:dyDescent="0.2">
      <c r="A866" s="65" t="s">
        <v>9176</v>
      </c>
      <c r="B866" s="65" t="s">
        <v>9177</v>
      </c>
      <c r="C866" s="65" t="s">
        <v>9178</v>
      </c>
      <c r="D866" s="66">
        <v>42969</v>
      </c>
      <c r="E866" s="65" t="s">
        <v>6809</v>
      </c>
      <c r="F866" s="79" t="s">
        <v>6810</v>
      </c>
      <c r="G866" s="61"/>
      <c r="I866" s="78"/>
    </row>
    <row r="867" spans="1:9" ht="14.25" customHeight="1" x14ac:dyDescent="0.2">
      <c r="A867" s="65" t="s">
        <v>9179</v>
      </c>
      <c r="B867" s="65" t="s">
        <v>2215</v>
      </c>
      <c r="C867" s="65" t="s">
        <v>9180</v>
      </c>
      <c r="D867" s="66">
        <v>42969</v>
      </c>
      <c r="E867" s="65" t="s">
        <v>289</v>
      </c>
      <c r="F867" s="79" t="s">
        <v>9181</v>
      </c>
      <c r="G867" s="61"/>
      <c r="I867" s="78"/>
    </row>
    <row r="868" spans="1:9" ht="14.25" customHeight="1" x14ac:dyDescent="0.2">
      <c r="A868" s="65" t="s">
        <v>9182</v>
      </c>
      <c r="B868" s="65" t="s">
        <v>9183</v>
      </c>
      <c r="C868" s="65" t="s">
        <v>9184</v>
      </c>
      <c r="D868" s="66">
        <v>42968</v>
      </c>
      <c r="E868" s="65" t="s">
        <v>6809</v>
      </c>
      <c r="F868" s="79" t="s">
        <v>6824</v>
      </c>
      <c r="G868" s="61"/>
      <c r="I868" s="78"/>
    </row>
    <row r="869" spans="1:9" ht="14.25" customHeight="1" x14ac:dyDescent="0.2">
      <c r="A869" s="65" t="s">
        <v>9185</v>
      </c>
      <c r="B869" s="65" t="s">
        <v>7024</v>
      </c>
      <c r="C869" s="65" t="s">
        <v>9186</v>
      </c>
      <c r="D869" s="66">
        <v>42963</v>
      </c>
      <c r="E869" s="65" t="s">
        <v>7922</v>
      </c>
      <c r="F869" s="79" t="s">
        <v>9187</v>
      </c>
      <c r="G869" s="61"/>
      <c r="I869" s="78"/>
    </row>
    <row r="870" spans="1:9" ht="14.25" customHeight="1" x14ac:dyDescent="0.2">
      <c r="A870" s="65" t="s">
        <v>9188</v>
      </c>
      <c r="B870" s="65" t="s">
        <v>3899</v>
      </c>
      <c r="C870" s="65" t="s">
        <v>9189</v>
      </c>
      <c r="D870" s="66">
        <v>42963</v>
      </c>
      <c r="E870" s="65" t="s">
        <v>6809</v>
      </c>
      <c r="F870" s="79" t="s">
        <v>6810</v>
      </c>
      <c r="G870" s="61"/>
      <c r="I870" s="78"/>
    </row>
    <row r="871" spans="1:9" ht="14.25" customHeight="1" x14ac:dyDescent="0.2">
      <c r="A871" s="65" t="s">
        <v>9190</v>
      </c>
      <c r="B871" s="65" t="s">
        <v>8284</v>
      </c>
      <c r="C871" s="65" t="s">
        <v>9191</v>
      </c>
      <c r="D871" s="66">
        <v>42958</v>
      </c>
      <c r="E871" s="65" t="s">
        <v>6809</v>
      </c>
      <c r="F871" s="79" t="s">
        <v>9192</v>
      </c>
      <c r="G871" s="61"/>
      <c r="I871" s="78"/>
    </row>
    <row r="872" spans="1:9" ht="14.25" customHeight="1" x14ac:dyDescent="0.2">
      <c r="A872" s="65" t="s">
        <v>9193</v>
      </c>
      <c r="B872" s="65" t="s">
        <v>3167</v>
      </c>
      <c r="C872" s="65" t="s">
        <v>9194</v>
      </c>
      <c r="D872" s="66">
        <v>42958</v>
      </c>
      <c r="E872" s="65" t="s">
        <v>6809</v>
      </c>
      <c r="F872" s="79" t="s">
        <v>9195</v>
      </c>
      <c r="G872" s="61"/>
      <c r="I872" s="78"/>
    </row>
    <row r="873" spans="1:9" ht="14.25" customHeight="1" x14ac:dyDescent="0.2">
      <c r="A873" s="65" t="s">
        <v>9196</v>
      </c>
      <c r="B873" s="65" t="s">
        <v>9197</v>
      </c>
      <c r="C873" s="65" t="s">
        <v>9198</v>
      </c>
      <c r="D873" s="66">
        <v>42957</v>
      </c>
      <c r="E873" s="65" t="s">
        <v>6809</v>
      </c>
      <c r="F873" s="79" t="s">
        <v>6810</v>
      </c>
      <c r="G873" s="61"/>
      <c r="I873" s="78"/>
    </row>
    <row r="874" spans="1:9" ht="14.25" customHeight="1" x14ac:dyDescent="0.2">
      <c r="A874" s="65" t="s">
        <v>9199</v>
      </c>
      <c r="B874" s="65" t="s">
        <v>9200</v>
      </c>
      <c r="C874" s="65" t="s">
        <v>9201</v>
      </c>
      <c r="D874" s="66">
        <v>42956</v>
      </c>
      <c r="E874" s="65" t="s">
        <v>6809</v>
      </c>
      <c r="F874" s="79" t="s">
        <v>6810</v>
      </c>
      <c r="G874" s="61"/>
      <c r="I874" s="78"/>
    </row>
    <row r="875" spans="1:9" ht="14.25" customHeight="1" x14ac:dyDescent="0.2">
      <c r="A875" s="65" t="s">
        <v>9202</v>
      </c>
      <c r="B875" s="65" t="s">
        <v>9203</v>
      </c>
      <c r="C875" s="65" t="s">
        <v>9204</v>
      </c>
      <c r="D875" s="66">
        <v>42954</v>
      </c>
      <c r="E875" s="65" t="s">
        <v>6809</v>
      </c>
      <c r="F875" s="79" t="s">
        <v>6810</v>
      </c>
      <c r="G875" s="61"/>
      <c r="I875" s="78"/>
    </row>
    <row r="876" spans="1:9" ht="14.25" customHeight="1" x14ac:dyDescent="0.2">
      <c r="A876" s="65" t="s">
        <v>9205</v>
      </c>
      <c r="B876" s="65" t="s">
        <v>4088</v>
      </c>
      <c r="C876" s="65" t="s">
        <v>9206</v>
      </c>
      <c r="D876" s="66">
        <v>42954</v>
      </c>
      <c r="E876" s="65" t="s">
        <v>6809</v>
      </c>
      <c r="F876" s="79" t="s">
        <v>9207</v>
      </c>
      <c r="G876" s="61"/>
      <c r="I876" s="78"/>
    </row>
    <row r="877" spans="1:9" ht="14.25" customHeight="1" x14ac:dyDescent="0.2">
      <c r="A877" s="65" t="s">
        <v>9208</v>
      </c>
      <c r="B877" s="65" t="s">
        <v>913</v>
      </c>
      <c r="C877" s="65" t="s">
        <v>9209</v>
      </c>
      <c r="D877" s="66">
        <v>42951</v>
      </c>
      <c r="E877" s="65" t="s">
        <v>6809</v>
      </c>
      <c r="F877" s="79" t="s">
        <v>6824</v>
      </c>
      <c r="G877" s="61"/>
      <c r="I877" s="78"/>
    </row>
    <row r="878" spans="1:9" ht="14.25" customHeight="1" x14ac:dyDescent="0.2">
      <c r="A878" s="65" t="s">
        <v>9210</v>
      </c>
      <c r="B878" s="65" t="s">
        <v>9211</v>
      </c>
      <c r="C878" s="65" t="s">
        <v>9212</v>
      </c>
      <c r="D878" s="66">
        <v>42950</v>
      </c>
      <c r="E878" s="65" t="s">
        <v>6809</v>
      </c>
      <c r="F878" s="79" t="s">
        <v>6810</v>
      </c>
      <c r="G878" s="61"/>
      <c r="I878" s="78"/>
    </row>
    <row r="879" spans="1:9" ht="14.25" customHeight="1" x14ac:dyDescent="0.2">
      <c r="A879" s="65" t="s">
        <v>9213</v>
      </c>
      <c r="B879" s="65" t="s">
        <v>9214</v>
      </c>
      <c r="C879" s="65" t="s">
        <v>9215</v>
      </c>
      <c r="D879" s="66">
        <v>42950</v>
      </c>
      <c r="E879" s="65" t="s">
        <v>6809</v>
      </c>
      <c r="F879" s="79" t="s">
        <v>6814</v>
      </c>
      <c r="G879" s="61"/>
      <c r="I879" s="78"/>
    </row>
    <row r="880" spans="1:9" ht="14.25" customHeight="1" x14ac:dyDescent="0.2">
      <c r="A880" s="65" t="s">
        <v>9216</v>
      </c>
      <c r="B880" s="65" t="s">
        <v>9217</v>
      </c>
      <c r="C880" s="65" t="s">
        <v>9218</v>
      </c>
      <c r="D880" s="66">
        <v>42950</v>
      </c>
      <c r="E880" s="65" t="s">
        <v>6809</v>
      </c>
      <c r="F880" s="79" t="s">
        <v>6810</v>
      </c>
      <c r="G880" s="61"/>
      <c r="I880" s="78"/>
    </row>
    <row r="881" spans="1:9" ht="14.25" customHeight="1" x14ac:dyDescent="0.2">
      <c r="A881" s="65" t="s">
        <v>9219</v>
      </c>
      <c r="B881" s="65" t="s">
        <v>9220</v>
      </c>
      <c r="C881" s="65" t="s">
        <v>9221</v>
      </c>
      <c r="D881" s="66">
        <v>42949</v>
      </c>
      <c r="E881" s="65" t="s">
        <v>6809</v>
      </c>
      <c r="F881" s="79" t="s">
        <v>6810</v>
      </c>
      <c r="G881" s="61"/>
      <c r="I881" s="78"/>
    </row>
    <row r="882" spans="1:9" ht="14.25" customHeight="1" x14ac:dyDescent="0.2">
      <c r="A882" s="65" t="s">
        <v>9222</v>
      </c>
      <c r="B882" s="65" t="s">
        <v>9223</v>
      </c>
      <c r="C882" s="65" t="s">
        <v>9224</v>
      </c>
      <c r="D882" s="66">
        <v>42949</v>
      </c>
      <c r="E882" s="65" t="s">
        <v>6809</v>
      </c>
      <c r="F882" s="79" t="s">
        <v>6810</v>
      </c>
      <c r="G882" s="61"/>
      <c r="I882" s="78"/>
    </row>
    <row r="883" spans="1:9" ht="14.25" customHeight="1" x14ac:dyDescent="0.2">
      <c r="A883" s="65" t="s">
        <v>9225</v>
      </c>
      <c r="B883" s="65" t="s">
        <v>9226</v>
      </c>
      <c r="C883" s="65" t="s">
        <v>9227</v>
      </c>
      <c r="D883" s="66">
        <v>42949</v>
      </c>
      <c r="E883" s="65" t="s">
        <v>6809</v>
      </c>
      <c r="F883" s="79" t="s">
        <v>6810</v>
      </c>
      <c r="G883" s="61"/>
      <c r="I883" s="78"/>
    </row>
    <row r="884" spans="1:9" ht="14.25" customHeight="1" x14ac:dyDescent="0.2">
      <c r="A884" s="65" t="s">
        <v>9228</v>
      </c>
      <c r="B884" s="65" t="s">
        <v>9229</v>
      </c>
      <c r="C884" s="65" t="s">
        <v>9230</v>
      </c>
      <c r="D884" s="66">
        <v>42948</v>
      </c>
      <c r="E884" s="65" t="s">
        <v>6809</v>
      </c>
      <c r="F884" s="79" t="s">
        <v>6810</v>
      </c>
      <c r="G884" s="61"/>
      <c r="I884" s="78"/>
    </row>
    <row r="885" spans="1:9" ht="14.25" customHeight="1" x14ac:dyDescent="0.2">
      <c r="A885" s="65" t="s">
        <v>9231</v>
      </c>
      <c r="B885" s="65" t="s">
        <v>9232</v>
      </c>
      <c r="C885" s="65" t="s">
        <v>9233</v>
      </c>
      <c r="D885" s="66">
        <v>42948</v>
      </c>
      <c r="E885" s="65" t="s">
        <v>6809</v>
      </c>
      <c r="F885" s="79" t="s">
        <v>6814</v>
      </c>
      <c r="G885" s="61"/>
      <c r="I885" s="78"/>
    </row>
    <row r="886" spans="1:9" ht="14.25" customHeight="1" x14ac:dyDescent="0.2">
      <c r="A886" s="65" t="s">
        <v>9234</v>
      </c>
      <c r="B886" s="65" t="s">
        <v>7041</v>
      </c>
      <c r="C886" s="65" t="s">
        <v>9235</v>
      </c>
      <c r="D886" s="66">
        <v>42948</v>
      </c>
      <c r="E886" s="65" t="s">
        <v>6809</v>
      </c>
      <c r="F886" s="79" t="s">
        <v>9236</v>
      </c>
      <c r="G886" s="61"/>
      <c r="I886" s="78"/>
    </row>
    <row r="887" spans="1:9" ht="14.25" customHeight="1" x14ac:dyDescent="0.2">
      <c r="A887" s="65" t="s">
        <v>9237</v>
      </c>
      <c r="B887" s="65" t="s">
        <v>8534</v>
      </c>
      <c r="C887" s="65" t="s">
        <v>9238</v>
      </c>
      <c r="D887" s="66">
        <v>42947</v>
      </c>
      <c r="E887" s="65" t="s">
        <v>6809</v>
      </c>
      <c r="F887" s="79" t="s">
        <v>9239</v>
      </c>
      <c r="G887" s="61"/>
      <c r="I887" s="78"/>
    </row>
    <row r="888" spans="1:9" ht="14.25" customHeight="1" x14ac:dyDescent="0.2">
      <c r="A888" s="65" t="s">
        <v>9240</v>
      </c>
      <c r="B888" s="65" t="s">
        <v>8586</v>
      </c>
      <c r="C888" s="65" t="s">
        <v>8587</v>
      </c>
      <c r="D888" s="66">
        <v>42947</v>
      </c>
      <c r="E888" s="65" t="s">
        <v>6809</v>
      </c>
      <c r="F888" s="79" t="s">
        <v>6810</v>
      </c>
      <c r="G888" s="61"/>
      <c r="I888" s="78"/>
    </row>
    <row r="889" spans="1:9" ht="14.25" customHeight="1" x14ac:dyDescent="0.2">
      <c r="A889" s="65" t="s">
        <v>9241</v>
      </c>
      <c r="B889" s="65" t="s">
        <v>9242</v>
      </c>
      <c r="C889" s="65" t="s">
        <v>9243</v>
      </c>
      <c r="D889" s="66">
        <v>42947</v>
      </c>
      <c r="E889" s="65" t="s">
        <v>6809</v>
      </c>
      <c r="F889" s="79" t="s">
        <v>6810</v>
      </c>
      <c r="G889" s="61"/>
      <c r="I889" s="78"/>
    </row>
    <row r="890" spans="1:9" ht="14.25" customHeight="1" x14ac:dyDescent="0.2">
      <c r="A890" s="65" t="s">
        <v>9244</v>
      </c>
      <c r="B890" s="65" t="s">
        <v>1833</v>
      </c>
      <c r="C890" s="65" t="s">
        <v>9245</v>
      </c>
      <c r="D890" s="66">
        <v>42947</v>
      </c>
      <c r="E890" s="65" t="s">
        <v>6809</v>
      </c>
      <c r="F890" s="79" t="s">
        <v>9246</v>
      </c>
      <c r="G890" s="61"/>
      <c r="I890" s="78"/>
    </row>
    <row r="891" spans="1:9" ht="14.25" customHeight="1" x14ac:dyDescent="0.2">
      <c r="A891" s="65" t="s">
        <v>9247</v>
      </c>
      <c r="B891" s="65" t="s">
        <v>9248</v>
      </c>
      <c r="C891" s="65" t="s">
        <v>9249</v>
      </c>
      <c r="D891" s="66">
        <v>42947</v>
      </c>
      <c r="E891" s="65" t="s">
        <v>6809</v>
      </c>
      <c r="F891" s="79" t="s">
        <v>6810</v>
      </c>
      <c r="G891" s="61"/>
      <c r="I891" s="78"/>
    </row>
    <row r="892" spans="1:9" ht="14.25" customHeight="1" x14ac:dyDescent="0.2">
      <c r="A892" s="65" t="s">
        <v>9250</v>
      </c>
      <c r="B892" s="65" t="s">
        <v>9251</v>
      </c>
      <c r="C892" s="65" t="s">
        <v>9252</v>
      </c>
      <c r="D892" s="66">
        <v>42947</v>
      </c>
      <c r="E892" s="65" t="s">
        <v>6809</v>
      </c>
      <c r="F892" s="79" t="s">
        <v>6810</v>
      </c>
      <c r="G892" s="61"/>
      <c r="I892" s="78"/>
    </row>
    <row r="893" spans="1:9" ht="14.25" customHeight="1" x14ac:dyDescent="0.2">
      <c r="A893" s="65" t="s">
        <v>9253</v>
      </c>
      <c r="B893" s="65" t="s">
        <v>2090</v>
      </c>
      <c r="C893" s="65" t="s">
        <v>9254</v>
      </c>
      <c r="D893" s="66">
        <v>42947</v>
      </c>
      <c r="E893" s="65" t="s">
        <v>6809</v>
      </c>
      <c r="F893" s="79" t="s">
        <v>9255</v>
      </c>
      <c r="G893" s="61"/>
      <c r="I893" s="78"/>
    </row>
    <row r="894" spans="1:9" ht="14.25" customHeight="1" x14ac:dyDescent="0.2">
      <c r="A894" s="65" t="s">
        <v>9256</v>
      </c>
      <c r="B894" s="65" t="s">
        <v>9257</v>
      </c>
      <c r="C894" s="65" t="s">
        <v>9258</v>
      </c>
      <c r="D894" s="66">
        <v>42947</v>
      </c>
      <c r="E894" s="65" t="s">
        <v>6809</v>
      </c>
      <c r="F894" s="79" t="s">
        <v>6810</v>
      </c>
      <c r="G894" s="61"/>
      <c r="I894" s="78"/>
    </row>
    <row r="895" spans="1:9" ht="14.25" customHeight="1" x14ac:dyDescent="0.2">
      <c r="A895" s="65" t="s">
        <v>9259</v>
      </c>
      <c r="B895" s="65" t="s">
        <v>9260</v>
      </c>
      <c r="C895" s="65" t="s">
        <v>9261</v>
      </c>
      <c r="D895" s="66">
        <v>42947</v>
      </c>
      <c r="E895" s="65" t="s">
        <v>6809</v>
      </c>
      <c r="F895" s="79" t="s">
        <v>6810</v>
      </c>
      <c r="G895" s="61"/>
      <c r="I895" s="78"/>
    </row>
    <row r="896" spans="1:9" ht="14.25" customHeight="1" x14ac:dyDescent="0.2">
      <c r="A896" s="65" t="s">
        <v>9262</v>
      </c>
      <c r="B896" s="65" t="s">
        <v>1903</v>
      </c>
      <c r="C896" s="65" t="s">
        <v>9263</v>
      </c>
      <c r="D896" s="66">
        <v>42936</v>
      </c>
      <c r="E896" s="65" t="s">
        <v>6809</v>
      </c>
      <c r="F896" s="79" t="s">
        <v>9264</v>
      </c>
      <c r="G896" s="61"/>
      <c r="I896" s="78"/>
    </row>
    <row r="897" spans="1:9" ht="14.25" customHeight="1" x14ac:dyDescent="0.2">
      <c r="A897" s="65" t="s">
        <v>9265</v>
      </c>
      <c r="B897" s="65" t="s">
        <v>9266</v>
      </c>
      <c r="C897" s="65" t="s">
        <v>9267</v>
      </c>
      <c r="D897" s="66">
        <v>42944</v>
      </c>
      <c r="E897" s="65" t="s">
        <v>6809</v>
      </c>
      <c r="F897" s="79" t="s">
        <v>6814</v>
      </c>
      <c r="G897" s="61"/>
      <c r="I897" s="78"/>
    </row>
    <row r="898" spans="1:9" ht="14.25" customHeight="1" x14ac:dyDescent="0.2">
      <c r="A898" s="65" t="s">
        <v>9268</v>
      </c>
      <c r="B898" s="65" t="s">
        <v>1756</v>
      </c>
      <c r="C898" s="65" t="s">
        <v>9269</v>
      </c>
      <c r="D898" s="66">
        <v>42943</v>
      </c>
      <c r="E898" s="65" t="s">
        <v>6809</v>
      </c>
      <c r="F898" s="79" t="s">
        <v>6814</v>
      </c>
      <c r="G898" s="61"/>
      <c r="I898" s="78"/>
    </row>
    <row r="899" spans="1:9" ht="14.25" customHeight="1" x14ac:dyDescent="0.2">
      <c r="A899" s="65" t="s">
        <v>9270</v>
      </c>
      <c r="B899" s="65" t="s">
        <v>9271</v>
      </c>
      <c r="C899" s="65" t="s">
        <v>9272</v>
      </c>
      <c r="D899" s="66">
        <v>42943</v>
      </c>
      <c r="E899" s="65" t="s">
        <v>6809</v>
      </c>
      <c r="F899" s="79" t="s">
        <v>6810</v>
      </c>
      <c r="G899" s="61"/>
      <c r="I899" s="78"/>
    </row>
    <row r="900" spans="1:9" ht="14.25" customHeight="1" x14ac:dyDescent="0.2">
      <c r="A900" s="65" t="s">
        <v>9273</v>
      </c>
      <c r="B900" s="65" t="s">
        <v>9274</v>
      </c>
      <c r="C900" s="65" t="s">
        <v>9275</v>
      </c>
      <c r="D900" s="66">
        <v>42943</v>
      </c>
      <c r="E900" s="65" t="s">
        <v>6809</v>
      </c>
      <c r="F900" s="79" t="s">
        <v>6810</v>
      </c>
      <c r="G900" s="61"/>
      <c r="I900" s="78"/>
    </row>
    <row r="901" spans="1:9" ht="14.25" customHeight="1" x14ac:dyDescent="0.2">
      <c r="A901" s="65" t="s">
        <v>9276</v>
      </c>
      <c r="B901" s="65" t="s">
        <v>1850</v>
      </c>
      <c r="C901" s="65" t="s">
        <v>7094</v>
      </c>
      <c r="D901" s="66">
        <v>42943</v>
      </c>
      <c r="E901" s="65" t="s">
        <v>289</v>
      </c>
      <c r="F901" s="79" t="s">
        <v>6810</v>
      </c>
      <c r="G901" s="61"/>
      <c r="I901" s="78"/>
    </row>
    <row r="902" spans="1:9" ht="14.25" customHeight="1" x14ac:dyDescent="0.2">
      <c r="A902" s="65" t="s">
        <v>9277</v>
      </c>
      <c r="B902" s="65" t="s">
        <v>1422</v>
      </c>
      <c r="C902" s="65" t="s">
        <v>9278</v>
      </c>
      <c r="D902" s="66">
        <v>42943</v>
      </c>
      <c r="E902" s="65" t="s">
        <v>7922</v>
      </c>
      <c r="F902" s="79" t="s">
        <v>9279</v>
      </c>
      <c r="G902" s="61"/>
      <c r="I902" s="78"/>
    </row>
    <row r="903" spans="1:9" ht="14.25" customHeight="1" x14ac:dyDescent="0.2">
      <c r="A903" s="65" t="s">
        <v>9280</v>
      </c>
      <c r="B903" s="65" t="s">
        <v>9281</v>
      </c>
      <c r="C903" s="65" t="s">
        <v>9282</v>
      </c>
      <c r="D903" s="66">
        <v>42943</v>
      </c>
      <c r="E903" s="65" t="s">
        <v>6809</v>
      </c>
      <c r="F903" s="79" t="s">
        <v>6810</v>
      </c>
      <c r="G903" s="61"/>
      <c r="I903" s="78"/>
    </row>
    <row r="904" spans="1:9" ht="14.25" customHeight="1" x14ac:dyDescent="0.2">
      <c r="A904" s="65" t="s">
        <v>9283</v>
      </c>
      <c r="B904" s="65" t="s">
        <v>1707</v>
      </c>
      <c r="C904" s="65" t="s">
        <v>9284</v>
      </c>
      <c r="D904" s="66">
        <v>42943</v>
      </c>
      <c r="E904" s="65" t="s">
        <v>289</v>
      </c>
      <c r="F904" s="79" t="s">
        <v>9285</v>
      </c>
      <c r="G904" s="61"/>
      <c r="I904" s="78"/>
    </row>
    <row r="905" spans="1:9" ht="14.25" customHeight="1" x14ac:dyDescent="0.2">
      <c r="A905" s="65" t="s">
        <v>9286</v>
      </c>
      <c r="B905" s="65" t="s">
        <v>1878</v>
      </c>
      <c r="C905" s="65" t="s">
        <v>9287</v>
      </c>
      <c r="D905" s="66">
        <v>42943</v>
      </c>
      <c r="E905" s="65" t="s">
        <v>6809</v>
      </c>
      <c r="F905" s="79" t="s">
        <v>9288</v>
      </c>
      <c r="G905" s="61"/>
      <c r="I905" s="78"/>
    </row>
    <row r="906" spans="1:9" ht="14.25" customHeight="1" x14ac:dyDescent="0.2">
      <c r="A906" s="65" t="s">
        <v>9289</v>
      </c>
      <c r="B906" s="65" t="s">
        <v>9290</v>
      </c>
      <c r="C906" s="65" t="s">
        <v>9291</v>
      </c>
      <c r="D906" s="66">
        <v>42943</v>
      </c>
      <c r="E906" s="65" t="s">
        <v>6809</v>
      </c>
      <c r="F906" s="79" t="s">
        <v>6824</v>
      </c>
      <c r="G906" s="61"/>
      <c r="I906" s="78"/>
    </row>
    <row r="907" spans="1:9" ht="14.25" customHeight="1" x14ac:dyDescent="0.2">
      <c r="A907" s="65" t="s">
        <v>9292</v>
      </c>
      <c r="B907" s="65" t="s">
        <v>9293</v>
      </c>
      <c r="C907" s="65" t="s">
        <v>9294</v>
      </c>
      <c r="D907" s="66">
        <v>42943</v>
      </c>
      <c r="E907" s="65" t="s">
        <v>6809</v>
      </c>
      <c r="F907" s="79" t="s">
        <v>6810</v>
      </c>
      <c r="G907" s="61"/>
      <c r="I907" s="78"/>
    </row>
    <row r="908" spans="1:9" ht="14.25" customHeight="1" x14ac:dyDescent="0.2">
      <c r="A908" s="65" t="s">
        <v>9295</v>
      </c>
      <c r="B908" s="65" t="s">
        <v>1829</v>
      </c>
      <c r="C908" s="65" t="s">
        <v>9296</v>
      </c>
      <c r="D908" s="66">
        <v>42943</v>
      </c>
      <c r="E908" s="65" t="s">
        <v>7915</v>
      </c>
      <c r="F908" s="79" t="s">
        <v>9297</v>
      </c>
      <c r="G908" s="61"/>
      <c r="I908" s="78"/>
    </row>
    <row r="909" spans="1:9" ht="14.25" customHeight="1" x14ac:dyDescent="0.2">
      <c r="A909" s="65" t="s">
        <v>9298</v>
      </c>
      <c r="B909" s="65" t="s">
        <v>1793</v>
      </c>
      <c r="C909" s="65" t="s">
        <v>7389</v>
      </c>
      <c r="D909" s="66">
        <v>42941</v>
      </c>
      <c r="E909" s="65" t="s">
        <v>6809</v>
      </c>
      <c r="F909" s="79" t="s">
        <v>9299</v>
      </c>
      <c r="G909" s="61"/>
      <c r="I909" s="78"/>
    </row>
    <row r="910" spans="1:9" ht="14.25" customHeight="1" x14ac:dyDescent="0.2">
      <c r="A910" s="65" t="s">
        <v>9300</v>
      </c>
      <c r="B910" s="65" t="s">
        <v>9301</v>
      </c>
      <c r="C910" s="65" t="s">
        <v>9302</v>
      </c>
      <c r="D910" s="66">
        <v>42941</v>
      </c>
      <c r="E910" s="65" t="s">
        <v>6809</v>
      </c>
      <c r="F910" s="79" t="s">
        <v>6810</v>
      </c>
      <c r="G910" s="61"/>
      <c r="I910" s="78"/>
    </row>
    <row r="911" spans="1:9" ht="14.25" customHeight="1" x14ac:dyDescent="0.2">
      <c r="A911" s="65" t="s">
        <v>9303</v>
      </c>
      <c r="B911" s="65" t="s">
        <v>9304</v>
      </c>
      <c r="C911" s="65" t="s">
        <v>9305</v>
      </c>
      <c r="D911" s="66">
        <v>42940</v>
      </c>
      <c r="E911" s="65" t="s">
        <v>6809</v>
      </c>
      <c r="F911" s="79" t="s">
        <v>6814</v>
      </c>
      <c r="G911" s="61"/>
      <c r="I911" s="78"/>
    </row>
    <row r="912" spans="1:9" ht="14.25" customHeight="1" x14ac:dyDescent="0.2">
      <c r="A912" s="65" t="s">
        <v>9306</v>
      </c>
      <c r="B912" s="65" t="s">
        <v>9307</v>
      </c>
      <c r="C912" s="65" t="s">
        <v>9308</v>
      </c>
      <c r="D912" s="66">
        <v>42940</v>
      </c>
      <c r="E912" s="65" t="s">
        <v>6809</v>
      </c>
      <c r="F912" s="79" t="s">
        <v>6810</v>
      </c>
      <c r="G912" s="61"/>
      <c r="I912" s="78"/>
    </row>
    <row r="913" spans="1:85" ht="14.25" customHeight="1" x14ac:dyDescent="0.2">
      <c r="A913" s="65" t="s">
        <v>9309</v>
      </c>
      <c r="B913" s="65" t="s">
        <v>9310</v>
      </c>
      <c r="C913" s="65" t="s">
        <v>9311</v>
      </c>
      <c r="D913" s="66">
        <v>42940</v>
      </c>
      <c r="E913" s="65" t="s">
        <v>6809</v>
      </c>
      <c r="F913" s="79" t="s">
        <v>6810</v>
      </c>
      <c r="G913" s="61"/>
      <c r="I913" s="78"/>
    </row>
    <row r="914" spans="1:85" ht="14.25" customHeight="1" x14ac:dyDescent="0.2">
      <c r="A914" s="65" t="s">
        <v>9312</v>
      </c>
      <c r="B914" s="65" t="s">
        <v>9313</v>
      </c>
      <c r="C914" s="65" t="s">
        <v>9314</v>
      </c>
      <c r="D914" s="66">
        <v>42937</v>
      </c>
      <c r="E914" s="65" t="s">
        <v>6809</v>
      </c>
      <c r="F914" s="79" t="s">
        <v>6824</v>
      </c>
      <c r="G914" s="61"/>
      <c r="I914" s="78"/>
    </row>
    <row r="915" spans="1:85" ht="14.25" customHeight="1" x14ac:dyDescent="0.2">
      <c r="A915" s="65" t="s">
        <v>9315</v>
      </c>
      <c r="B915" s="65" t="s">
        <v>2135</v>
      </c>
      <c r="C915" s="65" t="s">
        <v>9316</v>
      </c>
      <c r="D915" s="66">
        <v>42937</v>
      </c>
      <c r="E915" s="65" t="s">
        <v>6809</v>
      </c>
      <c r="F915" s="79" t="s">
        <v>9317</v>
      </c>
      <c r="G915" s="61"/>
      <c r="I915" s="78"/>
    </row>
    <row r="916" spans="1:85" ht="14.25" customHeight="1" x14ac:dyDescent="0.2">
      <c r="A916" s="65" t="s">
        <v>9318</v>
      </c>
      <c r="B916" s="65" t="s">
        <v>9319</v>
      </c>
      <c r="C916" s="65" t="s">
        <v>9320</v>
      </c>
      <c r="D916" s="66">
        <v>42937</v>
      </c>
      <c r="E916" s="65" t="s">
        <v>6809</v>
      </c>
      <c r="F916" s="79" t="s">
        <v>6810</v>
      </c>
      <c r="G916" s="61"/>
      <c r="I916" s="78"/>
    </row>
    <row r="917" spans="1:85" ht="14.25" customHeight="1" x14ac:dyDescent="0.2">
      <c r="A917" s="65" t="s">
        <v>9321</v>
      </c>
      <c r="B917" s="65" t="s">
        <v>5150</v>
      </c>
      <c r="C917" s="65" t="s">
        <v>9322</v>
      </c>
      <c r="D917" s="66">
        <v>42936</v>
      </c>
      <c r="E917" s="65" t="s">
        <v>6809</v>
      </c>
      <c r="F917" s="79" t="s">
        <v>9323</v>
      </c>
      <c r="G917" s="61"/>
      <c r="I917" s="78"/>
    </row>
    <row r="918" spans="1:85" ht="14.25" customHeight="1" x14ac:dyDescent="0.2">
      <c r="A918" s="65" t="s">
        <v>9324</v>
      </c>
      <c r="B918" s="65" t="s">
        <v>9325</v>
      </c>
      <c r="C918" s="65" t="s">
        <v>9326</v>
      </c>
      <c r="D918" s="66">
        <v>42936</v>
      </c>
      <c r="E918" s="65" t="s">
        <v>6809</v>
      </c>
      <c r="F918" s="79" t="s">
        <v>6824</v>
      </c>
      <c r="G918" s="61"/>
      <c r="I918" s="78"/>
    </row>
    <row r="919" spans="1:85" ht="14.25" customHeight="1" x14ac:dyDescent="0.2">
      <c r="A919" s="65" t="s">
        <v>9327</v>
      </c>
      <c r="B919" s="65" t="s">
        <v>2191</v>
      </c>
      <c r="C919" s="65" t="s">
        <v>9328</v>
      </c>
      <c r="D919" s="66">
        <v>42936</v>
      </c>
      <c r="E919" s="65" t="s">
        <v>6809</v>
      </c>
      <c r="F919" s="79" t="s">
        <v>9329</v>
      </c>
      <c r="G919" s="61"/>
      <c r="I919" s="78"/>
    </row>
    <row r="920" spans="1:85" ht="14.25" customHeight="1" x14ac:dyDescent="0.2">
      <c r="A920" s="65" t="s">
        <v>9330</v>
      </c>
      <c r="B920" s="65" t="s">
        <v>8349</v>
      </c>
      <c r="C920" s="65" t="s">
        <v>8350</v>
      </c>
      <c r="D920" s="66">
        <v>42936</v>
      </c>
      <c r="E920" s="65" t="s">
        <v>6809</v>
      </c>
      <c r="F920" s="79" t="s">
        <v>9331</v>
      </c>
      <c r="G920" s="61"/>
      <c r="I920" s="78"/>
    </row>
    <row r="921" spans="1:85" ht="14.25" customHeight="1" x14ac:dyDescent="0.2">
      <c r="A921" s="65" t="s">
        <v>9332</v>
      </c>
      <c r="B921" s="65" t="s">
        <v>1695</v>
      </c>
      <c r="C921" s="65" t="s">
        <v>9333</v>
      </c>
      <c r="D921" s="66">
        <v>42935</v>
      </c>
      <c r="E921" s="65" t="s">
        <v>7915</v>
      </c>
      <c r="F921" s="79" t="s">
        <v>9334</v>
      </c>
      <c r="G921" s="61"/>
      <c r="I921" s="78"/>
    </row>
    <row r="922" spans="1:85" ht="14.25" customHeight="1" x14ac:dyDescent="0.2">
      <c r="A922" s="65" t="s">
        <v>9306</v>
      </c>
      <c r="B922" s="65" t="s">
        <v>9307</v>
      </c>
      <c r="C922" s="65" t="s">
        <v>9308</v>
      </c>
      <c r="D922" s="66">
        <v>42934</v>
      </c>
      <c r="E922" s="65" t="s">
        <v>6809</v>
      </c>
      <c r="F922" s="79" t="s">
        <v>6810</v>
      </c>
      <c r="G922" s="61"/>
      <c r="I922" s="78"/>
    </row>
    <row r="923" spans="1:85" ht="14.25" customHeight="1" x14ac:dyDescent="0.2">
      <c r="A923" s="65" t="s">
        <v>9335</v>
      </c>
      <c r="B923" s="65" t="s">
        <v>9336</v>
      </c>
      <c r="C923" s="65" t="s">
        <v>9337</v>
      </c>
      <c r="D923" s="66">
        <v>42934</v>
      </c>
      <c r="E923" s="65" t="s">
        <v>6809</v>
      </c>
      <c r="F923" s="79" t="s">
        <v>6824</v>
      </c>
      <c r="G923" s="61"/>
      <c r="I923" s="78"/>
    </row>
    <row r="924" spans="1:85" ht="14.25" customHeight="1" x14ac:dyDescent="0.2">
      <c r="A924" s="65">
        <v>99070112003</v>
      </c>
      <c r="B924" s="65" t="s">
        <v>8373</v>
      </c>
      <c r="C924" s="65" t="s">
        <v>9338</v>
      </c>
      <c r="D924" s="66">
        <v>42766</v>
      </c>
      <c r="E924" s="65" t="s">
        <v>6809</v>
      </c>
      <c r="F924" s="79" t="s">
        <v>9339</v>
      </c>
      <c r="G924" s="61"/>
      <c r="I924" s="78"/>
    </row>
    <row r="925" spans="1:85" s="62" customFormat="1" ht="14.25" customHeight="1" x14ac:dyDescent="0.2">
      <c r="A925" s="65" t="s">
        <v>9340</v>
      </c>
      <c r="B925" s="65" t="s">
        <v>9341</v>
      </c>
      <c r="C925" s="65" t="s">
        <v>9342</v>
      </c>
      <c r="D925" s="66">
        <v>42930</v>
      </c>
      <c r="E925" s="65" t="s">
        <v>6809</v>
      </c>
      <c r="F925" s="79" t="s">
        <v>6824</v>
      </c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 s="61"/>
      <c r="CF925" s="61"/>
      <c r="CG925" s="61"/>
    </row>
    <row r="926" spans="1:85" s="62" customFormat="1" ht="14.25" customHeight="1" x14ac:dyDescent="0.2">
      <c r="A926" s="65" t="s">
        <v>9343</v>
      </c>
      <c r="B926" s="65" t="s">
        <v>2139</v>
      </c>
      <c r="C926" s="65" t="s">
        <v>9344</v>
      </c>
      <c r="D926" s="66">
        <v>42930</v>
      </c>
      <c r="E926" s="65" t="s">
        <v>7915</v>
      </c>
      <c r="F926" s="79" t="s">
        <v>9345</v>
      </c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 s="61"/>
      <c r="CF926" s="61"/>
      <c r="CG926" s="61"/>
    </row>
    <row r="927" spans="1:85" s="62" customFormat="1" ht="14.25" customHeight="1" x14ac:dyDescent="0.2">
      <c r="A927" s="65" t="s">
        <v>9346</v>
      </c>
      <c r="B927" s="65" t="s">
        <v>1202</v>
      </c>
      <c r="C927" s="65" t="s">
        <v>9347</v>
      </c>
      <c r="D927" s="66">
        <v>42929</v>
      </c>
      <c r="E927" s="65" t="s">
        <v>7922</v>
      </c>
      <c r="F927" s="79" t="s">
        <v>6814</v>
      </c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 s="61"/>
      <c r="CF927" s="61"/>
      <c r="CG927" s="61"/>
    </row>
    <row r="928" spans="1:85" s="62" customFormat="1" ht="14.25" customHeight="1" x14ac:dyDescent="0.2">
      <c r="A928" s="65" t="s">
        <v>9348</v>
      </c>
      <c r="B928" s="65" t="s">
        <v>9349</v>
      </c>
      <c r="C928" s="65" t="s">
        <v>9350</v>
      </c>
      <c r="D928" s="66">
        <v>42929</v>
      </c>
      <c r="E928" s="65" t="s">
        <v>6809</v>
      </c>
      <c r="F928" s="79" t="s">
        <v>6824</v>
      </c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 s="61"/>
      <c r="CF928" s="61"/>
      <c r="CG928" s="61"/>
    </row>
    <row r="929" spans="1:85" s="62" customFormat="1" ht="14.25" customHeight="1" x14ac:dyDescent="0.2">
      <c r="A929" s="65" t="s">
        <v>9351</v>
      </c>
      <c r="B929" s="65" t="s">
        <v>9352</v>
      </c>
      <c r="C929" s="65" t="s">
        <v>9353</v>
      </c>
      <c r="D929" s="66">
        <v>42929</v>
      </c>
      <c r="E929" s="65" t="s">
        <v>7915</v>
      </c>
      <c r="F929" s="79" t="s">
        <v>9354</v>
      </c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 s="61"/>
      <c r="CF929" s="61"/>
      <c r="CG929" s="61"/>
    </row>
    <row r="930" spans="1:85" s="62" customFormat="1" ht="14.25" customHeight="1" x14ac:dyDescent="0.2">
      <c r="A930" s="65" t="s">
        <v>9355</v>
      </c>
      <c r="B930" s="65" t="s">
        <v>1821</v>
      </c>
      <c r="C930" s="65" t="s">
        <v>9356</v>
      </c>
      <c r="D930" s="66">
        <v>42929</v>
      </c>
      <c r="E930" s="65" t="s">
        <v>6809</v>
      </c>
      <c r="F930" s="79" t="s">
        <v>6810</v>
      </c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 s="61"/>
      <c r="CF930" s="61"/>
      <c r="CG930" s="61"/>
    </row>
    <row r="931" spans="1:85" s="62" customFormat="1" ht="14.25" customHeight="1" x14ac:dyDescent="0.2">
      <c r="A931" s="65" t="s">
        <v>9357</v>
      </c>
      <c r="B931" s="65" t="s">
        <v>9358</v>
      </c>
      <c r="C931" s="65" t="s">
        <v>9359</v>
      </c>
      <c r="D931" s="66">
        <v>42929</v>
      </c>
      <c r="E931" s="65" t="s">
        <v>6809</v>
      </c>
      <c r="F931" s="79" t="s">
        <v>6810</v>
      </c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 s="61"/>
      <c r="CF931" s="61"/>
      <c r="CG931" s="61"/>
    </row>
    <row r="932" spans="1:85" s="62" customFormat="1" ht="14.25" customHeight="1" x14ac:dyDescent="0.2">
      <c r="A932" s="65" t="s">
        <v>9360</v>
      </c>
      <c r="B932" s="65" t="s">
        <v>9361</v>
      </c>
      <c r="C932" s="65" t="s">
        <v>9362</v>
      </c>
      <c r="D932" s="66">
        <v>42929</v>
      </c>
      <c r="E932" s="65" t="s">
        <v>6809</v>
      </c>
      <c r="F932" s="79" t="s">
        <v>6810</v>
      </c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 s="61"/>
      <c r="CF932" s="61"/>
      <c r="CG932" s="61"/>
    </row>
    <row r="933" spans="1:85" s="62" customFormat="1" ht="14.25" customHeight="1" x14ac:dyDescent="0.2">
      <c r="A933" s="65" t="s">
        <v>9363</v>
      </c>
      <c r="B933" s="65" t="s">
        <v>9364</v>
      </c>
      <c r="C933" s="65" t="s">
        <v>9365</v>
      </c>
      <c r="D933" s="66">
        <v>42929</v>
      </c>
      <c r="E933" s="65" t="s">
        <v>6809</v>
      </c>
      <c r="F933" s="79" t="s">
        <v>6810</v>
      </c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 s="61"/>
      <c r="CF933" s="61"/>
      <c r="CG933" s="61"/>
    </row>
    <row r="934" spans="1:85" s="62" customFormat="1" ht="14.25" customHeight="1" x14ac:dyDescent="0.2">
      <c r="A934" s="65" t="s">
        <v>9366</v>
      </c>
      <c r="B934" s="65" t="s">
        <v>9367</v>
      </c>
      <c r="C934" s="65" t="s">
        <v>9368</v>
      </c>
      <c r="D934" s="66">
        <v>42929</v>
      </c>
      <c r="E934" s="65" t="s">
        <v>6809</v>
      </c>
      <c r="F934" s="79" t="s">
        <v>6810</v>
      </c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 s="61"/>
      <c r="CF934" s="61"/>
      <c r="CG934" s="61"/>
    </row>
    <row r="935" spans="1:85" s="62" customFormat="1" ht="14.25" customHeight="1" x14ac:dyDescent="0.2">
      <c r="A935" s="65" t="s">
        <v>9369</v>
      </c>
      <c r="B935" s="65" t="s">
        <v>9370</v>
      </c>
      <c r="C935" s="65" t="s">
        <v>9371</v>
      </c>
      <c r="D935" s="66">
        <v>42928</v>
      </c>
      <c r="E935" s="65" t="s">
        <v>6809</v>
      </c>
      <c r="F935" s="79" t="s">
        <v>6810</v>
      </c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 s="61"/>
      <c r="CF935" s="61"/>
      <c r="CG935" s="61"/>
    </row>
    <row r="936" spans="1:85" s="62" customFormat="1" ht="14.25" customHeight="1" x14ac:dyDescent="0.2">
      <c r="A936" s="65" t="s">
        <v>9372</v>
      </c>
      <c r="B936" s="65" t="s">
        <v>9373</v>
      </c>
      <c r="C936" s="65" t="s">
        <v>9374</v>
      </c>
      <c r="D936" s="66">
        <v>42928</v>
      </c>
      <c r="E936" s="65" t="s">
        <v>6809</v>
      </c>
      <c r="F936" s="79" t="s">
        <v>6810</v>
      </c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 s="61"/>
      <c r="CF936" s="61"/>
      <c r="CG936" s="61"/>
    </row>
    <row r="937" spans="1:85" s="62" customFormat="1" ht="14.25" customHeight="1" x14ac:dyDescent="0.2">
      <c r="A937" s="65" t="s">
        <v>9375</v>
      </c>
      <c r="B937" s="65" t="s">
        <v>276</v>
      </c>
      <c r="C937" s="65" t="s">
        <v>7425</v>
      </c>
      <c r="D937" s="66">
        <v>42927</v>
      </c>
      <c r="E937" s="65" t="s">
        <v>7915</v>
      </c>
      <c r="F937" s="79" t="s">
        <v>9376</v>
      </c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 s="61"/>
      <c r="CF937" s="61"/>
      <c r="CG937" s="61"/>
    </row>
    <row r="938" spans="1:85" s="62" customFormat="1" ht="14.25" customHeight="1" x14ac:dyDescent="0.2">
      <c r="A938" s="65" t="s">
        <v>9377</v>
      </c>
      <c r="B938" s="65" t="s">
        <v>2077</v>
      </c>
      <c r="C938" s="65" t="s">
        <v>8621</v>
      </c>
      <c r="D938" s="66">
        <v>42926</v>
      </c>
      <c r="E938" s="65" t="s">
        <v>7915</v>
      </c>
      <c r="F938" s="79" t="s">
        <v>9378</v>
      </c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 s="61"/>
      <c r="CF938" s="61"/>
      <c r="CG938" s="61"/>
    </row>
    <row r="939" spans="1:85" s="62" customFormat="1" ht="14.25" customHeight="1" x14ac:dyDescent="0.2">
      <c r="A939" s="65" t="s">
        <v>9379</v>
      </c>
      <c r="B939" s="65" t="s">
        <v>7762</v>
      </c>
      <c r="C939" s="65" t="s">
        <v>9380</v>
      </c>
      <c r="D939" s="66">
        <v>42922</v>
      </c>
      <c r="E939" s="65" t="s">
        <v>6809</v>
      </c>
      <c r="F939" s="79" t="s">
        <v>9381</v>
      </c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 s="61"/>
      <c r="CF939" s="61"/>
      <c r="CG939" s="61"/>
    </row>
    <row r="940" spans="1:85" s="62" customFormat="1" ht="14.25" customHeight="1" x14ac:dyDescent="0.2">
      <c r="A940" s="65" t="s">
        <v>9382</v>
      </c>
      <c r="B940" s="65" t="s">
        <v>4084</v>
      </c>
      <c r="C940" s="65" t="s">
        <v>9383</v>
      </c>
      <c r="D940" s="66">
        <v>42922</v>
      </c>
      <c r="E940" s="65" t="s">
        <v>289</v>
      </c>
      <c r="F940" s="79" t="s">
        <v>9384</v>
      </c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 s="61"/>
      <c r="CF940" s="61"/>
      <c r="CG940" s="61"/>
    </row>
    <row r="941" spans="1:85" s="62" customFormat="1" ht="14.25" customHeight="1" x14ac:dyDescent="0.2">
      <c r="A941" s="65" t="s">
        <v>9385</v>
      </c>
      <c r="B941" s="65" t="s">
        <v>9386</v>
      </c>
      <c r="C941" s="65" t="s">
        <v>9387</v>
      </c>
      <c r="D941" s="66">
        <v>42922</v>
      </c>
      <c r="E941" s="65" t="s">
        <v>6809</v>
      </c>
      <c r="F941" s="79" t="s">
        <v>6810</v>
      </c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 s="61"/>
      <c r="CF941" s="61"/>
      <c r="CG941" s="61"/>
    </row>
    <row r="942" spans="1:85" s="62" customFormat="1" ht="14.25" customHeight="1" x14ac:dyDescent="0.2">
      <c r="A942" s="65" t="s">
        <v>9388</v>
      </c>
      <c r="B942" s="65" t="s">
        <v>9389</v>
      </c>
      <c r="C942" s="65" t="s">
        <v>9390</v>
      </c>
      <c r="D942" s="66">
        <v>42921</v>
      </c>
      <c r="E942" s="65" t="s">
        <v>289</v>
      </c>
      <c r="F942" s="79" t="s">
        <v>9391</v>
      </c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 s="61"/>
      <c r="CF942" s="61"/>
      <c r="CG942" s="61"/>
    </row>
    <row r="943" spans="1:85" s="62" customFormat="1" ht="14.25" customHeight="1" x14ac:dyDescent="0.2">
      <c r="A943" s="65" t="s">
        <v>9392</v>
      </c>
      <c r="B943" s="65" t="s">
        <v>362</v>
      </c>
      <c r="C943" s="65" t="s">
        <v>9393</v>
      </c>
      <c r="D943" s="66">
        <v>42921</v>
      </c>
      <c r="E943" s="65" t="s">
        <v>7915</v>
      </c>
      <c r="F943" s="79" t="s">
        <v>9394</v>
      </c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 s="61"/>
      <c r="CF943" s="61"/>
      <c r="CG943" s="61"/>
    </row>
    <row r="944" spans="1:85" s="62" customFormat="1" ht="14.25" customHeight="1" x14ac:dyDescent="0.2">
      <c r="A944" s="65" t="s">
        <v>9395</v>
      </c>
      <c r="B944" s="65" t="s">
        <v>9396</v>
      </c>
      <c r="C944" s="65" t="s">
        <v>9397</v>
      </c>
      <c r="D944" s="66">
        <v>42921</v>
      </c>
      <c r="E944" s="65" t="s">
        <v>6809</v>
      </c>
      <c r="F944" s="79" t="s">
        <v>6810</v>
      </c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 s="61"/>
      <c r="CF944" s="61"/>
      <c r="CG944" s="61"/>
    </row>
    <row r="945" spans="1:85" s="62" customFormat="1" ht="14.25" customHeight="1" x14ac:dyDescent="0.2">
      <c r="A945" s="65" t="s">
        <v>9398</v>
      </c>
      <c r="B945" s="65" t="s">
        <v>9399</v>
      </c>
      <c r="C945" s="65" t="s">
        <v>9400</v>
      </c>
      <c r="D945" s="66">
        <v>42920</v>
      </c>
      <c r="E945" s="65" t="s">
        <v>6809</v>
      </c>
      <c r="F945" s="79" t="s">
        <v>6824</v>
      </c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 s="61"/>
      <c r="CF945" s="61"/>
      <c r="CG945" s="61"/>
    </row>
    <row r="946" spans="1:85" s="62" customFormat="1" ht="14.25" customHeight="1" x14ac:dyDescent="0.2">
      <c r="A946" s="65" t="s">
        <v>9401</v>
      </c>
      <c r="B946" s="65" t="s">
        <v>8385</v>
      </c>
      <c r="C946" s="65" t="s">
        <v>8386</v>
      </c>
      <c r="D946" s="66">
        <v>42916</v>
      </c>
      <c r="E946" s="65" t="s">
        <v>289</v>
      </c>
      <c r="F946" s="79" t="s">
        <v>9402</v>
      </c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 s="61"/>
      <c r="CF946" s="61"/>
      <c r="CG946" s="61"/>
    </row>
    <row r="947" spans="1:85" s="62" customFormat="1" ht="14.25" customHeight="1" x14ac:dyDescent="0.2">
      <c r="A947" s="65" t="s">
        <v>9403</v>
      </c>
      <c r="B947" s="65" t="s">
        <v>2277</v>
      </c>
      <c r="C947" s="65" t="s">
        <v>9404</v>
      </c>
      <c r="D947" s="66">
        <v>42915</v>
      </c>
      <c r="E947" s="65" t="s">
        <v>289</v>
      </c>
      <c r="F947" s="79" t="s">
        <v>9405</v>
      </c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 s="61"/>
      <c r="CF947" s="61"/>
      <c r="CG947" s="61"/>
    </row>
    <row r="948" spans="1:85" s="62" customFormat="1" ht="14.25" customHeight="1" x14ac:dyDescent="0.2">
      <c r="A948" s="65" t="s">
        <v>9406</v>
      </c>
      <c r="B948" s="65" t="s">
        <v>7895</v>
      </c>
      <c r="C948" s="65" t="s">
        <v>9407</v>
      </c>
      <c r="D948" s="66">
        <v>42915</v>
      </c>
      <c r="E948" s="65" t="s">
        <v>289</v>
      </c>
      <c r="F948" s="79" t="s">
        <v>9408</v>
      </c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 s="61"/>
      <c r="CF948" s="61"/>
      <c r="CG948" s="61"/>
    </row>
    <row r="949" spans="1:85" s="62" customFormat="1" ht="14.25" customHeight="1" x14ac:dyDescent="0.2">
      <c r="A949" s="65" t="s">
        <v>9409</v>
      </c>
      <c r="B949" s="65" t="s">
        <v>1731</v>
      </c>
      <c r="C949" s="65" t="s">
        <v>9410</v>
      </c>
      <c r="D949" s="66">
        <v>42914</v>
      </c>
      <c r="E949" s="65" t="s">
        <v>7915</v>
      </c>
      <c r="F949" s="79" t="s">
        <v>9411</v>
      </c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 s="61"/>
      <c r="CF949" s="61"/>
      <c r="CG949" s="61"/>
    </row>
    <row r="950" spans="1:85" s="62" customFormat="1" ht="14.25" customHeight="1" x14ac:dyDescent="0.2">
      <c r="A950" s="65" t="s">
        <v>9412</v>
      </c>
      <c r="B950" s="65" t="s">
        <v>9413</v>
      </c>
      <c r="C950" s="65" t="s">
        <v>9414</v>
      </c>
      <c r="D950" s="66">
        <v>42914</v>
      </c>
      <c r="E950" s="65" t="s">
        <v>1037</v>
      </c>
      <c r="F950" s="79" t="s">
        <v>6824</v>
      </c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 s="61"/>
      <c r="CF950" s="61"/>
      <c r="CG950" s="61"/>
    </row>
    <row r="951" spans="1:85" s="62" customFormat="1" ht="14.25" customHeight="1" x14ac:dyDescent="0.2">
      <c r="A951" s="65" t="s">
        <v>9415</v>
      </c>
      <c r="B951" s="65" t="s">
        <v>9416</v>
      </c>
      <c r="C951" s="65" t="s">
        <v>9417</v>
      </c>
      <c r="D951" s="66">
        <v>42913</v>
      </c>
      <c r="E951" s="65" t="s">
        <v>6809</v>
      </c>
      <c r="F951" s="79" t="s">
        <v>6810</v>
      </c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 s="61"/>
      <c r="CF951" s="61"/>
      <c r="CG951" s="61"/>
    </row>
    <row r="952" spans="1:85" s="62" customFormat="1" ht="14.25" customHeight="1" x14ac:dyDescent="0.2">
      <c r="A952" s="65" t="s">
        <v>9418</v>
      </c>
      <c r="B952" s="65" t="s">
        <v>9419</v>
      </c>
      <c r="C952" s="65" t="s">
        <v>9420</v>
      </c>
      <c r="D952" s="66">
        <v>42913</v>
      </c>
      <c r="E952" s="65" t="s">
        <v>6809</v>
      </c>
      <c r="F952" s="79" t="s">
        <v>6810</v>
      </c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 s="61"/>
      <c r="CF952" s="61"/>
      <c r="CG952" s="61"/>
    </row>
    <row r="953" spans="1:85" s="62" customFormat="1" ht="14.25" customHeight="1" x14ac:dyDescent="0.2">
      <c r="A953" s="65" t="s">
        <v>9421</v>
      </c>
      <c r="B953" s="65" t="s">
        <v>9422</v>
      </c>
      <c r="C953" s="65" t="s">
        <v>9423</v>
      </c>
      <c r="D953" s="66">
        <v>42913</v>
      </c>
      <c r="E953" s="65" t="s">
        <v>6809</v>
      </c>
      <c r="F953" s="79" t="s">
        <v>6810</v>
      </c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 s="61"/>
      <c r="CF953" s="61"/>
      <c r="CG953" s="61"/>
    </row>
    <row r="954" spans="1:85" s="62" customFormat="1" ht="14.25" customHeight="1" x14ac:dyDescent="0.2">
      <c r="A954" s="65" t="s">
        <v>9424</v>
      </c>
      <c r="B954" s="65" t="s">
        <v>7384</v>
      </c>
      <c r="C954" s="65" t="s">
        <v>9425</v>
      </c>
      <c r="D954" s="66">
        <v>42913</v>
      </c>
      <c r="E954" s="65" t="s">
        <v>6809</v>
      </c>
      <c r="F954" s="79" t="s">
        <v>6810</v>
      </c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 s="61"/>
      <c r="CF954" s="61"/>
      <c r="CG954" s="61"/>
    </row>
    <row r="955" spans="1:85" s="62" customFormat="1" ht="14.25" customHeight="1" x14ac:dyDescent="0.2">
      <c r="A955" s="65" t="s">
        <v>9426</v>
      </c>
      <c r="B955" s="65" t="s">
        <v>3843</v>
      </c>
      <c r="C955" s="65" t="s">
        <v>9427</v>
      </c>
      <c r="D955" s="66">
        <v>42913</v>
      </c>
      <c r="E955" s="65" t="s">
        <v>6809</v>
      </c>
      <c r="F955" s="79" t="s">
        <v>6810</v>
      </c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 s="61"/>
      <c r="CF955" s="61"/>
      <c r="CG955" s="61"/>
    </row>
    <row r="956" spans="1:85" s="62" customFormat="1" ht="14.25" customHeight="1" x14ac:dyDescent="0.2">
      <c r="A956" s="65" t="s">
        <v>9428</v>
      </c>
      <c r="B956" s="65" t="s">
        <v>9429</v>
      </c>
      <c r="C956" s="65" t="s">
        <v>9430</v>
      </c>
      <c r="D956" s="66">
        <v>42913</v>
      </c>
      <c r="E956" s="65" t="s">
        <v>6809</v>
      </c>
      <c r="F956" s="79" t="s">
        <v>6810</v>
      </c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 s="61"/>
      <c r="CF956" s="61"/>
      <c r="CG956" s="61"/>
    </row>
    <row r="957" spans="1:85" s="62" customFormat="1" ht="14.25" customHeight="1" x14ac:dyDescent="0.2">
      <c r="A957" s="65" t="s">
        <v>9431</v>
      </c>
      <c r="B957" s="65" t="s">
        <v>9432</v>
      </c>
      <c r="C957" s="65" t="s">
        <v>9433</v>
      </c>
      <c r="D957" s="66">
        <v>42913</v>
      </c>
      <c r="E957" s="65" t="s">
        <v>6809</v>
      </c>
      <c r="F957" s="79" t="s">
        <v>6810</v>
      </c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 s="61"/>
      <c r="CF957" s="61"/>
      <c r="CG957" s="61"/>
    </row>
    <row r="958" spans="1:85" s="62" customFormat="1" ht="14.25" customHeight="1" x14ac:dyDescent="0.2">
      <c r="A958" s="65" t="s">
        <v>9434</v>
      </c>
      <c r="B958" s="65" t="s">
        <v>9435</v>
      </c>
      <c r="C958" s="65" t="s">
        <v>9436</v>
      </c>
      <c r="D958" s="66">
        <v>42913</v>
      </c>
      <c r="E958" s="65" t="s">
        <v>6809</v>
      </c>
      <c r="F958" s="79" t="s">
        <v>6810</v>
      </c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 s="61"/>
      <c r="CF958" s="61"/>
      <c r="CG958" s="61"/>
    </row>
    <row r="959" spans="1:85" s="62" customFormat="1" ht="14.25" customHeight="1" x14ac:dyDescent="0.2">
      <c r="A959" s="65" t="s">
        <v>9437</v>
      </c>
      <c r="B959" s="65" t="s">
        <v>9438</v>
      </c>
      <c r="C959" s="65" t="s">
        <v>9439</v>
      </c>
      <c r="D959" s="66">
        <v>42913</v>
      </c>
      <c r="E959" s="65" t="s">
        <v>6809</v>
      </c>
      <c r="F959" s="79" t="s">
        <v>6810</v>
      </c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 s="61"/>
      <c r="CF959" s="61"/>
      <c r="CG959" s="61"/>
    </row>
    <row r="960" spans="1:85" s="62" customFormat="1" ht="14.25" customHeight="1" x14ac:dyDescent="0.2">
      <c r="A960" s="65" t="s">
        <v>9440</v>
      </c>
      <c r="B960" s="65" t="s">
        <v>9441</v>
      </c>
      <c r="C960" s="65" t="s">
        <v>9442</v>
      </c>
      <c r="D960" s="66">
        <v>42913</v>
      </c>
      <c r="E960" s="65" t="s">
        <v>6809</v>
      </c>
      <c r="F960" s="79" t="s">
        <v>6810</v>
      </c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 s="61"/>
      <c r="CF960" s="61"/>
      <c r="CG960" s="61"/>
    </row>
    <row r="961" spans="1:85" s="62" customFormat="1" ht="14.25" customHeight="1" x14ac:dyDescent="0.2">
      <c r="A961" s="65" t="s">
        <v>9443</v>
      </c>
      <c r="B961" s="65" t="s">
        <v>9444</v>
      </c>
      <c r="C961" s="65" t="s">
        <v>9445</v>
      </c>
      <c r="D961" s="66">
        <v>42913</v>
      </c>
      <c r="E961" s="65" t="s">
        <v>6809</v>
      </c>
      <c r="F961" s="79" t="s">
        <v>6810</v>
      </c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 s="61"/>
      <c r="CF961" s="61"/>
      <c r="CG961" s="61"/>
    </row>
    <row r="962" spans="1:85" s="62" customFormat="1" ht="14.25" customHeight="1" x14ac:dyDescent="0.2">
      <c r="A962" s="65" t="s">
        <v>9446</v>
      </c>
      <c r="B962" s="65" t="s">
        <v>9447</v>
      </c>
      <c r="C962" s="65" t="s">
        <v>9448</v>
      </c>
      <c r="D962" s="66">
        <v>42913</v>
      </c>
      <c r="E962" s="65" t="s">
        <v>6809</v>
      </c>
      <c r="F962" s="79" t="s">
        <v>6810</v>
      </c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 s="61"/>
      <c r="CF962" s="61"/>
      <c r="CG962" s="61"/>
    </row>
    <row r="963" spans="1:85" s="62" customFormat="1" ht="14.25" customHeight="1" x14ac:dyDescent="0.2">
      <c r="A963" s="65" t="s">
        <v>9449</v>
      </c>
      <c r="B963" s="65" t="s">
        <v>9450</v>
      </c>
      <c r="C963" s="65" t="s">
        <v>9451</v>
      </c>
      <c r="D963" s="66">
        <v>42913</v>
      </c>
      <c r="E963" s="65" t="s">
        <v>6809</v>
      </c>
      <c r="F963" s="79" t="s">
        <v>6810</v>
      </c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 s="61"/>
      <c r="CF963" s="61"/>
      <c r="CG963" s="61"/>
    </row>
    <row r="964" spans="1:85" s="62" customFormat="1" ht="14.25" customHeight="1" x14ac:dyDescent="0.2">
      <c r="A964" s="65" t="s">
        <v>9452</v>
      </c>
      <c r="B964" s="65" t="s">
        <v>9453</v>
      </c>
      <c r="C964" s="65" t="s">
        <v>9454</v>
      </c>
      <c r="D964" s="66">
        <v>42913</v>
      </c>
      <c r="E964" s="65" t="s">
        <v>6809</v>
      </c>
      <c r="F964" s="79" t="s">
        <v>6810</v>
      </c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 s="61"/>
      <c r="CF964" s="61"/>
      <c r="CG964" s="61"/>
    </row>
    <row r="965" spans="1:85" s="62" customFormat="1" ht="14.25" customHeight="1" x14ac:dyDescent="0.2">
      <c r="A965" s="65" t="s">
        <v>9455</v>
      </c>
      <c r="B965" s="65" t="s">
        <v>1719</v>
      </c>
      <c r="C965" s="65" t="s">
        <v>9456</v>
      </c>
      <c r="D965" s="66">
        <v>42907</v>
      </c>
      <c r="E965" s="65" t="s">
        <v>7915</v>
      </c>
      <c r="F965" s="79" t="s">
        <v>9457</v>
      </c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 s="61"/>
      <c r="CF965" s="61"/>
      <c r="CG965" s="61"/>
    </row>
    <row r="966" spans="1:85" s="62" customFormat="1" ht="14.25" customHeight="1" x14ac:dyDescent="0.2">
      <c r="A966" s="65" t="s">
        <v>9458</v>
      </c>
      <c r="B966" s="65" t="s">
        <v>9459</v>
      </c>
      <c r="C966" s="65" t="s">
        <v>9460</v>
      </c>
      <c r="D966" s="66">
        <v>42907</v>
      </c>
      <c r="E966" s="65" t="s">
        <v>6809</v>
      </c>
      <c r="F966" s="79" t="s">
        <v>6824</v>
      </c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 s="61"/>
      <c r="CF966" s="61"/>
      <c r="CG966" s="61"/>
    </row>
    <row r="967" spans="1:85" s="62" customFormat="1" ht="14.25" customHeight="1" x14ac:dyDescent="0.2">
      <c r="A967" s="65" t="s">
        <v>9461</v>
      </c>
      <c r="B967" s="65" t="s">
        <v>9462</v>
      </c>
      <c r="C967" s="65" t="s">
        <v>9463</v>
      </c>
      <c r="D967" s="66">
        <v>42907</v>
      </c>
      <c r="E967" s="65" t="s">
        <v>6809</v>
      </c>
      <c r="F967" s="79" t="s">
        <v>6824</v>
      </c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 s="61"/>
      <c r="CF967" s="61"/>
      <c r="CG967" s="61"/>
    </row>
    <row r="968" spans="1:85" s="62" customFormat="1" ht="14.25" customHeight="1" x14ac:dyDescent="0.2">
      <c r="A968" s="65" t="s">
        <v>9464</v>
      </c>
      <c r="B968" s="65" t="s">
        <v>9465</v>
      </c>
      <c r="C968" s="65" t="s">
        <v>9466</v>
      </c>
      <c r="D968" s="66">
        <v>42907</v>
      </c>
      <c r="E968" s="65" t="s">
        <v>7915</v>
      </c>
      <c r="F968" s="79" t="s">
        <v>9467</v>
      </c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 s="61"/>
      <c r="CF968" s="61"/>
      <c r="CG968" s="61"/>
    </row>
    <row r="969" spans="1:85" s="62" customFormat="1" ht="14.25" customHeight="1" x14ac:dyDescent="0.2">
      <c r="A969" s="65" t="s">
        <v>9468</v>
      </c>
      <c r="B969" s="65" t="s">
        <v>3560</v>
      </c>
      <c r="C969" s="65" t="s">
        <v>9469</v>
      </c>
      <c r="D969" s="66">
        <v>42907</v>
      </c>
      <c r="E969" s="65" t="s">
        <v>6809</v>
      </c>
      <c r="F969" s="79" t="s">
        <v>9470</v>
      </c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 s="61"/>
      <c r="CF969" s="61"/>
      <c r="CG969" s="61"/>
    </row>
    <row r="970" spans="1:85" s="62" customFormat="1" ht="14.25" customHeight="1" x14ac:dyDescent="0.2">
      <c r="A970" s="65" t="s">
        <v>9471</v>
      </c>
      <c r="B970" s="65" t="s">
        <v>5210</v>
      </c>
      <c r="C970" s="65" t="s">
        <v>9472</v>
      </c>
      <c r="D970" s="66">
        <v>42907</v>
      </c>
      <c r="E970" s="65" t="s">
        <v>7915</v>
      </c>
      <c r="F970" s="79" t="s">
        <v>9473</v>
      </c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 s="61"/>
      <c r="CF970" s="61"/>
      <c r="CG970" s="61"/>
    </row>
    <row r="971" spans="1:85" s="62" customFormat="1" ht="14.25" customHeight="1" x14ac:dyDescent="0.2">
      <c r="A971" s="65" t="s">
        <v>9474</v>
      </c>
      <c r="B971" s="65" t="s">
        <v>3733</v>
      </c>
      <c r="C971" s="65" t="s">
        <v>9475</v>
      </c>
      <c r="D971" s="66">
        <v>42892</v>
      </c>
      <c r="E971" s="65" t="s">
        <v>6809</v>
      </c>
      <c r="F971" s="79" t="s">
        <v>9476</v>
      </c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 s="61"/>
      <c r="CF971" s="61"/>
      <c r="CG971" s="61"/>
    </row>
    <row r="972" spans="1:85" s="62" customFormat="1" ht="14.25" customHeight="1" x14ac:dyDescent="0.2">
      <c r="A972" s="65" t="s">
        <v>9477</v>
      </c>
      <c r="B972" s="65" t="s">
        <v>8029</v>
      </c>
      <c r="C972" s="65" t="s">
        <v>9478</v>
      </c>
      <c r="D972" s="66">
        <v>42906</v>
      </c>
      <c r="E972" s="65" t="s">
        <v>7915</v>
      </c>
      <c r="F972" s="79" t="s">
        <v>9479</v>
      </c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 s="61"/>
      <c r="CF972" s="61"/>
      <c r="CG972" s="61"/>
    </row>
    <row r="973" spans="1:85" s="62" customFormat="1" ht="14.25" customHeight="1" x14ac:dyDescent="0.2">
      <c r="A973" s="65" t="s">
        <v>9480</v>
      </c>
      <c r="B973" s="65" t="s">
        <v>3556</v>
      </c>
      <c r="C973" s="65" t="s">
        <v>9481</v>
      </c>
      <c r="D973" s="66">
        <v>42906</v>
      </c>
      <c r="E973" s="65" t="s">
        <v>7915</v>
      </c>
      <c r="F973" s="79" t="s">
        <v>9482</v>
      </c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 s="61"/>
      <c r="CF973" s="61"/>
      <c r="CG973" s="61"/>
    </row>
    <row r="974" spans="1:85" s="62" customFormat="1" ht="14.25" customHeight="1" x14ac:dyDescent="0.2">
      <c r="A974" s="65" t="s">
        <v>9483</v>
      </c>
      <c r="B974" s="65" t="s">
        <v>5198</v>
      </c>
      <c r="C974" s="65" t="s">
        <v>9484</v>
      </c>
      <c r="D974" s="66">
        <v>42906</v>
      </c>
      <c r="E974" s="65" t="s">
        <v>7915</v>
      </c>
      <c r="F974" s="79" t="s">
        <v>9485</v>
      </c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 s="61"/>
      <c r="CF974" s="61"/>
      <c r="CG974" s="61"/>
    </row>
    <row r="975" spans="1:85" s="62" customFormat="1" ht="14.25" customHeight="1" x14ac:dyDescent="0.2">
      <c r="A975" s="65" t="s">
        <v>9486</v>
      </c>
      <c r="B975" s="65" t="s">
        <v>9487</v>
      </c>
      <c r="C975" s="65" t="s">
        <v>9488</v>
      </c>
      <c r="D975" s="66">
        <v>42906</v>
      </c>
      <c r="E975" s="65" t="s">
        <v>6809</v>
      </c>
      <c r="F975" s="79" t="s">
        <v>6824</v>
      </c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 s="61"/>
      <c r="CF975" s="61"/>
      <c r="CG975" s="61"/>
    </row>
    <row r="976" spans="1:85" s="62" customFormat="1" ht="14.25" customHeight="1" x14ac:dyDescent="0.2">
      <c r="A976" s="65" t="s">
        <v>9489</v>
      </c>
      <c r="B976" s="65" t="s">
        <v>9490</v>
      </c>
      <c r="C976" s="65" t="s">
        <v>9491</v>
      </c>
      <c r="D976" s="66">
        <v>42899</v>
      </c>
      <c r="E976" s="65" t="s">
        <v>7915</v>
      </c>
      <c r="F976" s="79" t="s">
        <v>9492</v>
      </c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 s="61"/>
      <c r="CF976" s="61"/>
      <c r="CG976" s="61"/>
    </row>
    <row r="977" spans="1:85" s="62" customFormat="1" ht="14.25" customHeight="1" x14ac:dyDescent="0.2">
      <c r="A977" s="65" t="s">
        <v>9493</v>
      </c>
      <c r="B977" s="65" t="s">
        <v>9494</v>
      </c>
      <c r="C977" s="65" t="s">
        <v>9495</v>
      </c>
      <c r="D977" s="66">
        <v>42893</v>
      </c>
      <c r="E977" s="65" t="s">
        <v>6809</v>
      </c>
      <c r="F977" s="79" t="s">
        <v>6810</v>
      </c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 s="61"/>
      <c r="CF977" s="61"/>
      <c r="CG977" s="61"/>
    </row>
    <row r="978" spans="1:85" s="62" customFormat="1" ht="14.25" customHeight="1" x14ac:dyDescent="0.2">
      <c r="A978" s="65" t="s">
        <v>9496</v>
      </c>
      <c r="B978" s="65" t="s">
        <v>9497</v>
      </c>
      <c r="C978" s="65" t="s">
        <v>9498</v>
      </c>
      <c r="D978" s="66">
        <v>42892</v>
      </c>
      <c r="E978" s="65" t="s">
        <v>6809</v>
      </c>
      <c r="F978" s="79" t="s">
        <v>9499</v>
      </c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 s="61"/>
      <c r="CF978" s="61"/>
      <c r="CG978" s="61"/>
    </row>
    <row r="979" spans="1:85" s="62" customFormat="1" ht="14.25" customHeight="1" x14ac:dyDescent="0.2">
      <c r="A979" s="65" t="s">
        <v>9500</v>
      </c>
      <c r="B979" s="65" t="s">
        <v>9501</v>
      </c>
      <c r="C979" s="65" t="s">
        <v>9502</v>
      </c>
      <c r="D979" s="66">
        <v>42892</v>
      </c>
      <c r="E979" s="65" t="s">
        <v>6809</v>
      </c>
      <c r="F979" s="79" t="s">
        <v>9499</v>
      </c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 s="61"/>
      <c r="CF979" s="61"/>
      <c r="CG979" s="61"/>
    </row>
    <row r="980" spans="1:85" s="62" customFormat="1" ht="14.25" customHeight="1" x14ac:dyDescent="0.2">
      <c r="A980" s="65" t="s">
        <v>9503</v>
      </c>
      <c r="B980" s="65" t="s">
        <v>9504</v>
      </c>
      <c r="C980" s="65" t="s">
        <v>9505</v>
      </c>
      <c r="D980" s="66">
        <v>42892</v>
      </c>
      <c r="E980" s="65" t="s">
        <v>6809</v>
      </c>
      <c r="F980" s="79" t="s">
        <v>9499</v>
      </c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 s="61"/>
      <c r="CF980" s="61"/>
      <c r="CG980" s="61"/>
    </row>
    <row r="981" spans="1:85" s="62" customFormat="1" ht="14.25" customHeight="1" x14ac:dyDescent="0.2">
      <c r="A981" s="65" t="s">
        <v>9506</v>
      </c>
      <c r="B981" s="65" t="s">
        <v>9507</v>
      </c>
      <c r="C981" s="65" t="s">
        <v>9508</v>
      </c>
      <c r="D981" s="66">
        <v>42892</v>
      </c>
      <c r="E981" s="65" t="s">
        <v>6809</v>
      </c>
      <c r="F981" s="79" t="s">
        <v>6810</v>
      </c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 s="61"/>
      <c r="CF981" s="61"/>
      <c r="CG981" s="61"/>
    </row>
    <row r="982" spans="1:85" s="62" customFormat="1" ht="14.25" customHeight="1" x14ac:dyDescent="0.2">
      <c r="A982" s="65" t="s">
        <v>9509</v>
      </c>
      <c r="B982" s="65" t="s">
        <v>9510</v>
      </c>
      <c r="C982" s="65" t="s">
        <v>9511</v>
      </c>
      <c r="D982" s="66">
        <v>42892</v>
      </c>
      <c r="E982" s="65" t="s">
        <v>6809</v>
      </c>
      <c r="F982" s="79" t="s">
        <v>6814</v>
      </c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 s="61"/>
      <c r="CF982" s="61"/>
      <c r="CG982" s="61"/>
    </row>
    <row r="983" spans="1:85" s="62" customFormat="1" ht="14.25" customHeight="1" x14ac:dyDescent="0.2">
      <c r="A983" s="65" t="s">
        <v>9512</v>
      </c>
      <c r="B983" s="65" t="s">
        <v>9513</v>
      </c>
      <c r="C983" s="65" t="s">
        <v>9514</v>
      </c>
      <c r="D983" s="66">
        <v>42892</v>
      </c>
      <c r="E983" s="65" t="s">
        <v>6809</v>
      </c>
      <c r="F983" s="79" t="s">
        <v>6810</v>
      </c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 s="61"/>
      <c r="CF983" s="61"/>
      <c r="CG983" s="61"/>
    </row>
    <row r="984" spans="1:85" s="62" customFormat="1" ht="14.25" customHeight="1" x14ac:dyDescent="0.2">
      <c r="A984" s="65" t="s">
        <v>9515</v>
      </c>
      <c r="B984" s="65" t="s">
        <v>9516</v>
      </c>
      <c r="C984" s="65" t="s">
        <v>9517</v>
      </c>
      <c r="D984" s="66">
        <v>42892</v>
      </c>
      <c r="E984" s="65" t="s">
        <v>6809</v>
      </c>
      <c r="F984" s="79" t="s">
        <v>6810</v>
      </c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 s="61"/>
      <c r="CF984" s="61"/>
      <c r="CG984" s="61"/>
    </row>
    <row r="985" spans="1:85" s="62" customFormat="1" ht="14.25" customHeight="1" x14ac:dyDescent="0.2">
      <c r="A985" s="65" t="s">
        <v>9518</v>
      </c>
      <c r="B985" s="65" t="s">
        <v>9519</v>
      </c>
      <c r="C985" s="65" t="s">
        <v>9520</v>
      </c>
      <c r="D985" s="66">
        <v>42892</v>
      </c>
      <c r="E985" s="65"/>
      <c r="F985" s="79" t="s">
        <v>6814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 s="61"/>
      <c r="CF985" s="61"/>
      <c r="CG985" s="61"/>
    </row>
    <row r="986" spans="1:85" s="62" customFormat="1" ht="14.25" customHeight="1" x14ac:dyDescent="0.2">
      <c r="A986" s="65" t="s">
        <v>9521</v>
      </c>
      <c r="B986" s="65" t="s">
        <v>9522</v>
      </c>
      <c r="C986" s="65" t="s">
        <v>9523</v>
      </c>
      <c r="D986" s="66">
        <v>42888</v>
      </c>
      <c r="E986" s="65" t="s">
        <v>6809</v>
      </c>
      <c r="F986" s="79" t="s">
        <v>6814</v>
      </c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 s="61"/>
      <c r="CF986" s="61"/>
      <c r="CG986" s="61"/>
    </row>
    <row r="987" spans="1:85" s="62" customFormat="1" ht="14.25" customHeight="1" x14ac:dyDescent="0.2">
      <c r="A987" s="65" t="s">
        <v>9524</v>
      </c>
      <c r="B987" s="65" t="s">
        <v>5194</v>
      </c>
      <c r="C987" s="65" t="s">
        <v>9525</v>
      </c>
      <c r="D987" s="66">
        <v>42885</v>
      </c>
      <c r="E987" s="65" t="s">
        <v>6809</v>
      </c>
      <c r="F987" s="79" t="s">
        <v>9526</v>
      </c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 s="61"/>
      <c r="CF987" s="61"/>
      <c r="CG987" s="61"/>
    </row>
    <row r="988" spans="1:85" s="62" customFormat="1" ht="14.25" customHeight="1" x14ac:dyDescent="0.2">
      <c r="A988" s="65" t="s">
        <v>9527</v>
      </c>
      <c r="B988" s="65" t="s">
        <v>9528</v>
      </c>
      <c r="C988" s="65" t="s">
        <v>9529</v>
      </c>
      <c r="D988" s="66">
        <v>42885</v>
      </c>
      <c r="E988" s="65" t="s">
        <v>6809</v>
      </c>
      <c r="F988" s="79" t="s">
        <v>6810</v>
      </c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 s="61"/>
      <c r="CF988" s="61"/>
      <c r="CG988" s="61"/>
    </row>
    <row r="989" spans="1:85" s="62" customFormat="1" ht="14.25" customHeight="1" x14ac:dyDescent="0.2">
      <c r="A989" s="65" t="s">
        <v>9530</v>
      </c>
      <c r="B989" s="65" t="s">
        <v>8476</v>
      </c>
      <c r="C989" s="65" t="s">
        <v>9531</v>
      </c>
      <c r="D989" s="66">
        <v>42879</v>
      </c>
      <c r="E989" s="65" t="s">
        <v>6809</v>
      </c>
      <c r="F989" s="79" t="s">
        <v>9532</v>
      </c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 s="61"/>
      <c r="CF989" s="61"/>
      <c r="CG989" s="61"/>
    </row>
    <row r="990" spans="1:85" s="62" customFormat="1" ht="14.25" customHeight="1" x14ac:dyDescent="0.2">
      <c r="A990" s="65" t="s">
        <v>9533</v>
      </c>
      <c r="B990" s="65" t="s">
        <v>9534</v>
      </c>
      <c r="C990" s="65" t="s">
        <v>9535</v>
      </c>
      <c r="D990" s="66">
        <v>42878</v>
      </c>
      <c r="E990" s="65" t="s">
        <v>6809</v>
      </c>
      <c r="F990" s="79" t="s">
        <v>6814</v>
      </c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 s="61"/>
      <c r="CF990" s="61"/>
      <c r="CG990" s="61"/>
    </row>
    <row r="991" spans="1:85" s="62" customFormat="1" ht="14.25" customHeight="1" x14ac:dyDescent="0.2">
      <c r="A991" s="65" t="s">
        <v>9536</v>
      </c>
      <c r="B991" s="65" t="s">
        <v>9537</v>
      </c>
      <c r="C991" s="65" t="s">
        <v>9538</v>
      </c>
      <c r="D991" s="66">
        <v>42878</v>
      </c>
      <c r="E991" s="65" t="s">
        <v>6809</v>
      </c>
      <c r="F991" s="79" t="s">
        <v>6810</v>
      </c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 s="61"/>
      <c r="CF991" s="61"/>
      <c r="CG991" s="61"/>
    </row>
    <row r="992" spans="1:85" s="62" customFormat="1" ht="14.25" customHeight="1" x14ac:dyDescent="0.2">
      <c r="A992" s="65" t="s">
        <v>9539</v>
      </c>
      <c r="B992" s="65" t="s">
        <v>9540</v>
      </c>
      <c r="C992" s="65" t="s">
        <v>9541</v>
      </c>
      <c r="D992" s="66">
        <v>42873</v>
      </c>
      <c r="E992" s="65" t="s">
        <v>6809</v>
      </c>
      <c r="F992" s="79" t="s">
        <v>6810</v>
      </c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 s="61"/>
      <c r="CF992" s="61"/>
      <c r="CG992" s="61"/>
    </row>
    <row r="993" spans="1:85" s="62" customFormat="1" ht="14.25" customHeight="1" x14ac:dyDescent="0.2">
      <c r="A993" s="65" t="s">
        <v>9542</v>
      </c>
      <c r="B993" s="65" t="s">
        <v>8489</v>
      </c>
      <c r="C993" s="65" t="s">
        <v>9543</v>
      </c>
      <c r="D993" s="66">
        <v>42870</v>
      </c>
      <c r="E993" s="65" t="s">
        <v>6809</v>
      </c>
      <c r="F993" s="79" t="s">
        <v>9544</v>
      </c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 s="61"/>
      <c r="CF993" s="61"/>
      <c r="CG993" s="61"/>
    </row>
    <row r="994" spans="1:85" s="62" customFormat="1" ht="14.25" customHeight="1" x14ac:dyDescent="0.2">
      <c r="A994" s="65" t="s">
        <v>9545</v>
      </c>
      <c r="B994" s="65" t="s">
        <v>7848</v>
      </c>
      <c r="C994" s="65" t="s">
        <v>9546</v>
      </c>
      <c r="D994" s="66">
        <v>42867</v>
      </c>
      <c r="E994" s="65" t="s">
        <v>289</v>
      </c>
      <c r="F994" s="79" t="s">
        <v>9547</v>
      </c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 s="61"/>
      <c r="CF994" s="61"/>
      <c r="CG994" s="61"/>
    </row>
    <row r="995" spans="1:85" s="62" customFormat="1" ht="14.25" customHeight="1" x14ac:dyDescent="0.2">
      <c r="A995" s="65" t="s">
        <v>9548</v>
      </c>
      <c r="B995" s="65" t="s">
        <v>9549</v>
      </c>
      <c r="C995" s="65" t="s">
        <v>9550</v>
      </c>
      <c r="D995" s="66">
        <v>42863</v>
      </c>
      <c r="E995" s="65" t="s">
        <v>6809</v>
      </c>
      <c r="F995" s="79" t="s">
        <v>6814</v>
      </c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 s="61"/>
      <c r="CF995" s="61"/>
      <c r="CG995" s="61"/>
    </row>
    <row r="996" spans="1:85" s="62" customFormat="1" ht="14.25" customHeight="1" x14ac:dyDescent="0.2">
      <c r="A996" s="65" t="s">
        <v>9551</v>
      </c>
      <c r="B996" s="65" t="s">
        <v>9552</v>
      </c>
      <c r="C996" s="65" t="s">
        <v>9553</v>
      </c>
      <c r="D996" s="66">
        <v>42860</v>
      </c>
      <c r="E996" s="65" t="s">
        <v>6809</v>
      </c>
      <c r="F996" s="79" t="s">
        <v>6824</v>
      </c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 s="61"/>
      <c r="CF996" s="61"/>
      <c r="CG996" s="61"/>
    </row>
    <row r="997" spans="1:85" s="62" customFormat="1" ht="14.25" customHeight="1" x14ac:dyDescent="0.2">
      <c r="A997" s="65" t="s">
        <v>9554</v>
      </c>
      <c r="B997" s="65" t="s">
        <v>9555</v>
      </c>
      <c r="C997" s="65" t="s">
        <v>9556</v>
      </c>
      <c r="D997" s="66">
        <v>42859</v>
      </c>
      <c r="E997" s="65" t="s">
        <v>6809</v>
      </c>
      <c r="F997" s="79" t="s">
        <v>6810</v>
      </c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 s="61"/>
      <c r="CF997" s="61"/>
      <c r="CG997" s="61"/>
    </row>
    <row r="998" spans="1:85" s="62" customFormat="1" ht="14.25" customHeight="1" x14ac:dyDescent="0.2">
      <c r="A998" s="65" t="s">
        <v>24</v>
      </c>
      <c r="B998" s="65" t="s">
        <v>24</v>
      </c>
      <c r="C998" s="65" t="s">
        <v>9557</v>
      </c>
      <c r="D998" s="66">
        <v>42856</v>
      </c>
      <c r="E998" s="65" t="s">
        <v>24</v>
      </c>
      <c r="F998" s="79" t="s">
        <v>9558</v>
      </c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 s="61"/>
      <c r="CF998" s="61"/>
      <c r="CG998" s="61"/>
    </row>
    <row r="999" spans="1:85" s="62" customFormat="1" ht="14.25" customHeight="1" x14ac:dyDescent="0.2">
      <c r="A999" s="65" t="s">
        <v>9559</v>
      </c>
      <c r="B999" s="65" t="s">
        <v>9560</v>
      </c>
      <c r="C999" s="65" t="s">
        <v>9561</v>
      </c>
      <c r="D999" s="66">
        <v>42849</v>
      </c>
      <c r="E999" s="65" t="s">
        <v>6809</v>
      </c>
      <c r="F999" s="79" t="s">
        <v>6814</v>
      </c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 s="61"/>
      <c r="CF999" s="61"/>
      <c r="CG999" s="61"/>
    </row>
    <row r="1000" spans="1:85" ht="14.25" customHeight="1" x14ac:dyDescent="0.2">
      <c r="A1000" s="65" t="s">
        <v>9562</v>
      </c>
      <c r="B1000" s="65" t="s">
        <v>3548</v>
      </c>
      <c r="C1000" s="65" t="s">
        <v>9563</v>
      </c>
      <c r="D1000" s="66">
        <v>42838</v>
      </c>
      <c r="E1000" s="65" t="s">
        <v>289</v>
      </c>
      <c r="F1000" s="79" t="s">
        <v>9564</v>
      </c>
      <c r="G1000" s="61"/>
      <c r="I1000" s="78"/>
    </row>
    <row r="1001" spans="1:85" s="62" customFormat="1" ht="14.25" customHeight="1" x14ac:dyDescent="0.2">
      <c r="A1001" s="65" t="s">
        <v>9565</v>
      </c>
      <c r="B1001" s="65" t="s">
        <v>9566</v>
      </c>
      <c r="C1001" s="65" t="s">
        <v>9567</v>
      </c>
      <c r="D1001" s="66">
        <v>42833</v>
      </c>
      <c r="E1001" s="65"/>
      <c r="F1001" s="79" t="s">
        <v>6824</v>
      </c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X1001" s="61"/>
      <c r="Y1001" s="61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 s="61"/>
      <c r="CF1001" s="61"/>
      <c r="CG1001" s="61"/>
    </row>
    <row r="1002" spans="1:85" ht="14.25" customHeight="1" x14ac:dyDescent="0.2">
      <c r="A1002" s="65" t="s">
        <v>9568</v>
      </c>
      <c r="B1002" s="65" t="s">
        <v>2224</v>
      </c>
      <c r="C1002" s="65" t="s">
        <v>9569</v>
      </c>
      <c r="D1002" s="66">
        <v>42825</v>
      </c>
      <c r="E1002" s="65" t="s">
        <v>6809</v>
      </c>
      <c r="F1002" s="79" t="s">
        <v>6824</v>
      </c>
      <c r="G1002" s="61"/>
      <c r="I1002" s="78"/>
    </row>
    <row r="1003" spans="1:85" ht="14.25" customHeight="1" x14ac:dyDescent="0.2">
      <c r="A1003" s="65" t="s">
        <v>9570</v>
      </c>
      <c r="B1003" s="65" t="s">
        <v>9571</v>
      </c>
      <c r="C1003" s="65" t="s">
        <v>9572</v>
      </c>
      <c r="D1003" s="66">
        <v>42822</v>
      </c>
      <c r="E1003" s="65" t="s">
        <v>6809</v>
      </c>
      <c r="F1003" s="79" t="s">
        <v>6814</v>
      </c>
      <c r="G1003" s="61"/>
      <c r="I1003" s="78"/>
    </row>
    <row r="1004" spans="1:85" ht="14.25" customHeight="1" x14ac:dyDescent="0.2">
      <c r="A1004" s="65" t="s">
        <v>9573</v>
      </c>
      <c r="B1004" s="65" t="s">
        <v>9574</v>
      </c>
      <c r="C1004" s="65" t="s">
        <v>9575</v>
      </c>
      <c r="D1004" s="66">
        <v>42820</v>
      </c>
      <c r="E1004" s="65" t="s">
        <v>6809</v>
      </c>
      <c r="F1004" s="79" t="s">
        <v>9576</v>
      </c>
      <c r="G1004" s="61"/>
      <c r="I1004" s="78"/>
    </row>
    <row r="1005" spans="1:85" ht="14.25" customHeight="1" x14ac:dyDescent="0.2">
      <c r="A1005" s="65" t="s">
        <v>9577</v>
      </c>
      <c r="B1005" s="65" t="s">
        <v>9578</v>
      </c>
      <c r="C1005" s="65" t="s">
        <v>9579</v>
      </c>
      <c r="D1005" s="66">
        <v>42817</v>
      </c>
      <c r="E1005" s="65" t="s">
        <v>6809</v>
      </c>
      <c r="F1005" s="79" t="s">
        <v>6824</v>
      </c>
      <c r="G1005" s="61"/>
      <c r="I1005" s="78"/>
    </row>
    <row r="1006" spans="1:85" ht="14.25" customHeight="1" x14ac:dyDescent="0.2">
      <c r="A1006" s="65" t="s">
        <v>9580</v>
      </c>
      <c r="B1006" s="65" t="s">
        <v>9581</v>
      </c>
      <c r="C1006" s="65" t="s">
        <v>9582</v>
      </c>
      <c r="D1006" s="66">
        <v>42817</v>
      </c>
      <c r="E1006" s="65" t="s">
        <v>6809</v>
      </c>
      <c r="F1006" s="79" t="s">
        <v>6824</v>
      </c>
      <c r="G1006" s="61"/>
      <c r="I1006" s="78"/>
    </row>
    <row r="1007" spans="1:85" ht="14.25" customHeight="1" x14ac:dyDescent="0.2">
      <c r="A1007" s="65" t="s">
        <v>9583</v>
      </c>
      <c r="B1007" s="65" t="s">
        <v>2219</v>
      </c>
      <c r="C1007" s="65" t="s">
        <v>9584</v>
      </c>
      <c r="D1007" s="66">
        <v>42817</v>
      </c>
      <c r="E1007" s="65" t="s">
        <v>6809</v>
      </c>
      <c r="F1007" s="79" t="s">
        <v>9585</v>
      </c>
      <c r="G1007" s="61"/>
      <c r="I1007" s="78"/>
    </row>
    <row r="1008" spans="1:85" ht="14.25" customHeight="1" x14ac:dyDescent="0.2">
      <c r="A1008" s="65" t="s">
        <v>9586</v>
      </c>
      <c r="B1008" s="65" t="s">
        <v>1971</v>
      </c>
      <c r="C1008" s="65" t="s">
        <v>9587</v>
      </c>
      <c r="D1008" s="66">
        <v>42816</v>
      </c>
      <c r="E1008" s="65" t="s">
        <v>6809</v>
      </c>
      <c r="F1008" s="79" t="s">
        <v>9588</v>
      </c>
      <c r="G1008" s="61"/>
      <c r="I1008" s="78"/>
    </row>
    <row r="1009" spans="1:9" ht="14.25" customHeight="1" x14ac:dyDescent="0.2">
      <c r="A1009" s="65" t="s">
        <v>9589</v>
      </c>
      <c r="B1009" s="65" t="s">
        <v>9590</v>
      </c>
      <c r="C1009" s="65" t="s">
        <v>9591</v>
      </c>
      <c r="D1009" s="66">
        <v>42811</v>
      </c>
      <c r="E1009" s="65" t="s">
        <v>6809</v>
      </c>
      <c r="F1009" s="79" t="s">
        <v>6810</v>
      </c>
      <c r="G1009" s="61"/>
      <c r="I1009" s="78"/>
    </row>
    <row r="1010" spans="1:9" ht="14.25" customHeight="1" x14ac:dyDescent="0.2">
      <c r="A1010" s="65" t="s">
        <v>9592</v>
      </c>
      <c r="B1010" s="65" t="s">
        <v>9593</v>
      </c>
      <c r="C1010" s="65" t="s">
        <v>9594</v>
      </c>
      <c r="D1010" s="66">
        <v>42811</v>
      </c>
      <c r="E1010" s="65" t="s">
        <v>6809</v>
      </c>
      <c r="F1010" s="79" t="s">
        <v>6810</v>
      </c>
      <c r="G1010" s="61"/>
      <c r="I1010" s="78"/>
    </row>
    <row r="1011" spans="1:9" ht="14.25" customHeight="1" x14ac:dyDescent="0.2">
      <c r="A1011" s="65" t="s">
        <v>9595</v>
      </c>
      <c r="B1011" s="65" t="s">
        <v>9596</v>
      </c>
      <c r="C1011" s="65" t="s">
        <v>9597</v>
      </c>
      <c r="D1011" s="66">
        <v>42811</v>
      </c>
      <c r="E1011" s="65" t="s">
        <v>6809</v>
      </c>
      <c r="F1011" s="79" t="s">
        <v>6824</v>
      </c>
      <c r="G1011" s="61"/>
      <c r="I1011" s="78"/>
    </row>
    <row r="1012" spans="1:9" ht="14.25" customHeight="1" x14ac:dyDescent="0.2">
      <c r="A1012" s="65" t="s">
        <v>9598</v>
      </c>
      <c r="B1012" s="65" t="s">
        <v>9599</v>
      </c>
      <c r="C1012" s="65" t="s">
        <v>9600</v>
      </c>
      <c r="D1012" s="66">
        <v>42811</v>
      </c>
      <c r="E1012" s="65" t="s">
        <v>6809</v>
      </c>
      <c r="F1012" s="79" t="s">
        <v>6824</v>
      </c>
      <c r="G1012" s="61"/>
      <c r="I1012" s="78"/>
    </row>
    <row r="1013" spans="1:9" ht="14.25" customHeight="1" x14ac:dyDescent="0.2">
      <c r="A1013" s="65" t="s">
        <v>9601</v>
      </c>
      <c r="B1013" s="65" t="s">
        <v>9602</v>
      </c>
      <c r="C1013" s="65" t="s">
        <v>9603</v>
      </c>
      <c r="D1013" s="66">
        <v>42811</v>
      </c>
      <c r="E1013" s="65" t="s">
        <v>6809</v>
      </c>
      <c r="F1013" s="79" t="s">
        <v>6824</v>
      </c>
      <c r="G1013" s="61"/>
      <c r="I1013" s="78"/>
    </row>
    <row r="1014" spans="1:9" ht="14.25" customHeight="1" x14ac:dyDescent="0.2">
      <c r="A1014" s="65" t="s">
        <v>9604</v>
      </c>
      <c r="B1014" s="65" t="s">
        <v>9605</v>
      </c>
      <c r="C1014" s="65" t="s">
        <v>9606</v>
      </c>
      <c r="D1014" s="66">
        <v>42811</v>
      </c>
      <c r="E1014" s="65" t="s">
        <v>6809</v>
      </c>
      <c r="F1014" s="79" t="s">
        <v>6824</v>
      </c>
      <c r="G1014" s="61"/>
      <c r="I1014" s="78"/>
    </row>
    <row r="1015" spans="1:9" ht="14.25" customHeight="1" x14ac:dyDescent="0.2">
      <c r="A1015" s="65" t="s">
        <v>9607</v>
      </c>
      <c r="B1015" s="65" t="s">
        <v>9608</v>
      </c>
      <c r="C1015" s="65" t="s">
        <v>9609</v>
      </c>
      <c r="D1015" s="66">
        <v>42811</v>
      </c>
      <c r="E1015" s="65" t="s">
        <v>6809</v>
      </c>
      <c r="F1015" s="79" t="s">
        <v>6824</v>
      </c>
      <c r="G1015" s="61"/>
      <c r="I1015" s="78"/>
    </row>
    <row r="1016" spans="1:9" ht="14.25" customHeight="1" x14ac:dyDescent="0.2">
      <c r="A1016" s="65" t="s">
        <v>9610</v>
      </c>
      <c r="B1016" s="65" t="s">
        <v>4882</v>
      </c>
      <c r="C1016" s="65" t="s">
        <v>9611</v>
      </c>
      <c r="D1016" s="66">
        <v>42811</v>
      </c>
      <c r="E1016" s="65" t="s">
        <v>1037</v>
      </c>
      <c r="F1016" s="79" t="s">
        <v>9612</v>
      </c>
      <c r="G1016" s="61"/>
      <c r="I1016" s="78"/>
    </row>
    <row r="1017" spans="1:9" ht="14.25" customHeight="1" x14ac:dyDescent="0.2">
      <c r="A1017" s="65" t="s">
        <v>9613</v>
      </c>
      <c r="B1017" s="65" t="s">
        <v>9614</v>
      </c>
      <c r="C1017" s="65" t="s">
        <v>9615</v>
      </c>
      <c r="D1017" s="66">
        <v>42811</v>
      </c>
      <c r="E1017" s="65" t="s">
        <v>6809</v>
      </c>
      <c r="F1017" s="79" t="s">
        <v>6814</v>
      </c>
      <c r="G1017" s="61"/>
      <c r="I1017" s="78"/>
    </row>
    <row r="1018" spans="1:9" ht="14.25" customHeight="1" x14ac:dyDescent="0.2">
      <c r="A1018" s="65" t="s">
        <v>9616</v>
      </c>
      <c r="B1018" s="65" t="s">
        <v>2111</v>
      </c>
      <c r="C1018" s="65" t="s">
        <v>9617</v>
      </c>
      <c r="D1018" s="66">
        <v>42803</v>
      </c>
      <c r="E1018" s="65" t="s">
        <v>6809</v>
      </c>
      <c r="F1018" s="79" t="s">
        <v>9618</v>
      </c>
      <c r="G1018" s="61"/>
      <c r="I1018" s="78"/>
    </row>
    <row r="1019" spans="1:9" ht="14.25" customHeight="1" x14ac:dyDescent="0.2">
      <c r="A1019" s="65" t="s">
        <v>9619</v>
      </c>
      <c r="B1019" s="65" t="s">
        <v>9620</v>
      </c>
      <c r="C1019" s="65" t="s">
        <v>9621</v>
      </c>
      <c r="D1019" s="66">
        <v>42803</v>
      </c>
      <c r="E1019" s="65" t="s">
        <v>6809</v>
      </c>
      <c r="F1019" s="79" t="s">
        <v>6810</v>
      </c>
      <c r="G1019" s="61"/>
      <c r="I1019" s="78"/>
    </row>
    <row r="1020" spans="1:9" ht="14.25" customHeight="1" x14ac:dyDescent="0.2">
      <c r="A1020" s="65" t="s">
        <v>9622</v>
      </c>
      <c r="B1020" s="65" t="s">
        <v>9623</v>
      </c>
      <c r="C1020" s="65" t="s">
        <v>9624</v>
      </c>
      <c r="D1020" s="66">
        <v>42802</v>
      </c>
      <c r="E1020" s="65" t="s">
        <v>6809</v>
      </c>
      <c r="F1020" s="79" t="s">
        <v>6810</v>
      </c>
      <c r="G1020" s="61"/>
      <c r="I1020" s="78"/>
    </row>
    <row r="1021" spans="1:9" ht="14.25" customHeight="1" x14ac:dyDescent="0.2">
      <c r="A1021" s="65" t="s">
        <v>9625</v>
      </c>
      <c r="B1021" s="65" t="s">
        <v>9626</v>
      </c>
      <c r="C1021" s="65" t="s">
        <v>9627</v>
      </c>
      <c r="D1021" s="66">
        <v>42790</v>
      </c>
      <c r="E1021" s="65" t="s">
        <v>6809</v>
      </c>
      <c r="F1021" s="79" t="s">
        <v>6814</v>
      </c>
      <c r="G1021" s="61"/>
      <c r="I1021" s="78"/>
    </row>
    <row r="1022" spans="1:9" ht="14.25" customHeight="1" x14ac:dyDescent="0.2">
      <c r="A1022" s="65" t="s">
        <v>9628</v>
      </c>
      <c r="B1022" s="65" t="s">
        <v>9629</v>
      </c>
      <c r="C1022" s="65" t="s">
        <v>9630</v>
      </c>
      <c r="D1022" s="66">
        <v>42790</v>
      </c>
      <c r="E1022" s="65" t="s">
        <v>6809</v>
      </c>
      <c r="F1022" s="79" t="s">
        <v>6824</v>
      </c>
      <c r="G1022" s="61"/>
      <c r="I1022" s="78"/>
    </row>
    <row r="1023" spans="1:9" ht="14.25" customHeight="1" x14ac:dyDescent="0.2">
      <c r="A1023" s="65" t="s">
        <v>9631</v>
      </c>
      <c r="B1023" s="65" t="s">
        <v>9632</v>
      </c>
      <c r="C1023" s="65" t="s">
        <v>9633</v>
      </c>
      <c r="D1023" s="66">
        <v>42780</v>
      </c>
      <c r="E1023" s="65" t="s">
        <v>6809</v>
      </c>
      <c r="F1023" s="79" t="s">
        <v>6814</v>
      </c>
      <c r="G1023" s="61"/>
      <c r="I1023" s="78"/>
    </row>
    <row r="1024" spans="1:9" ht="14.25" customHeight="1" x14ac:dyDescent="0.2">
      <c r="A1024" s="65" t="s">
        <v>9634</v>
      </c>
      <c r="B1024" s="65" t="s">
        <v>9635</v>
      </c>
      <c r="C1024" s="65" t="s">
        <v>9636</v>
      </c>
      <c r="D1024" s="66">
        <v>42776</v>
      </c>
      <c r="E1024" s="65" t="s">
        <v>6809</v>
      </c>
      <c r="F1024" s="79" t="s">
        <v>6814</v>
      </c>
      <c r="G1024" s="61"/>
      <c r="I1024" s="78"/>
    </row>
    <row r="1025" spans="1:9" ht="14.25" customHeight="1" x14ac:dyDescent="0.2">
      <c r="A1025" s="65" t="s">
        <v>9637</v>
      </c>
      <c r="B1025" s="65" t="s">
        <v>9638</v>
      </c>
      <c r="C1025" s="65" t="s">
        <v>9639</v>
      </c>
      <c r="D1025" s="66">
        <v>42774</v>
      </c>
      <c r="E1025" s="65" t="s">
        <v>6809</v>
      </c>
      <c r="F1025" s="79" t="s">
        <v>6824</v>
      </c>
      <c r="G1025" s="61"/>
      <c r="I1025" s="78"/>
    </row>
    <row r="1026" spans="1:9" ht="14.25" customHeight="1" x14ac:dyDescent="0.2">
      <c r="A1026" s="65" t="s">
        <v>9640</v>
      </c>
      <c r="B1026" s="65" t="s">
        <v>6844</v>
      </c>
      <c r="C1026" s="65" t="s">
        <v>6845</v>
      </c>
      <c r="D1026" s="66">
        <v>42766</v>
      </c>
      <c r="E1026" s="65" t="s">
        <v>6809</v>
      </c>
      <c r="F1026" s="79" t="s">
        <v>9641</v>
      </c>
      <c r="G1026" s="61"/>
      <c r="I1026" s="78"/>
    </row>
    <row r="1027" spans="1:9" ht="14.25" customHeight="1" x14ac:dyDescent="0.2">
      <c r="A1027" s="65" t="s">
        <v>9642</v>
      </c>
      <c r="B1027" s="65" t="s">
        <v>3947</v>
      </c>
      <c r="C1027" s="65" t="s">
        <v>9643</v>
      </c>
      <c r="D1027" s="66">
        <v>42766</v>
      </c>
      <c r="E1027" s="65" t="s">
        <v>6809</v>
      </c>
      <c r="F1027" s="79" t="s">
        <v>9644</v>
      </c>
      <c r="G1027" s="61"/>
      <c r="I1027" s="78"/>
    </row>
    <row r="1028" spans="1:9" ht="14.25" customHeight="1" x14ac:dyDescent="0.2">
      <c r="A1028" s="65" t="s">
        <v>9645</v>
      </c>
      <c r="B1028" s="65" t="s">
        <v>3943</v>
      </c>
      <c r="C1028" s="65" t="s">
        <v>9646</v>
      </c>
      <c r="D1028" s="66">
        <v>42766</v>
      </c>
      <c r="E1028" s="65" t="s">
        <v>289</v>
      </c>
      <c r="F1028" s="79" t="s">
        <v>9647</v>
      </c>
      <c r="G1028" s="61"/>
      <c r="I1028" s="78"/>
    </row>
    <row r="1029" spans="1:9" ht="14.25" customHeight="1" x14ac:dyDescent="0.2">
      <c r="A1029" s="65" t="s">
        <v>9648</v>
      </c>
      <c r="B1029" s="65" t="s">
        <v>9649</v>
      </c>
      <c r="C1029" s="65" t="s">
        <v>9650</v>
      </c>
      <c r="D1029" s="66">
        <v>42766</v>
      </c>
      <c r="E1029" s="65" t="s">
        <v>6809</v>
      </c>
      <c r="F1029" s="79" t="s">
        <v>6814</v>
      </c>
      <c r="G1029" s="61"/>
      <c r="I1029" s="78"/>
    </row>
    <row r="1030" spans="1:9" ht="14.25" customHeight="1" x14ac:dyDescent="0.2">
      <c r="A1030" s="65" t="s">
        <v>9651</v>
      </c>
      <c r="B1030" s="65" t="s">
        <v>3939</v>
      </c>
      <c r="C1030" s="65" t="s">
        <v>9652</v>
      </c>
      <c r="D1030" s="66">
        <v>42766</v>
      </c>
      <c r="E1030" s="65" t="s">
        <v>6809</v>
      </c>
      <c r="F1030" s="79" t="s">
        <v>9653</v>
      </c>
      <c r="G1030" s="61"/>
      <c r="I1030" s="78"/>
    </row>
    <row r="1031" spans="1:9" ht="14.25" customHeight="1" x14ac:dyDescent="0.2">
      <c r="A1031" s="65" t="s">
        <v>9654</v>
      </c>
      <c r="B1031" s="65" t="s">
        <v>9655</v>
      </c>
      <c r="C1031" s="65" t="s">
        <v>9656</v>
      </c>
      <c r="D1031" s="66">
        <v>42766</v>
      </c>
      <c r="E1031" s="65" t="s">
        <v>6809</v>
      </c>
      <c r="F1031" s="79" t="s">
        <v>9653</v>
      </c>
      <c r="G1031" s="61"/>
      <c r="I1031" s="78"/>
    </row>
    <row r="1032" spans="1:9" ht="14.25" customHeight="1" x14ac:dyDescent="0.2">
      <c r="A1032" s="65" t="s">
        <v>9657</v>
      </c>
      <c r="B1032" s="65" t="s">
        <v>9658</v>
      </c>
      <c r="C1032" s="65" t="s">
        <v>9659</v>
      </c>
      <c r="D1032" s="66">
        <v>42765</v>
      </c>
      <c r="E1032" s="65" t="s">
        <v>6809</v>
      </c>
      <c r="F1032" s="79" t="s">
        <v>6814</v>
      </c>
      <c r="G1032" s="61"/>
      <c r="I1032" s="78"/>
    </row>
    <row r="1033" spans="1:9" ht="14.25" customHeight="1" x14ac:dyDescent="0.2">
      <c r="A1033" s="65" t="s">
        <v>9660</v>
      </c>
      <c r="B1033" s="65" t="s">
        <v>8574</v>
      </c>
      <c r="C1033" s="65" t="s">
        <v>8575</v>
      </c>
      <c r="D1033" s="66">
        <v>42759</v>
      </c>
      <c r="E1033" s="65" t="s">
        <v>6809</v>
      </c>
      <c r="F1033" s="79" t="s">
        <v>9661</v>
      </c>
      <c r="G1033" s="61"/>
      <c r="I1033" s="78"/>
    </row>
    <row r="1034" spans="1:9" ht="14.25" customHeight="1" x14ac:dyDescent="0.2">
      <c r="A1034" s="65" t="s">
        <v>9662</v>
      </c>
      <c r="B1034" s="65" t="s">
        <v>9663</v>
      </c>
      <c r="C1034" s="65" t="s">
        <v>9664</v>
      </c>
      <c r="D1034" s="66">
        <v>42758</v>
      </c>
      <c r="E1034" s="65" t="s">
        <v>6809</v>
      </c>
      <c r="F1034" s="79" t="s">
        <v>6824</v>
      </c>
      <c r="G1034" s="61"/>
      <c r="I1034" s="78"/>
    </row>
    <row r="1035" spans="1:9" ht="14.25" customHeight="1" x14ac:dyDescent="0.2">
      <c r="A1035" s="65" t="s">
        <v>9665</v>
      </c>
      <c r="B1035" s="65" t="s">
        <v>9666</v>
      </c>
      <c r="C1035" s="65" t="s">
        <v>9667</v>
      </c>
      <c r="D1035" s="66">
        <v>42758</v>
      </c>
      <c r="E1035" s="65" t="s">
        <v>6809</v>
      </c>
      <c r="F1035" s="79" t="s">
        <v>6824</v>
      </c>
      <c r="G1035" s="61"/>
      <c r="I1035" s="78"/>
    </row>
    <row r="1036" spans="1:9" ht="14.25" customHeight="1" x14ac:dyDescent="0.2">
      <c r="A1036" s="65" t="s">
        <v>9668</v>
      </c>
      <c r="B1036" s="65" t="s">
        <v>7044</v>
      </c>
      <c r="C1036" s="65" t="s">
        <v>9669</v>
      </c>
      <c r="D1036" s="66">
        <v>42758</v>
      </c>
      <c r="E1036" s="65" t="s">
        <v>6809</v>
      </c>
      <c r="F1036" s="79" t="s">
        <v>9670</v>
      </c>
      <c r="G1036" s="61"/>
      <c r="I1036" s="78"/>
    </row>
    <row r="1037" spans="1:9" ht="14.25" customHeight="1" x14ac:dyDescent="0.2">
      <c r="A1037" s="65" t="s">
        <v>9671</v>
      </c>
      <c r="B1037" s="65" t="s">
        <v>5206</v>
      </c>
      <c r="C1037" s="65" t="s">
        <v>9672</v>
      </c>
      <c r="D1037" s="66">
        <v>42752</v>
      </c>
      <c r="E1037" s="65" t="s">
        <v>7915</v>
      </c>
      <c r="F1037" s="82" t="s">
        <v>9673</v>
      </c>
      <c r="G1037" s="61"/>
      <c r="I1037" s="78"/>
    </row>
    <row r="1038" spans="1:9" ht="14.25" customHeight="1" x14ac:dyDescent="0.2">
      <c r="A1038" s="65" t="s">
        <v>9674</v>
      </c>
      <c r="B1038" s="65" t="s">
        <v>7478</v>
      </c>
      <c r="C1038" s="65" t="s">
        <v>9675</v>
      </c>
      <c r="D1038" s="66">
        <v>42752</v>
      </c>
      <c r="E1038" s="65" t="s">
        <v>7915</v>
      </c>
      <c r="F1038" s="79" t="s">
        <v>9676</v>
      </c>
      <c r="G1038" s="61"/>
      <c r="I1038" s="78"/>
    </row>
    <row r="1039" spans="1:9" ht="14.25" customHeight="1" x14ac:dyDescent="0.2">
      <c r="A1039" s="65" t="s">
        <v>9677</v>
      </c>
      <c r="B1039" s="65" t="s">
        <v>5202</v>
      </c>
      <c r="C1039" s="65" t="s">
        <v>9678</v>
      </c>
      <c r="D1039" s="66">
        <v>42752</v>
      </c>
      <c r="E1039" s="65" t="s">
        <v>7922</v>
      </c>
      <c r="F1039" s="82" t="s">
        <v>9679</v>
      </c>
      <c r="G1039" s="61"/>
      <c r="I1039" s="78"/>
    </row>
    <row r="1040" spans="1:9" ht="14.25" customHeight="1" x14ac:dyDescent="0.2">
      <c r="A1040" s="65" t="s">
        <v>9680</v>
      </c>
      <c r="B1040" s="65" t="s">
        <v>5214</v>
      </c>
      <c r="C1040" s="65" t="s">
        <v>9681</v>
      </c>
      <c r="D1040" s="66">
        <v>42748</v>
      </c>
      <c r="E1040" s="65" t="s">
        <v>7915</v>
      </c>
      <c r="F1040" s="79" t="s">
        <v>9682</v>
      </c>
      <c r="G1040" s="61"/>
      <c r="I1040" s="78"/>
    </row>
    <row r="1041" spans="1:9" ht="14.25" customHeight="1" x14ac:dyDescent="0.2">
      <c r="A1041" s="65" t="s">
        <v>9683</v>
      </c>
      <c r="B1041" s="65" t="s">
        <v>9684</v>
      </c>
      <c r="C1041" s="65" t="s">
        <v>9685</v>
      </c>
      <c r="D1041" s="66">
        <v>42748</v>
      </c>
      <c r="E1041" s="65" t="s">
        <v>6809</v>
      </c>
      <c r="F1041" s="79" t="s">
        <v>6824</v>
      </c>
      <c r="G1041" s="61"/>
      <c r="I1041" s="78"/>
    </row>
    <row r="1042" spans="1:9" ht="14.25" customHeight="1" x14ac:dyDescent="0.2">
      <c r="A1042" s="65" t="s">
        <v>9686</v>
      </c>
      <c r="B1042" s="65" t="s">
        <v>9687</v>
      </c>
      <c r="C1042" s="65" t="s">
        <v>9688</v>
      </c>
      <c r="D1042" s="66">
        <v>42745</v>
      </c>
      <c r="E1042" s="65" t="s">
        <v>6809</v>
      </c>
      <c r="F1042" s="79" t="s">
        <v>6810</v>
      </c>
      <c r="G1042" s="61"/>
      <c r="I1042" s="78"/>
    </row>
    <row r="1043" spans="1:9" ht="14.25" customHeight="1" x14ac:dyDescent="0.2">
      <c r="A1043" s="65" t="s">
        <v>9689</v>
      </c>
      <c r="B1043" s="65" t="s">
        <v>9690</v>
      </c>
      <c r="C1043" s="65" t="s">
        <v>9691</v>
      </c>
      <c r="D1043" s="66">
        <v>42744</v>
      </c>
      <c r="E1043" s="65" t="s">
        <v>6809</v>
      </c>
      <c r="F1043" s="79" t="s">
        <v>6810</v>
      </c>
      <c r="G1043" s="61"/>
      <c r="I1043" s="78"/>
    </row>
    <row r="1044" spans="1:9" ht="14.25" customHeight="1" x14ac:dyDescent="0.2">
      <c r="A1044" s="65" t="s">
        <v>9692</v>
      </c>
      <c r="B1044" s="65" t="s">
        <v>2281</v>
      </c>
      <c r="C1044" s="65" t="s">
        <v>9693</v>
      </c>
      <c r="D1044" s="66">
        <v>42738</v>
      </c>
      <c r="E1044" s="65" t="s">
        <v>6809</v>
      </c>
      <c r="F1044" s="79" t="s">
        <v>9694</v>
      </c>
      <c r="G1044" s="61"/>
      <c r="I1044" s="78"/>
    </row>
    <row r="1045" spans="1:9" ht="14.25" customHeight="1" x14ac:dyDescent="0.2">
      <c r="A1045" s="65" t="s">
        <v>9695</v>
      </c>
      <c r="B1045" s="65" t="s">
        <v>9696</v>
      </c>
      <c r="C1045" s="65" t="s">
        <v>9697</v>
      </c>
      <c r="D1045" s="66">
        <v>42738</v>
      </c>
      <c r="E1045" s="65" t="s">
        <v>6809</v>
      </c>
      <c r="F1045" s="79" t="s">
        <v>6814</v>
      </c>
      <c r="G1045" s="61"/>
      <c r="I1045" s="78"/>
    </row>
    <row r="1046" spans="1:9" ht="14.25" customHeight="1" x14ac:dyDescent="0.2">
      <c r="A1046" s="65" t="s">
        <v>9698</v>
      </c>
      <c r="B1046" s="65" t="s">
        <v>9699</v>
      </c>
      <c r="C1046" s="65" t="s">
        <v>9700</v>
      </c>
      <c r="D1046" s="66">
        <v>42734</v>
      </c>
      <c r="E1046" s="65" t="s">
        <v>6809</v>
      </c>
      <c r="F1046" s="79" t="s">
        <v>6824</v>
      </c>
      <c r="G1046" s="61"/>
      <c r="I1046" s="78"/>
    </row>
    <row r="1047" spans="1:9" ht="14.25" customHeight="1" x14ac:dyDescent="0.2">
      <c r="A1047" s="65" t="s">
        <v>9701</v>
      </c>
      <c r="B1047" s="65" t="s">
        <v>9702</v>
      </c>
      <c r="C1047" s="65" t="s">
        <v>9703</v>
      </c>
      <c r="D1047" s="66">
        <v>42734</v>
      </c>
      <c r="E1047" s="65" t="s">
        <v>6809</v>
      </c>
      <c r="F1047" s="79" t="s">
        <v>6814</v>
      </c>
      <c r="G1047" s="61"/>
      <c r="I1047" s="78"/>
    </row>
    <row r="1048" spans="1:9" ht="14.25" customHeight="1" x14ac:dyDescent="0.2">
      <c r="A1048" s="65" t="s">
        <v>9704</v>
      </c>
      <c r="B1048" s="65" t="s">
        <v>9705</v>
      </c>
      <c r="C1048" s="65" t="s">
        <v>9706</v>
      </c>
      <c r="D1048" s="66">
        <v>42734</v>
      </c>
      <c r="E1048" s="65" t="s">
        <v>6809</v>
      </c>
      <c r="F1048" s="79" t="s">
        <v>6810</v>
      </c>
      <c r="G1048" s="61"/>
      <c r="I1048" s="78"/>
    </row>
    <row r="1049" spans="1:9" ht="14.25" customHeight="1" x14ac:dyDescent="0.2">
      <c r="A1049" s="65" t="s">
        <v>9707</v>
      </c>
      <c r="B1049" s="65" t="s">
        <v>9708</v>
      </c>
      <c r="C1049" s="65" t="s">
        <v>9709</v>
      </c>
      <c r="D1049" s="66">
        <v>42725</v>
      </c>
      <c r="E1049" s="65" t="s">
        <v>6809</v>
      </c>
      <c r="F1049" s="79" t="s">
        <v>9710</v>
      </c>
      <c r="G1049" s="61"/>
      <c r="I1049" s="78"/>
    </row>
    <row r="1050" spans="1:9" ht="14.25" customHeight="1" x14ac:dyDescent="0.2">
      <c r="A1050" s="65" t="s">
        <v>9711</v>
      </c>
      <c r="B1050" s="65" t="s">
        <v>9712</v>
      </c>
      <c r="C1050" s="65" t="s">
        <v>9713</v>
      </c>
      <c r="D1050" s="66">
        <v>42725</v>
      </c>
      <c r="E1050" s="65" t="s">
        <v>6809</v>
      </c>
      <c r="F1050" s="79" t="s">
        <v>9714</v>
      </c>
      <c r="G1050" s="61"/>
      <c r="I1050" s="78"/>
    </row>
    <row r="1051" spans="1:9" ht="14.25" customHeight="1" x14ac:dyDescent="0.2">
      <c r="A1051" s="65" t="s">
        <v>9715</v>
      </c>
      <c r="B1051" s="65" t="s">
        <v>9716</v>
      </c>
      <c r="C1051" s="65" t="s">
        <v>9717</v>
      </c>
      <c r="D1051" s="66">
        <v>42725</v>
      </c>
      <c r="E1051" s="65" t="s">
        <v>6809</v>
      </c>
      <c r="F1051" s="79" t="s">
        <v>6824</v>
      </c>
      <c r="G1051" s="61"/>
      <c r="I1051" s="78"/>
    </row>
    <row r="1052" spans="1:9" ht="14.25" customHeight="1" x14ac:dyDescent="0.2">
      <c r="A1052" s="65" t="s">
        <v>9718</v>
      </c>
      <c r="B1052" s="65" t="s">
        <v>1430</v>
      </c>
      <c r="C1052" s="65" t="s">
        <v>9719</v>
      </c>
      <c r="D1052" s="66">
        <v>42719</v>
      </c>
      <c r="E1052" s="65" t="s">
        <v>6809</v>
      </c>
      <c r="F1052" s="79" t="s">
        <v>6814</v>
      </c>
      <c r="G1052" s="61"/>
      <c r="I1052" s="78"/>
    </row>
    <row r="1053" spans="1:9" ht="14.25" customHeight="1" x14ac:dyDescent="0.2">
      <c r="A1053" s="65" t="s">
        <v>9720</v>
      </c>
      <c r="B1053" s="65" t="s">
        <v>9721</v>
      </c>
      <c r="C1053" s="65" t="s">
        <v>9722</v>
      </c>
      <c r="D1053" s="66">
        <v>42719</v>
      </c>
      <c r="E1053" s="65" t="s">
        <v>6809</v>
      </c>
      <c r="F1053" s="79" t="s">
        <v>6814</v>
      </c>
      <c r="G1053" s="61"/>
      <c r="I1053" s="78"/>
    </row>
    <row r="1054" spans="1:9" ht="14.25" customHeight="1" x14ac:dyDescent="0.2">
      <c r="A1054" s="65" t="s">
        <v>9723</v>
      </c>
      <c r="B1054" s="65" t="s">
        <v>9724</v>
      </c>
      <c r="C1054" s="65" t="s">
        <v>9725</v>
      </c>
      <c r="D1054" s="66">
        <v>42719</v>
      </c>
      <c r="E1054" s="65" t="s">
        <v>6809</v>
      </c>
      <c r="F1054" s="79" t="s">
        <v>6814</v>
      </c>
      <c r="G1054" s="61"/>
      <c r="I1054" s="78"/>
    </row>
    <row r="1055" spans="1:9" ht="14.25" customHeight="1" x14ac:dyDescent="0.2">
      <c r="A1055" s="65" t="s">
        <v>9726</v>
      </c>
      <c r="B1055" s="65" t="s">
        <v>7778</v>
      </c>
      <c r="C1055" s="65" t="s">
        <v>9727</v>
      </c>
      <c r="D1055" s="66">
        <v>42719</v>
      </c>
      <c r="E1055" s="65" t="s">
        <v>6809</v>
      </c>
      <c r="F1055" s="79" t="s">
        <v>6814</v>
      </c>
      <c r="G1055" s="61"/>
      <c r="I1055" s="78"/>
    </row>
    <row r="1056" spans="1:9" ht="14.25" customHeight="1" x14ac:dyDescent="0.2">
      <c r="A1056" s="65" t="s">
        <v>9728</v>
      </c>
      <c r="B1056" s="65" t="s">
        <v>7015</v>
      </c>
      <c r="C1056" s="65" t="s">
        <v>9729</v>
      </c>
      <c r="D1056" s="66">
        <v>42719</v>
      </c>
      <c r="E1056" s="65" t="s">
        <v>6809</v>
      </c>
      <c r="F1056" s="79" t="s">
        <v>6814</v>
      </c>
      <c r="G1056" s="61"/>
      <c r="I1056" s="78"/>
    </row>
    <row r="1057" spans="1:9" ht="14.25" customHeight="1" x14ac:dyDescent="0.2">
      <c r="A1057" s="65" t="s">
        <v>9730</v>
      </c>
      <c r="B1057" s="65" t="s">
        <v>9731</v>
      </c>
      <c r="C1057" s="65" t="s">
        <v>9732</v>
      </c>
      <c r="D1057" s="66">
        <v>42719</v>
      </c>
      <c r="E1057" s="65" t="s">
        <v>6809</v>
      </c>
      <c r="F1057" s="79" t="s">
        <v>6814</v>
      </c>
      <c r="G1057" s="61"/>
      <c r="I1057" s="78"/>
    </row>
    <row r="1058" spans="1:9" ht="14.25" customHeight="1" x14ac:dyDescent="0.2">
      <c r="A1058" s="65" t="s">
        <v>9733</v>
      </c>
      <c r="B1058" s="65" t="s">
        <v>9734</v>
      </c>
      <c r="C1058" s="65" t="s">
        <v>9735</v>
      </c>
      <c r="D1058" s="66">
        <v>42719</v>
      </c>
      <c r="E1058" s="65" t="s">
        <v>6809</v>
      </c>
      <c r="F1058" s="79" t="s">
        <v>6824</v>
      </c>
      <c r="G1058" s="61"/>
      <c r="I1058" s="78"/>
    </row>
    <row r="1059" spans="1:9" ht="14.25" customHeight="1" x14ac:dyDescent="0.2">
      <c r="A1059" s="65" t="s">
        <v>9736</v>
      </c>
      <c r="B1059" s="65" t="s">
        <v>898</v>
      </c>
      <c r="C1059" s="65" t="s">
        <v>9737</v>
      </c>
      <c r="D1059" s="66">
        <v>42719</v>
      </c>
      <c r="E1059" s="65" t="s">
        <v>6809</v>
      </c>
      <c r="F1059" s="79" t="s">
        <v>9738</v>
      </c>
      <c r="G1059" s="61"/>
      <c r="I1059" s="78"/>
    </row>
    <row r="1060" spans="1:9" ht="14.25" customHeight="1" x14ac:dyDescent="0.2">
      <c r="A1060" s="65" t="s">
        <v>9739</v>
      </c>
      <c r="B1060" s="65" t="s">
        <v>9740</v>
      </c>
      <c r="C1060" s="65" t="s">
        <v>9741</v>
      </c>
      <c r="D1060" s="66">
        <v>42719</v>
      </c>
      <c r="E1060" s="65" t="s">
        <v>6809</v>
      </c>
      <c r="F1060" s="79" t="s">
        <v>9742</v>
      </c>
      <c r="G1060" s="61"/>
      <c r="I1060" s="78"/>
    </row>
    <row r="1061" spans="1:9" ht="14.25" customHeight="1" x14ac:dyDescent="0.2">
      <c r="A1061" s="65" t="s">
        <v>9692</v>
      </c>
      <c r="B1061" s="65" t="s">
        <v>2281</v>
      </c>
      <c r="C1061" s="65" t="s">
        <v>9743</v>
      </c>
      <c r="D1061" s="66">
        <v>42719</v>
      </c>
      <c r="E1061" s="65" t="s">
        <v>6809</v>
      </c>
      <c r="F1061" s="79" t="s">
        <v>9694</v>
      </c>
      <c r="G1061" s="61"/>
      <c r="I1061" s="78"/>
    </row>
    <row r="1062" spans="1:9" ht="14.25" customHeight="1" x14ac:dyDescent="0.2">
      <c r="A1062" s="65" t="s">
        <v>9744</v>
      </c>
      <c r="B1062" s="65" t="s">
        <v>9745</v>
      </c>
      <c r="C1062" s="65" t="s">
        <v>9746</v>
      </c>
      <c r="D1062" s="66">
        <v>42716</v>
      </c>
      <c r="E1062" s="65" t="s">
        <v>6809</v>
      </c>
      <c r="F1062" s="79" t="s">
        <v>6824</v>
      </c>
      <c r="G1062" s="61"/>
      <c r="I1062" s="78"/>
    </row>
    <row r="1063" spans="1:9" ht="14.25" customHeight="1" x14ac:dyDescent="0.2">
      <c r="A1063" s="65" t="s">
        <v>9747</v>
      </c>
      <c r="B1063" s="65" t="s">
        <v>9748</v>
      </c>
      <c r="C1063" s="65" t="s">
        <v>9749</v>
      </c>
      <c r="D1063" s="66">
        <v>42709</v>
      </c>
      <c r="E1063" s="65" t="s">
        <v>6809</v>
      </c>
      <c r="F1063" s="79" t="s">
        <v>6810</v>
      </c>
      <c r="G1063" s="61"/>
      <c r="I1063" s="78"/>
    </row>
    <row r="1064" spans="1:9" ht="14.25" customHeight="1" x14ac:dyDescent="0.2">
      <c r="A1064" s="65" t="s">
        <v>9750</v>
      </c>
      <c r="B1064" s="65" t="s">
        <v>2151</v>
      </c>
      <c r="C1064" s="65" t="s">
        <v>9751</v>
      </c>
      <c r="D1064" s="66">
        <v>42709</v>
      </c>
      <c r="E1064" s="65" t="s">
        <v>6809</v>
      </c>
      <c r="F1064" s="79" t="s">
        <v>9752</v>
      </c>
      <c r="G1064" s="61"/>
      <c r="I1064" s="78"/>
    </row>
    <row r="1065" spans="1:9" ht="14.25" customHeight="1" x14ac:dyDescent="0.2">
      <c r="A1065" s="65" t="s">
        <v>9750</v>
      </c>
      <c r="B1065" s="65" t="s">
        <v>9753</v>
      </c>
      <c r="C1065" s="65" t="s">
        <v>9754</v>
      </c>
      <c r="D1065" s="66">
        <v>42709</v>
      </c>
      <c r="E1065" s="65" t="s">
        <v>6809</v>
      </c>
      <c r="F1065" s="79" t="s">
        <v>6824</v>
      </c>
      <c r="G1065" s="61"/>
      <c r="I1065" s="78"/>
    </row>
    <row r="1066" spans="1:9" ht="14.25" customHeight="1" x14ac:dyDescent="0.2">
      <c r="A1066" s="65" t="s">
        <v>9755</v>
      </c>
      <c r="B1066" s="65" t="s">
        <v>8415</v>
      </c>
      <c r="C1066" s="65" t="s">
        <v>7672</v>
      </c>
      <c r="D1066" s="66">
        <v>42709</v>
      </c>
      <c r="E1066" s="65" t="s">
        <v>6809</v>
      </c>
      <c r="F1066" s="79" t="s">
        <v>6824</v>
      </c>
      <c r="G1066" s="61"/>
      <c r="I1066" s="78"/>
    </row>
    <row r="1067" spans="1:9" ht="14.25" customHeight="1" x14ac:dyDescent="0.2">
      <c r="A1067" s="65" t="s">
        <v>9756</v>
      </c>
      <c r="B1067" s="65" t="s">
        <v>8717</v>
      </c>
      <c r="C1067" s="65" t="s">
        <v>9757</v>
      </c>
      <c r="D1067" s="66">
        <v>42704</v>
      </c>
      <c r="E1067" s="65" t="s">
        <v>6809</v>
      </c>
      <c r="F1067" s="79" t="s">
        <v>6824</v>
      </c>
      <c r="G1067" s="61"/>
      <c r="I1067" s="78"/>
    </row>
    <row r="1068" spans="1:9" ht="14.25" customHeight="1" x14ac:dyDescent="0.2">
      <c r="A1068" s="65" t="s">
        <v>9758</v>
      </c>
      <c r="B1068" s="65" t="s">
        <v>9759</v>
      </c>
      <c r="C1068" s="65" t="s">
        <v>9760</v>
      </c>
      <c r="D1068" s="66">
        <v>42704</v>
      </c>
      <c r="E1068" s="65" t="s">
        <v>6809</v>
      </c>
      <c r="F1068" s="79" t="s">
        <v>6810</v>
      </c>
      <c r="G1068" s="61"/>
      <c r="I1068" s="78"/>
    </row>
    <row r="1069" spans="1:9" ht="14.25" customHeight="1" x14ac:dyDescent="0.2">
      <c r="A1069" s="65" t="s">
        <v>9761</v>
      </c>
      <c r="B1069" s="65" t="s">
        <v>1338</v>
      </c>
      <c r="C1069" s="65" t="s">
        <v>9762</v>
      </c>
      <c r="D1069" s="66">
        <v>42697</v>
      </c>
      <c r="E1069" s="65" t="s">
        <v>6809</v>
      </c>
      <c r="F1069" s="79" t="s">
        <v>6814</v>
      </c>
      <c r="G1069" s="61"/>
      <c r="I1069" s="78"/>
    </row>
    <row r="1070" spans="1:9" ht="14.25" customHeight="1" x14ac:dyDescent="0.2">
      <c r="A1070" s="65" t="s">
        <v>9763</v>
      </c>
      <c r="B1070" s="65" t="s">
        <v>9764</v>
      </c>
      <c r="C1070" s="65" t="s">
        <v>9765</v>
      </c>
      <c r="D1070" s="66">
        <v>42696</v>
      </c>
      <c r="E1070" s="65" t="s">
        <v>6809</v>
      </c>
      <c r="F1070" s="79" t="s">
        <v>9766</v>
      </c>
      <c r="G1070" s="61"/>
      <c r="I1070" s="78"/>
    </row>
    <row r="1071" spans="1:9" ht="14.25" customHeight="1" x14ac:dyDescent="0.2">
      <c r="A1071" s="65" t="s">
        <v>9767</v>
      </c>
      <c r="B1071" s="65" t="s">
        <v>9768</v>
      </c>
      <c r="C1071" s="65" t="s">
        <v>9769</v>
      </c>
      <c r="D1071" s="66">
        <v>42689</v>
      </c>
      <c r="E1071" s="65" t="s">
        <v>6809</v>
      </c>
      <c r="F1071" s="79" t="s">
        <v>6824</v>
      </c>
      <c r="G1071" s="61"/>
      <c r="I1071" s="78"/>
    </row>
    <row r="1072" spans="1:9" ht="14.25" customHeight="1" x14ac:dyDescent="0.2">
      <c r="A1072" s="65" t="s">
        <v>9770</v>
      </c>
      <c r="B1072" s="65" t="s">
        <v>1130</v>
      </c>
      <c r="C1072" s="65" t="s">
        <v>9771</v>
      </c>
      <c r="D1072" s="66">
        <v>42688</v>
      </c>
      <c r="E1072" s="65" t="s">
        <v>6809</v>
      </c>
      <c r="F1072" s="79" t="s">
        <v>6824</v>
      </c>
      <c r="G1072" s="61"/>
      <c r="I1072" s="78"/>
    </row>
    <row r="1073" spans="1:9" ht="14.25" customHeight="1" x14ac:dyDescent="0.2">
      <c r="A1073" s="65">
        <v>60220101004</v>
      </c>
      <c r="B1073" s="65" t="s">
        <v>1106</v>
      </c>
      <c r="C1073" s="65" t="s">
        <v>9772</v>
      </c>
      <c r="D1073" s="66">
        <v>42688</v>
      </c>
      <c r="E1073" s="65" t="s">
        <v>6809</v>
      </c>
      <c r="F1073" s="79" t="s">
        <v>6824</v>
      </c>
      <c r="G1073" s="61"/>
      <c r="I1073" s="78"/>
    </row>
    <row r="1074" spans="1:9" ht="14.25" customHeight="1" x14ac:dyDescent="0.2">
      <c r="A1074" s="65">
        <v>60220101005</v>
      </c>
      <c r="B1074" s="65" t="s">
        <v>9773</v>
      </c>
      <c r="C1074" s="65" t="s">
        <v>9774</v>
      </c>
      <c r="D1074" s="66">
        <v>42688</v>
      </c>
      <c r="E1074" s="65" t="s">
        <v>6809</v>
      </c>
      <c r="F1074" s="79" t="s">
        <v>6824</v>
      </c>
      <c r="G1074" s="61"/>
      <c r="I1074" s="78"/>
    </row>
    <row r="1075" spans="1:9" ht="14.25" customHeight="1" x14ac:dyDescent="0.2">
      <c r="A1075" s="65">
        <v>60220101006</v>
      </c>
      <c r="B1075" s="65" t="s">
        <v>9775</v>
      </c>
      <c r="C1075" s="65" t="s">
        <v>9776</v>
      </c>
      <c r="D1075" s="66">
        <v>42688</v>
      </c>
      <c r="E1075" s="65" t="s">
        <v>6809</v>
      </c>
      <c r="F1075" s="79" t="s">
        <v>6824</v>
      </c>
      <c r="G1075" s="61"/>
      <c r="I1075" s="78"/>
    </row>
    <row r="1076" spans="1:9" ht="14.25" customHeight="1" x14ac:dyDescent="0.2">
      <c r="A1076" s="65" t="s">
        <v>9777</v>
      </c>
      <c r="B1076" s="65" t="s">
        <v>1455</v>
      </c>
      <c r="C1076" s="65" t="s">
        <v>9778</v>
      </c>
      <c r="D1076" s="66">
        <v>42688</v>
      </c>
      <c r="E1076" s="65" t="s">
        <v>6809</v>
      </c>
      <c r="F1076" s="79" t="s">
        <v>6824</v>
      </c>
      <c r="G1076" s="61"/>
      <c r="I1076" s="78"/>
    </row>
    <row r="1077" spans="1:9" ht="14.25" customHeight="1" x14ac:dyDescent="0.2">
      <c r="A1077" s="65" t="s">
        <v>9779</v>
      </c>
      <c r="B1077" s="65" t="s">
        <v>1769</v>
      </c>
      <c r="C1077" s="65" t="s">
        <v>9780</v>
      </c>
      <c r="D1077" s="66">
        <v>42688</v>
      </c>
      <c r="E1077" s="65" t="s">
        <v>6809</v>
      </c>
      <c r="F1077" s="79" t="s">
        <v>6824</v>
      </c>
      <c r="G1077" s="61"/>
      <c r="I1077" s="78"/>
    </row>
    <row r="1078" spans="1:9" ht="14.25" customHeight="1" x14ac:dyDescent="0.2">
      <c r="A1078" s="65" t="s">
        <v>9781</v>
      </c>
      <c r="B1078" s="65" t="s">
        <v>1975</v>
      </c>
      <c r="C1078" s="65" t="s">
        <v>9782</v>
      </c>
      <c r="D1078" s="66">
        <v>42688</v>
      </c>
      <c r="E1078" s="65" t="s">
        <v>6809</v>
      </c>
      <c r="F1078" s="79" t="s">
        <v>6824</v>
      </c>
      <c r="G1078" s="61"/>
      <c r="I1078" s="78"/>
    </row>
    <row r="1079" spans="1:9" ht="14.25" customHeight="1" x14ac:dyDescent="0.2">
      <c r="A1079" s="65">
        <v>60220113001</v>
      </c>
      <c r="B1079" s="65" t="s">
        <v>2155</v>
      </c>
      <c r="C1079" s="65" t="s">
        <v>9783</v>
      </c>
      <c r="D1079" s="66">
        <v>42688</v>
      </c>
      <c r="E1079" s="65" t="s">
        <v>6809</v>
      </c>
      <c r="F1079" s="79" t="s">
        <v>6824</v>
      </c>
      <c r="G1079" s="61"/>
      <c r="I1079" s="78"/>
    </row>
    <row r="1080" spans="1:9" ht="14.25" customHeight="1" x14ac:dyDescent="0.2">
      <c r="A1080" s="65">
        <v>60220113002</v>
      </c>
      <c r="B1080" s="65" t="s">
        <v>9784</v>
      </c>
      <c r="C1080" s="65" t="s">
        <v>9785</v>
      </c>
      <c r="D1080" s="66">
        <v>42688</v>
      </c>
      <c r="E1080" s="65" t="s">
        <v>6809</v>
      </c>
      <c r="F1080" s="79" t="s">
        <v>6824</v>
      </c>
      <c r="G1080" s="61"/>
      <c r="I1080" s="78"/>
    </row>
    <row r="1081" spans="1:9" ht="14.25" customHeight="1" x14ac:dyDescent="0.2">
      <c r="A1081" s="65">
        <v>60220115002</v>
      </c>
      <c r="B1081" s="65" t="s">
        <v>2224</v>
      </c>
      <c r="C1081" s="65" t="s">
        <v>9786</v>
      </c>
      <c r="D1081" s="66">
        <v>42688</v>
      </c>
      <c r="E1081" s="65" t="s">
        <v>6809</v>
      </c>
      <c r="F1081" s="79" t="s">
        <v>6824</v>
      </c>
      <c r="G1081" s="61"/>
      <c r="I1081" s="78"/>
    </row>
    <row r="1082" spans="1:9" ht="14.25" customHeight="1" x14ac:dyDescent="0.2">
      <c r="A1082" s="65">
        <v>60220116002</v>
      </c>
      <c r="B1082" s="65" t="s">
        <v>2233</v>
      </c>
      <c r="C1082" s="65" t="s">
        <v>9787</v>
      </c>
      <c r="D1082" s="66">
        <v>42688</v>
      </c>
      <c r="E1082" s="65" t="s">
        <v>6809</v>
      </c>
      <c r="F1082" s="79" t="s">
        <v>6824</v>
      </c>
      <c r="G1082" s="61"/>
      <c r="I1082" s="78"/>
    </row>
    <row r="1083" spans="1:9" ht="14.25" customHeight="1" x14ac:dyDescent="0.2">
      <c r="A1083" s="65">
        <v>60220116003</v>
      </c>
      <c r="B1083" s="65" t="s">
        <v>9788</v>
      </c>
      <c r="C1083" s="65" t="s">
        <v>9789</v>
      </c>
      <c r="D1083" s="66">
        <v>42688</v>
      </c>
      <c r="E1083" s="65" t="s">
        <v>6809</v>
      </c>
      <c r="F1083" s="79" t="s">
        <v>6824</v>
      </c>
      <c r="G1083" s="61"/>
      <c r="I1083" s="78"/>
    </row>
    <row r="1084" spans="1:9" ht="14.25" customHeight="1" x14ac:dyDescent="0.2">
      <c r="A1084" s="65" t="s">
        <v>9790</v>
      </c>
      <c r="B1084" s="65" t="s">
        <v>3372</v>
      </c>
      <c r="C1084" s="65" t="s">
        <v>9791</v>
      </c>
      <c r="D1084" s="66">
        <v>42671</v>
      </c>
      <c r="E1084" s="65" t="s">
        <v>6809</v>
      </c>
      <c r="F1084" s="79" t="s">
        <v>9792</v>
      </c>
      <c r="G1084" s="61"/>
      <c r="I1084" s="78"/>
    </row>
    <row r="1085" spans="1:9" ht="14.25" customHeight="1" x14ac:dyDescent="0.2">
      <c r="A1085" s="65" t="s">
        <v>9793</v>
      </c>
      <c r="B1085" s="65" t="s">
        <v>9794</v>
      </c>
      <c r="C1085" s="65" t="s">
        <v>9795</v>
      </c>
      <c r="D1085" s="66">
        <v>42671</v>
      </c>
      <c r="E1085" s="65" t="s">
        <v>6809</v>
      </c>
      <c r="F1085" s="79" t="s">
        <v>6810</v>
      </c>
      <c r="G1085" s="61"/>
      <c r="I1085" s="78"/>
    </row>
    <row r="1086" spans="1:9" ht="14.25" customHeight="1" x14ac:dyDescent="0.2">
      <c r="A1086" s="65" t="s">
        <v>9796</v>
      </c>
      <c r="B1086" s="65" t="s">
        <v>9797</v>
      </c>
      <c r="C1086" s="65" t="s">
        <v>9798</v>
      </c>
      <c r="D1086" s="66">
        <v>42661</v>
      </c>
      <c r="E1086" s="65" t="s">
        <v>6809</v>
      </c>
      <c r="F1086" s="79" t="s">
        <v>6810</v>
      </c>
      <c r="G1086" s="61"/>
      <c r="I1086" s="78"/>
    </row>
    <row r="1087" spans="1:9" ht="14.25" customHeight="1" x14ac:dyDescent="0.2">
      <c r="A1087" s="65" t="s">
        <v>9799</v>
      </c>
      <c r="B1087" s="65" t="s">
        <v>9800</v>
      </c>
      <c r="C1087" s="65" t="s">
        <v>9801</v>
      </c>
      <c r="D1087" s="66">
        <v>42661</v>
      </c>
      <c r="E1087" s="65" t="s">
        <v>6809</v>
      </c>
      <c r="F1087" s="79" t="s">
        <v>6810</v>
      </c>
      <c r="G1087" s="61"/>
      <c r="I1087" s="78"/>
    </row>
    <row r="1088" spans="1:9" ht="14.25" customHeight="1" x14ac:dyDescent="0.2">
      <c r="A1088" s="65" t="s">
        <v>9802</v>
      </c>
      <c r="B1088" s="65" t="s">
        <v>1503</v>
      </c>
      <c r="C1088" s="65" t="s">
        <v>9803</v>
      </c>
      <c r="D1088" s="66">
        <v>42661</v>
      </c>
      <c r="E1088" s="65" t="s">
        <v>6809</v>
      </c>
      <c r="F1088" s="79" t="s">
        <v>6810</v>
      </c>
      <c r="G1088" s="61"/>
      <c r="I1088" s="78"/>
    </row>
    <row r="1089" spans="1:9" ht="14.25" customHeight="1" x14ac:dyDescent="0.2">
      <c r="A1089" s="65" t="s">
        <v>9804</v>
      </c>
      <c r="B1089" s="65" t="s">
        <v>9805</v>
      </c>
      <c r="C1089" s="65" t="s">
        <v>9806</v>
      </c>
      <c r="D1089" s="66">
        <v>42655</v>
      </c>
      <c r="E1089" s="65" t="s">
        <v>6809</v>
      </c>
      <c r="F1089" s="79" t="s">
        <v>6810</v>
      </c>
      <c r="G1089" s="61"/>
      <c r="I1089" s="78"/>
    </row>
    <row r="1090" spans="1:9" ht="14.25" customHeight="1" x14ac:dyDescent="0.2">
      <c r="A1090" s="65" t="s">
        <v>9807</v>
      </c>
      <c r="B1090" s="65" t="s">
        <v>1443</v>
      </c>
      <c r="C1090" s="65" t="s">
        <v>9808</v>
      </c>
      <c r="D1090" s="66">
        <v>42649</v>
      </c>
      <c r="E1090" s="65" t="s">
        <v>6809</v>
      </c>
      <c r="F1090" s="79" t="s">
        <v>6824</v>
      </c>
      <c r="G1090" s="61"/>
      <c r="I1090" s="78"/>
    </row>
    <row r="1091" spans="1:9" ht="14.25" customHeight="1" x14ac:dyDescent="0.2">
      <c r="A1091" s="65" t="s">
        <v>9809</v>
      </c>
      <c r="B1091" s="65" t="s">
        <v>2285</v>
      </c>
      <c r="C1091" s="65" t="s">
        <v>9810</v>
      </c>
      <c r="D1091" s="66">
        <v>42649</v>
      </c>
      <c r="E1091" s="65" t="s">
        <v>6809</v>
      </c>
      <c r="F1091" s="79" t="s">
        <v>6810</v>
      </c>
      <c r="G1091" s="61"/>
      <c r="I1091" s="78"/>
    </row>
    <row r="1092" spans="1:9" ht="14.25" customHeight="1" x14ac:dyDescent="0.2">
      <c r="A1092" s="65" t="s">
        <v>9811</v>
      </c>
      <c r="B1092" s="65" t="s">
        <v>9812</v>
      </c>
      <c r="C1092" s="65" t="s">
        <v>9813</v>
      </c>
      <c r="D1092" s="66">
        <v>42649</v>
      </c>
      <c r="E1092" s="65" t="s">
        <v>6809</v>
      </c>
      <c r="F1092" s="79" t="s">
        <v>6814</v>
      </c>
      <c r="G1092" s="61"/>
      <c r="I1092" s="78"/>
    </row>
    <row r="1093" spans="1:9" ht="14.25" customHeight="1" x14ac:dyDescent="0.2">
      <c r="A1093" s="65" t="s">
        <v>9814</v>
      </c>
      <c r="B1093" s="65" t="s">
        <v>9815</v>
      </c>
      <c r="C1093" s="65" t="s">
        <v>9816</v>
      </c>
      <c r="D1093" s="66">
        <v>42647</v>
      </c>
      <c r="E1093" s="65" t="s">
        <v>6809</v>
      </c>
      <c r="F1093" s="79" t="s">
        <v>6824</v>
      </c>
      <c r="G1093" s="61"/>
      <c r="I1093" s="78"/>
    </row>
    <row r="1094" spans="1:9" ht="14.25" customHeight="1" x14ac:dyDescent="0.2">
      <c r="A1094" s="65" t="s">
        <v>9817</v>
      </c>
      <c r="B1094" s="65" t="s">
        <v>9818</v>
      </c>
      <c r="C1094" s="65" t="s">
        <v>9819</v>
      </c>
      <c r="D1094" s="66">
        <v>42647</v>
      </c>
      <c r="E1094" s="65" t="s">
        <v>6809</v>
      </c>
      <c r="F1094" s="79" t="s">
        <v>6824</v>
      </c>
      <c r="G1094" s="61"/>
      <c r="I1094" s="78"/>
    </row>
    <row r="1095" spans="1:9" ht="14.25" customHeight="1" x14ac:dyDescent="0.2">
      <c r="A1095" s="65" t="s">
        <v>9820</v>
      </c>
      <c r="B1095" s="65" t="s">
        <v>9389</v>
      </c>
      <c r="C1095" s="65" t="s">
        <v>9821</v>
      </c>
      <c r="D1095" s="66">
        <v>42647</v>
      </c>
      <c r="E1095" s="65" t="s">
        <v>6809</v>
      </c>
      <c r="F1095" s="79" t="s">
        <v>9822</v>
      </c>
      <c r="G1095" s="61"/>
      <c r="I1095" s="78"/>
    </row>
    <row r="1096" spans="1:9" ht="14.25" customHeight="1" x14ac:dyDescent="0.2">
      <c r="A1096" s="65" t="s">
        <v>9823</v>
      </c>
      <c r="B1096" s="65" t="s">
        <v>9824</v>
      </c>
      <c r="C1096" s="65" t="s">
        <v>9825</v>
      </c>
      <c r="D1096" s="66">
        <v>42647</v>
      </c>
      <c r="E1096" s="65" t="s">
        <v>6809</v>
      </c>
      <c r="F1096" s="79" t="s">
        <v>6810</v>
      </c>
      <c r="G1096" s="61"/>
      <c r="I1096" s="78"/>
    </row>
    <row r="1097" spans="1:9" ht="14.25" customHeight="1" x14ac:dyDescent="0.2">
      <c r="A1097" s="65" t="s">
        <v>9826</v>
      </c>
      <c r="B1097" s="65" t="s">
        <v>9827</v>
      </c>
      <c r="C1097" s="65" t="s">
        <v>9828</v>
      </c>
      <c r="D1097" s="66">
        <v>42646</v>
      </c>
      <c r="E1097" s="65" t="s">
        <v>6809</v>
      </c>
      <c r="F1097" s="79" t="s">
        <v>9829</v>
      </c>
      <c r="G1097" s="61"/>
      <c r="I1097" s="78"/>
    </row>
    <row r="1098" spans="1:9" ht="14.25" customHeight="1" x14ac:dyDescent="0.2">
      <c r="A1098" s="65" t="s">
        <v>9830</v>
      </c>
      <c r="B1098" s="65" t="s">
        <v>9831</v>
      </c>
      <c r="C1098" s="65" t="s">
        <v>9832</v>
      </c>
      <c r="D1098" s="66">
        <v>42646</v>
      </c>
      <c r="E1098" s="65" t="s">
        <v>6809</v>
      </c>
      <c r="F1098" s="79" t="s">
        <v>9833</v>
      </c>
      <c r="G1098" s="61"/>
      <c r="I1098" s="78"/>
    </row>
    <row r="1099" spans="1:9" ht="14.25" customHeight="1" x14ac:dyDescent="0.2">
      <c r="A1099" s="65" t="s">
        <v>9834</v>
      </c>
      <c r="B1099" s="65" t="s">
        <v>9835</v>
      </c>
      <c r="C1099" s="65" t="s">
        <v>9836</v>
      </c>
      <c r="D1099" s="66">
        <v>42646</v>
      </c>
      <c r="E1099" s="65" t="s">
        <v>6809</v>
      </c>
      <c r="F1099" s="79" t="s">
        <v>9837</v>
      </c>
      <c r="G1099" s="61"/>
      <c r="I1099" s="78"/>
    </row>
    <row r="1100" spans="1:9" ht="14.25" customHeight="1" x14ac:dyDescent="0.2">
      <c r="A1100" s="65" t="s">
        <v>9838</v>
      </c>
      <c r="B1100" s="65" t="s">
        <v>9839</v>
      </c>
      <c r="C1100" s="65" t="s">
        <v>9840</v>
      </c>
      <c r="D1100" s="66">
        <v>42643</v>
      </c>
      <c r="E1100" s="65" t="s">
        <v>6809</v>
      </c>
      <c r="F1100" s="79" t="s">
        <v>9841</v>
      </c>
      <c r="G1100" s="61"/>
      <c r="I1100" s="78"/>
    </row>
    <row r="1101" spans="1:9" ht="14.25" customHeight="1" x14ac:dyDescent="0.2">
      <c r="A1101" s="65" t="s">
        <v>9842</v>
      </c>
      <c r="B1101" s="76" t="s">
        <v>9843</v>
      </c>
      <c r="C1101" s="65" t="s">
        <v>9844</v>
      </c>
      <c r="D1101" s="66">
        <v>42642</v>
      </c>
      <c r="E1101" s="65" t="s">
        <v>6809</v>
      </c>
      <c r="F1101" s="79" t="s">
        <v>6814</v>
      </c>
      <c r="G1101" s="61"/>
      <c r="I1101" s="78"/>
    </row>
    <row r="1102" spans="1:9" ht="14.25" customHeight="1" x14ac:dyDescent="0.2">
      <c r="A1102" s="65" t="s">
        <v>9845</v>
      </c>
      <c r="B1102" s="65" t="s">
        <v>9846</v>
      </c>
      <c r="C1102" s="65" t="s">
        <v>9847</v>
      </c>
      <c r="D1102" s="66">
        <v>42636</v>
      </c>
      <c r="E1102" s="65" t="s">
        <v>6809</v>
      </c>
      <c r="F1102" s="79" t="s">
        <v>9848</v>
      </c>
      <c r="G1102" s="61"/>
      <c r="I1102" s="78"/>
    </row>
    <row r="1103" spans="1:9" ht="14.25" customHeight="1" x14ac:dyDescent="0.2">
      <c r="A1103" s="65" t="s">
        <v>9849</v>
      </c>
      <c r="B1103" s="76" t="s">
        <v>9850</v>
      </c>
      <c r="C1103" s="65" t="s">
        <v>9851</v>
      </c>
      <c r="D1103" s="66">
        <v>42636</v>
      </c>
      <c r="E1103" s="65" t="s">
        <v>6809</v>
      </c>
      <c r="F1103" s="79" t="s">
        <v>6810</v>
      </c>
      <c r="G1103" s="61"/>
      <c r="I1103" s="78"/>
    </row>
    <row r="1104" spans="1:9" ht="14.25" customHeight="1" x14ac:dyDescent="0.2">
      <c r="A1104" s="65" t="s">
        <v>9852</v>
      </c>
      <c r="B1104" s="76" t="s">
        <v>1999</v>
      </c>
      <c r="C1104" s="65" t="s">
        <v>9853</v>
      </c>
      <c r="D1104" s="66">
        <v>42626</v>
      </c>
      <c r="E1104" s="65" t="s">
        <v>6809</v>
      </c>
      <c r="F1104" s="79" t="s">
        <v>9854</v>
      </c>
      <c r="G1104" s="61"/>
      <c r="I1104" s="78"/>
    </row>
    <row r="1105" spans="1:9" ht="14.25" customHeight="1" x14ac:dyDescent="0.2">
      <c r="A1105" s="65" t="s">
        <v>9855</v>
      </c>
      <c r="B1105" s="76" t="s">
        <v>9856</v>
      </c>
      <c r="C1105" s="65" t="s">
        <v>9857</v>
      </c>
      <c r="D1105" s="66">
        <v>42625</v>
      </c>
      <c r="E1105" s="65" t="s">
        <v>6809</v>
      </c>
      <c r="F1105" s="79" t="s">
        <v>6810</v>
      </c>
      <c r="G1105" s="61"/>
      <c r="I1105" s="78"/>
    </row>
    <row r="1106" spans="1:9" ht="14.25" customHeight="1" x14ac:dyDescent="0.2">
      <c r="A1106" s="65" t="s">
        <v>8436</v>
      </c>
      <c r="B1106" s="76" t="s">
        <v>8437</v>
      </c>
      <c r="C1106" s="65" t="s">
        <v>8438</v>
      </c>
      <c r="D1106" s="66">
        <v>42625</v>
      </c>
      <c r="E1106" s="65" t="s">
        <v>6809</v>
      </c>
      <c r="F1106" s="79" t="s">
        <v>6810</v>
      </c>
      <c r="G1106" s="61"/>
      <c r="I1106" s="78"/>
    </row>
    <row r="1107" spans="1:9" ht="14.25" customHeight="1" x14ac:dyDescent="0.2">
      <c r="A1107" s="65" t="s">
        <v>9858</v>
      </c>
      <c r="B1107" s="76" t="s">
        <v>232</v>
      </c>
      <c r="C1107" s="65" t="s">
        <v>9859</v>
      </c>
      <c r="D1107" s="66">
        <v>42624</v>
      </c>
      <c r="E1107" s="65" t="s">
        <v>6809</v>
      </c>
      <c r="F1107" s="79" t="s">
        <v>9860</v>
      </c>
      <c r="G1107" s="61"/>
      <c r="I1107" s="78"/>
    </row>
    <row r="1108" spans="1:9" ht="14.25" customHeight="1" x14ac:dyDescent="0.2">
      <c r="A1108" s="65" t="s">
        <v>9861</v>
      </c>
      <c r="B1108" s="76" t="s">
        <v>8206</v>
      </c>
      <c r="C1108" s="65" t="s">
        <v>9862</v>
      </c>
      <c r="D1108" s="66">
        <v>42615</v>
      </c>
      <c r="E1108" s="65" t="s">
        <v>6809</v>
      </c>
      <c r="F1108" s="79" t="s">
        <v>9863</v>
      </c>
      <c r="G1108" s="61"/>
      <c r="I1108" s="78"/>
    </row>
    <row r="1109" spans="1:9" ht="14.25" customHeight="1" x14ac:dyDescent="0.2">
      <c r="A1109" s="65" t="s">
        <v>9864</v>
      </c>
      <c r="B1109" s="76" t="s">
        <v>9865</v>
      </c>
      <c r="C1109" s="65" t="s">
        <v>9866</v>
      </c>
      <c r="D1109" s="66">
        <v>42613</v>
      </c>
      <c r="E1109" s="65" t="s">
        <v>6809</v>
      </c>
      <c r="F1109" s="79" t="s">
        <v>6824</v>
      </c>
      <c r="G1109" s="61"/>
      <c r="I1109" s="78"/>
    </row>
    <row r="1110" spans="1:9" ht="14.25" customHeight="1" x14ac:dyDescent="0.2">
      <c r="A1110" s="65" t="s">
        <v>9867</v>
      </c>
      <c r="B1110" s="76" t="s">
        <v>9868</v>
      </c>
      <c r="C1110" s="65" t="s">
        <v>9869</v>
      </c>
      <c r="D1110" s="66">
        <v>42613</v>
      </c>
      <c r="E1110" s="65" t="s">
        <v>6809</v>
      </c>
      <c r="F1110" s="79" t="s">
        <v>6814</v>
      </c>
      <c r="G1110" s="61"/>
      <c r="I1110" s="78"/>
    </row>
    <row r="1111" spans="1:9" ht="14.25" customHeight="1" x14ac:dyDescent="0.2">
      <c r="A1111" s="65" t="s">
        <v>9870</v>
      </c>
      <c r="B1111" s="76" t="s">
        <v>2004</v>
      </c>
      <c r="C1111" s="65" t="s">
        <v>9871</v>
      </c>
      <c r="D1111" s="66">
        <v>42608</v>
      </c>
      <c r="E1111" s="65" t="s">
        <v>6809</v>
      </c>
      <c r="F1111" s="79" t="s">
        <v>6810</v>
      </c>
      <c r="G1111" s="61"/>
      <c r="I1111" s="78"/>
    </row>
    <row r="1112" spans="1:9" ht="14.25" customHeight="1" x14ac:dyDescent="0.2">
      <c r="A1112" s="65" t="s">
        <v>9872</v>
      </c>
      <c r="B1112" s="76" t="s">
        <v>9873</v>
      </c>
      <c r="C1112" s="65" t="s">
        <v>9874</v>
      </c>
      <c r="D1112" s="66">
        <v>42608</v>
      </c>
      <c r="E1112" s="65" t="s">
        <v>6809</v>
      </c>
      <c r="F1112" s="79" t="s">
        <v>6824</v>
      </c>
      <c r="G1112" s="61"/>
      <c r="I1112" s="78"/>
    </row>
    <row r="1113" spans="1:9" ht="14.25" customHeight="1" x14ac:dyDescent="0.2">
      <c r="A1113" s="65" t="s">
        <v>9875</v>
      </c>
      <c r="B1113" s="76" t="s">
        <v>9876</v>
      </c>
      <c r="C1113" s="65" t="s">
        <v>9877</v>
      </c>
      <c r="D1113" s="66">
        <v>42606</v>
      </c>
      <c r="E1113" s="65" t="s">
        <v>6809</v>
      </c>
      <c r="F1113" s="79" t="s">
        <v>6810</v>
      </c>
      <c r="G1113" s="61"/>
      <c r="I1113" s="78"/>
    </row>
    <row r="1114" spans="1:9" ht="14.25" customHeight="1" x14ac:dyDescent="0.2">
      <c r="A1114" s="65" t="s">
        <v>9878</v>
      </c>
      <c r="B1114" s="76" t="s">
        <v>9879</v>
      </c>
      <c r="C1114" s="65" t="s">
        <v>9880</v>
      </c>
      <c r="D1114" s="66">
        <v>42600</v>
      </c>
      <c r="E1114" s="65" t="s">
        <v>7922</v>
      </c>
      <c r="F1114" s="79" t="s">
        <v>9881</v>
      </c>
      <c r="G1114" s="61"/>
      <c r="I1114" s="78"/>
    </row>
    <row r="1115" spans="1:9" ht="14.25" customHeight="1" x14ac:dyDescent="0.2">
      <c r="A1115" s="65" t="s">
        <v>9861</v>
      </c>
      <c r="B1115" s="76" t="s">
        <v>8206</v>
      </c>
      <c r="C1115" s="65" t="s">
        <v>9862</v>
      </c>
      <c r="D1115" s="66">
        <v>42600</v>
      </c>
      <c r="E1115" s="65" t="s">
        <v>6809</v>
      </c>
      <c r="F1115" s="79" t="s">
        <v>9863</v>
      </c>
      <c r="G1115" s="61"/>
      <c r="I1115" s="78"/>
    </row>
    <row r="1116" spans="1:9" ht="14.25" customHeight="1" x14ac:dyDescent="0.2">
      <c r="A1116" s="65" t="s">
        <v>9882</v>
      </c>
      <c r="B1116" s="76" t="s">
        <v>9883</v>
      </c>
      <c r="C1116" s="65" t="s">
        <v>9884</v>
      </c>
      <c r="D1116" s="66">
        <v>42598</v>
      </c>
      <c r="E1116" s="65" t="s">
        <v>6809</v>
      </c>
      <c r="F1116" s="79" t="s">
        <v>6810</v>
      </c>
      <c r="G1116" s="61"/>
      <c r="I1116" s="78"/>
    </row>
    <row r="1117" spans="1:9" ht="14.25" customHeight="1" x14ac:dyDescent="0.2">
      <c r="A1117" s="65" t="s">
        <v>9885</v>
      </c>
      <c r="B1117" s="76" t="s">
        <v>9886</v>
      </c>
      <c r="C1117" s="65" t="s">
        <v>9887</v>
      </c>
      <c r="D1117" s="66">
        <v>42597</v>
      </c>
      <c r="E1117" s="65" t="s">
        <v>6809</v>
      </c>
      <c r="F1117" s="79" t="s">
        <v>6810</v>
      </c>
      <c r="G1117" s="61"/>
      <c r="I1117" s="78"/>
    </row>
    <row r="1118" spans="1:9" ht="14.25" customHeight="1" x14ac:dyDescent="0.2">
      <c r="A1118" s="65" t="s">
        <v>9888</v>
      </c>
      <c r="B1118" s="76" t="s">
        <v>9889</v>
      </c>
      <c r="C1118" s="65" t="s">
        <v>9890</v>
      </c>
      <c r="D1118" s="66">
        <v>42597</v>
      </c>
      <c r="E1118" s="65" t="s">
        <v>6809</v>
      </c>
      <c r="F1118" s="79" t="s">
        <v>6810</v>
      </c>
      <c r="G1118" s="61"/>
      <c r="I1118" s="78"/>
    </row>
    <row r="1119" spans="1:9" ht="14.25" customHeight="1" x14ac:dyDescent="0.2">
      <c r="A1119" s="65" t="s">
        <v>9891</v>
      </c>
      <c r="B1119" s="76" t="s">
        <v>9892</v>
      </c>
      <c r="C1119" s="65" t="s">
        <v>9893</v>
      </c>
      <c r="D1119" s="66">
        <v>42597</v>
      </c>
      <c r="E1119" s="65" t="s">
        <v>6809</v>
      </c>
      <c r="F1119" s="79" t="s">
        <v>6810</v>
      </c>
      <c r="G1119" s="61"/>
      <c r="I1119" s="78"/>
    </row>
    <row r="1120" spans="1:9" ht="14.25" customHeight="1" x14ac:dyDescent="0.2">
      <c r="A1120" s="65" t="s">
        <v>9894</v>
      </c>
      <c r="B1120" s="76" t="s">
        <v>9895</v>
      </c>
      <c r="C1120" s="65" t="s">
        <v>9896</v>
      </c>
      <c r="D1120" s="66">
        <v>42592</v>
      </c>
      <c r="E1120" s="65" t="s">
        <v>6809</v>
      </c>
      <c r="F1120" s="79" t="s">
        <v>6810</v>
      </c>
      <c r="G1120" s="61"/>
      <c r="I1120" s="78"/>
    </row>
    <row r="1121" spans="1:9" ht="14.25" customHeight="1" x14ac:dyDescent="0.2">
      <c r="A1121" s="65" t="s">
        <v>9897</v>
      </c>
      <c r="B1121" s="76" t="s">
        <v>9898</v>
      </c>
      <c r="C1121" s="65" t="s">
        <v>9899</v>
      </c>
      <c r="D1121" s="66">
        <v>42586</v>
      </c>
      <c r="E1121" s="65" t="s">
        <v>6809</v>
      </c>
      <c r="F1121" s="79" t="s">
        <v>6810</v>
      </c>
      <c r="G1121" s="61"/>
      <c r="I1121" s="78"/>
    </row>
    <row r="1122" spans="1:9" ht="14.25" customHeight="1" x14ac:dyDescent="0.2">
      <c r="A1122" s="65" t="s">
        <v>9900</v>
      </c>
      <c r="B1122" s="76" t="s">
        <v>8209</v>
      </c>
      <c r="C1122" s="65" t="s">
        <v>9901</v>
      </c>
      <c r="D1122" s="66">
        <v>42585</v>
      </c>
      <c r="E1122" s="65" t="s">
        <v>6809</v>
      </c>
      <c r="F1122" s="79" t="s">
        <v>9902</v>
      </c>
      <c r="G1122" s="61"/>
      <c r="I1122" s="78"/>
    </row>
    <row r="1123" spans="1:9" ht="14.25" customHeight="1" x14ac:dyDescent="0.2">
      <c r="A1123" s="65" t="s">
        <v>9903</v>
      </c>
      <c r="B1123" s="76" t="s">
        <v>8272</v>
      </c>
      <c r="C1123" s="65" t="s">
        <v>9904</v>
      </c>
      <c r="D1123" s="66">
        <v>42585</v>
      </c>
      <c r="E1123" s="65" t="s">
        <v>6809</v>
      </c>
      <c r="F1123" s="79" t="s">
        <v>6814</v>
      </c>
      <c r="G1123" s="61"/>
      <c r="I1123" s="78"/>
    </row>
    <row r="1124" spans="1:9" ht="14.25" customHeight="1" x14ac:dyDescent="0.2">
      <c r="A1124" s="65" t="s">
        <v>9905</v>
      </c>
      <c r="B1124" s="76" t="s">
        <v>8136</v>
      </c>
      <c r="C1124" s="65" t="s">
        <v>9906</v>
      </c>
      <c r="D1124" s="66">
        <v>42584</v>
      </c>
      <c r="E1124" s="65" t="s">
        <v>6809</v>
      </c>
      <c r="F1124" s="79" t="s">
        <v>6814</v>
      </c>
      <c r="G1124" s="61"/>
      <c r="I1124" s="78"/>
    </row>
    <row r="1125" spans="1:9" ht="14.25" customHeight="1" x14ac:dyDescent="0.2">
      <c r="A1125" s="65" t="s">
        <v>9907</v>
      </c>
      <c r="B1125" s="76" t="s">
        <v>9908</v>
      </c>
      <c r="C1125" s="65" t="s">
        <v>9909</v>
      </c>
      <c r="D1125" s="66">
        <v>42584</v>
      </c>
      <c r="E1125" s="65" t="s">
        <v>6809</v>
      </c>
      <c r="F1125" s="79" t="s">
        <v>6814</v>
      </c>
      <c r="G1125" s="61"/>
      <c r="I1125" s="78"/>
    </row>
    <row r="1126" spans="1:9" ht="14.25" customHeight="1" x14ac:dyDescent="0.2">
      <c r="A1126" s="65" t="s">
        <v>9910</v>
      </c>
      <c r="B1126" s="76" t="s">
        <v>9911</v>
      </c>
      <c r="C1126" s="65" t="s">
        <v>9912</v>
      </c>
      <c r="D1126" s="66">
        <v>42583</v>
      </c>
      <c r="E1126" s="65" t="s">
        <v>6809</v>
      </c>
      <c r="F1126" s="79" t="s">
        <v>6810</v>
      </c>
      <c r="G1126" s="61"/>
      <c r="I1126" s="78"/>
    </row>
    <row r="1127" spans="1:9" ht="14.25" customHeight="1" x14ac:dyDescent="0.2">
      <c r="A1127" s="65" t="s">
        <v>9913</v>
      </c>
      <c r="B1127" s="76" t="s">
        <v>1491</v>
      </c>
      <c r="C1127" s="65" t="s">
        <v>9914</v>
      </c>
      <c r="D1127" s="66">
        <v>42579</v>
      </c>
      <c r="E1127" s="65"/>
      <c r="F1127" s="79" t="s">
        <v>9915</v>
      </c>
      <c r="G1127" s="61"/>
      <c r="I1127" s="78"/>
    </row>
    <row r="1128" spans="1:9" ht="14.25" customHeight="1" x14ac:dyDescent="0.2">
      <c r="A1128" s="65" t="s">
        <v>9916</v>
      </c>
      <c r="B1128" s="76" t="s">
        <v>9917</v>
      </c>
      <c r="C1128" s="65" t="s">
        <v>9918</v>
      </c>
      <c r="D1128" s="66">
        <v>42577</v>
      </c>
      <c r="E1128" s="65" t="s">
        <v>6809</v>
      </c>
      <c r="F1128" s="79" t="s">
        <v>6814</v>
      </c>
      <c r="G1128" s="61"/>
      <c r="I1128" s="78"/>
    </row>
    <row r="1129" spans="1:9" ht="14.25" customHeight="1" x14ac:dyDescent="0.2">
      <c r="A1129" s="65" t="s">
        <v>9919</v>
      </c>
      <c r="B1129" s="76" t="s">
        <v>9920</v>
      </c>
      <c r="C1129" s="65" t="s">
        <v>9921</v>
      </c>
      <c r="D1129" s="66">
        <v>42577</v>
      </c>
      <c r="E1129" s="65" t="s">
        <v>6809</v>
      </c>
      <c r="F1129" s="79" t="s">
        <v>6810</v>
      </c>
      <c r="G1129" s="61"/>
      <c r="I1129" s="78"/>
    </row>
    <row r="1130" spans="1:9" ht="14.25" customHeight="1" x14ac:dyDescent="0.2">
      <c r="A1130" s="65" t="s">
        <v>9922</v>
      </c>
      <c r="B1130" s="76" t="s">
        <v>9923</v>
      </c>
      <c r="C1130" s="65" t="s">
        <v>9924</v>
      </c>
      <c r="D1130" s="66">
        <v>42577</v>
      </c>
      <c r="E1130" s="65" t="s">
        <v>6809</v>
      </c>
      <c r="F1130" s="79" t="s">
        <v>6810</v>
      </c>
      <c r="G1130" s="61"/>
      <c r="I1130" s="78"/>
    </row>
    <row r="1131" spans="1:9" ht="14.25" customHeight="1" x14ac:dyDescent="0.2">
      <c r="A1131" s="65" t="s">
        <v>9925</v>
      </c>
      <c r="B1131" s="76" t="s">
        <v>9926</v>
      </c>
      <c r="C1131" s="65" t="s">
        <v>9927</v>
      </c>
      <c r="D1131" s="66">
        <v>42572</v>
      </c>
      <c r="E1131" s="65" t="s">
        <v>6809</v>
      </c>
      <c r="F1131" s="79" t="s">
        <v>6814</v>
      </c>
      <c r="G1131" s="61"/>
      <c r="I1131" s="78"/>
    </row>
    <row r="1132" spans="1:9" ht="14.25" customHeight="1" x14ac:dyDescent="0.2">
      <c r="A1132" s="65" t="s">
        <v>9928</v>
      </c>
      <c r="B1132" s="76" t="s">
        <v>1102</v>
      </c>
      <c r="C1132" s="65" t="s">
        <v>9929</v>
      </c>
      <c r="D1132" s="66">
        <v>42571</v>
      </c>
      <c r="E1132" s="65" t="s">
        <v>7922</v>
      </c>
      <c r="F1132" s="79" t="s">
        <v>9930</v>
      </c>
      <c r="G1132" s="61"/>
      <c r="I1132" s="78"/>
    </row>
    <row r="1133" spans="1:9" ht="14.25" customHeight="1" x14ac:dyDescent="0.2">
      <c r="A1133" s="65" t="s">
        <v>9931</v>
      </c>
      <c r="B1133" s="76" t="s">
        <v>9932</v>
      </c>
      <c r="C1133" s="65" t="s">
        <v>9933</v>
      </c>
      <c r="D1133" s="66">
        <v>42569</v>
      </c>
      <c r="E1133" s="65" t="s">
        <v>6809</v>
      </c>
      <c r="F1133" s="79" t="s">
        <v>6810</v>
      </c>
      <c r="G1133" s="61"/>
      <c r="I1133" s="78"/>
    </row>
    <row r="1134" spans="1:9" ht="14.25" customHeight="1" x14ac:dyDescent="0.2">
      <c r="A1134" s="65" t="s">
        <v>9934</v>
      </c>
      <c r="B1134" s="76" t="s">
        <v>7078</v>
      </c>
      <c r="C1134" s="65" t="s">
        <v>9935</v>
      </c>
      <c r="D1134" s="66">
        <v>42565</v>
      </c>
      <c r="E1134" s="65" t="s">
        <v>6809</v>
      </c>
      <c r="F1134" s="79" t="s">
        <v>6814</v>
      </c>
      <c r="G1134" s="61"/>
      <c r="I1134" s="78"/>
    </row>
    <row r="1135" spans="1:9" ht="14.25" customHeight="1" x14ac:dyDescent="0.2">
      <c r="A1135" s="65" t="s">
        <v>9936</v>
      </c>
      <c r="B1135" s="76" t="s">
        <v>8434</v>
      </c>
      <c r="C1135" s="65" t="s">
        <v>9937</v>
      </c>
      <c r="D1135" s="66">
        <v>42565</v>
      </c>
      <c r="E1135" s="65" t="s">
        <v>6809</v>
      </c>
      <c r="F1135" s="79" t="s">
        <v>6814</v>
      </c>
      <c r="G1135" s="61"/>
      <c r="I1135" s="78"/>
    </row>
    <row r="1136" spans="1:9" ht="14.25" customHeight="1" x14ac:dyDescent="0.2">
      <c r="A1136" s="65" t="s">
        <v>9938</v>
      </c>
      <c r="B1136" s="76" t="s">
        <v>3741</v>
      </c>
      <c r="C1136" s="65" t="s">
        <v>9939</v>
      </c>
      <c r="D1136" s="66">
        <v>42564</v>
      </c>
      <c r="E1136" s="65" t="s">
        <v>6809</v>
      </c>
      <c r="F1136" s="79" t="s">
        <v>9940</v>
      </c>
      <c r="G1136" s="61"/>
      <c r="I1136" s="78"/>
    </row>
    <row r="1137" spans="1:9" ht="14.25" customHeight="1" x14ac:dyDescent="0.2">
      <c r="A1137" s="65" t="s">
        <v>9941</v>
      </c>
      <c r="B1137" s="76" t="s">
        <v>9942</v>
      </c>
      <c r="C1137" s="65" t="s">
        <v>9943</v>
      </c>
      <c r="D1137" s="66">
        <v>42563</v>
      </c>
      <c r="E1137" s="65" t="s">
        <v>6809</v>
      </c>
      <c r="F1137" s="79" t="s">
        <v>6810</v>
      </c>
      <c r="G1137" s="61"/>
      <c r="I1137" s="78"/>
    </row>
    <row r="1138" spans="1:9" ht="14.25" customHeight="1" x14ac:dyDescent="0.2">
      <c r="A1138" s="65" t="s">
        <v>9944</v>
      </c>
      <c r="B1138" s="76" t="s">
        <v>9945</v>
      </c>
      <c r="C1138" s="65" t="s">
        <v>9946</v>
      </c>
      <c r="D1138" s="66">
        <v>42562</v>
      </c>
      <c r="E1138" s="65" t="s">
        <v>6809</v>
      </c>
      <c r="F1138" s="79" t="s">
        <v>6810</v>
      </c>
      <c r="G1138" s="61"/>
      <c r="I1138" s="78"/>
    </row>
    <row r="1139" spans="1:9" ht="14.25" customHeight="1" x14ac:dyDescent="0.2">
      <c r="A1139" s="65" t="s">
        <v>9947</v>
      </c>
      <c r="B1139" s="76" t="s">
        <v>968</v>
      </c>
      <c r="C1139" s="65" t="s">
        <v>9948</v>
      </c>
      <c r="D1139" s="66">
        <v>42559</v>
      </c>
      <c r="E1139" s="65" t="s">
        <v>6809</v>
      </c>
      <c r="F1139" s="79" t="s">
        <v>6810</v>
      </c>
      <c r="G1139" s="61"/>
      <c r="I1139" s="78"/>
    </row>
    <row r="1140" spans="1:9" ht="14.25" customHeight="1" x14ac:dyDescent="0.2">
      <c r="A1140" s="65" t="s">
        <v>9949</v>
      </c>
      <c r="B1140" s="76" t="s">
        <v>9950</v>
      </c>
      <c r="C1140" s="65" t="s">
        <v>9951</v>
      </c>
      <c r="D1140" s="66">
        <v>42557</v>
      </c>
      <c r="E1140" s="65" t="s">
        <v>6809</v>
      </c>
      <c r="F1140" s="79" t="s">
        <v>6810</v>
      </c>
      <c r="G1140" s="61"/>
      <c r="I1140" s="78"/>
    </row>
    <row r="1141" spans="1:9" ht="14.25" customHeight="1" x14ac:dyDescent="0.2">
      <c r="A1141" s="65" t="s">
        <v>9952</v>
      </c>
      <c r="B1141" s="76" t="s">
        <v>9953</v>
      </c>
      <c r="C1141" s="65" t="s">
        <v>9954</v>
      </c>
      <c r="D1141" s="66">
        <v>42552</v>
      </c>
      <c r="E1141" s="65" t="s">
        <v>6809</v>
      </c>
      <c r="F1141" s="79" t="s">
        <v>6810</v>
      </c>
      <c r="G1141" s="61"/>
      <c r="I1141" s="78"/>
    </row>
    <row r="1142" spans="1:9" ht="14.25" customHeight="1" x14ac:dyDescent="0.2">
      <c r="A1142" s="65" t="s">
        <v>9955</v>
      </c>
      <c r="B1142" s="76" t="s">
        <v>9956</v>
      </c>
      <c r="C1142" s="65" t="s">
        <v>9957</v>
      </c>
      <c r="D1142" s="66">
        <v>42549</v>
      </c>
      <c r="E1142" s="65" t="s">
        <v>6809</v>
      </c>
      <c r="F1142" s="79" t="s">
        <v>6810</v>
      </c>
      <c r="G1142" s="61"/>
      <c r="I1142" s="78"/>
    </row>
    <row r="1143" spans="1:9" ht="14.25" customHeight="1" x14ac:dyDescent="0.2">
      <c r="A1143" s="65" t="s">
        <v>9958</v>
      </c>
      <c r="B1143" s="76" t="s">
        <v>9959</v>
      </c>
      <c r="C1143" s="65" t="s">
        <v>9960</v>
      </c>
      <c r="D1143" s="66">
        <v>42548</v>
      </c>
      <c r="E1143" s="65" t="s">
        <v>6809</v>
      </c>
      <c r="F1143" s="79" t="s">
        <v>6810</v>
      </c>
      <c r="G1143" s="61"/>
      <c r="I1143" s="78"/>
    </row>
    <row r="1144" spans="1:9" ht="14.25" customHeight="1" x14ac:dyDescent="0.2">
      <c r="A1144" s="65" t="s">
        <v>9961</v>
      </c>
      <c r="B1144" s="76" t="s">
        <v>3629</v>
      </c>
      <c r="C1144" s="65" t="s">
        <v>9962</v>
      </c>
      <c r="D1144" s="66">
        <v>42548</v>
      </c>
      <c r="E1144" s="65" t="s">
        <v>6809</v>
      </c>
      <c r="F1144" s="79" t="s">
        <v>6814</v>
      </c>
      <c r="G1144" s="61"/>
      <c r="I1144" s="78"/>
    </row>
    <row r="1145" spans="1:9" ht="14.25" customHeight="1" x14ac:dyDescent="0.2">
      <c r="A1145" s="65" t="s">
        <v>9963</v>
      </c>
      <c r="B1145" s="76" t="s">
        <v>8720</v>
      </c>
      <c r="C1145" s="65" t="s">
        <v>9964</v>
      </c>
      <c r="D1145" s="66">
        <v>42537</v>
      </c>
      <c r="E1145" s="65" t="s">
        <v>6809</v>
      </c>
      <c r="F1145" s="79" t="s">
        <v>6810</v>
      </c>
      <c r="G1145" s="61"/>
      <c r="I1145" s="78"/>
    </row>
    <row r="1146" spans="1:9" ht="14.25" customHeight="1" x14ac:dyDescent="0.2">
      <c r="A1146" s="65" t="s">
        <v>9965</v>
      </c>
      <c r="B1146" s="76" t="s">
        <v>9966</v>
      </c>
      <c r="C1146" s="65" t="s">
        <v>9967</v>
      </c>
      <c r="D1146" s="66">
        <v>42535</v>
      </c>
      <c r="E1146" s="65" t="s">
        <v>6809</v>
      </c>
      <c r="F1146" s="79" t="s">
        <v>6810</v>
      </c>
      <c r="G1146" s="61"/>
      <c r="I1146" s="78"/>
    </row>
    <row r="1147" spans="1:9" ht="14.25" customHeight="1" x14ac:dyDescent="0.2">
      <c r="A1147" s="65" t="s">
        <v>9968</v>
      </c>
      <c r="B1147" s="76" t="s">
        <v>9969</v>
      </c>
      <c r="C1147" s="65" t="s">
        <v>9970</v>
      </c>
      <c r="D1147" s="66">
        <v>42531</v>
      </c>
      <c r="E1147" s="65" t="s">
        <v>6809</v>
      </c>
      <c r="F1147" s="79" t="s">
        <v>6810</v>
      </c>
      <c r="G1147" s="61"/>
      <c r="I1147" s="78"/>
    </row>
    <row r="1148" spans="1:9" ht="14.25" customHeight="1" x14ac:dyDescent="0.2">
      <c r="A1148" s="65" t="s">
        <v>9971</v>
      </c>
      <c r="B1148" s="76" t="s">
        <v>9972</v>
      </c>
      <c r="C1148" s="65" t="s">
        <v>9973</v>
      </c>
      <c r="D1148" s="66">
        <v>42531</v>
      </c>
      <c r="E1148" s="65" t="s">
        <v>6809</v>
      </c>
      <c r="F1148" s="79" t="s">
        <v>6810</v>
      </c>
      <c r="G1148" s="61"/>
      <c r="I1148" s="78"/>
    </row>
    <row r="1149" spans="1:9" ht="14.25" customHeight="1" x14ac:dyDescent="0.2">
      <c r="A1149" s="65" t="s">
        <v>9974</v>
      </c>
      <c r="B1149" s="76" t="s">
        <v>9975</v>
      </c>
      <c r="C1149" s="65" t="s">
        <v>9976</v>
      </c>
      <c r="D1149" s="66">
        <v>42531</v>
      </c>
      <c r="E1149" s="65" t="s">
        <v>6809</v>
      </c>
      <c r="F1149" s="79" t="s">
        <v>6810</v>
      </c>
      <c r="G1149" s="61"/>
      <c r="I1149" s="78"/>
    </row>
    <row r="1150" spans="1:9" ht="14.25" customHeight="1" x14ac:dyDescent="0.2">
      <c r="A1150" s="65" t="s">
        <v>9977</v>
      </c>
      <c r="B1150" s="76" t="s">
        <v>9978</v>
      </c>
      <c r="C1150" s="65" t="s">
        <v>9979</v>
      </c>
      <c r="D1150" s="66">
        <v>42531</v>
      </c>
      <c r="E1150" s="65" t="s">
        <v>6809</v>
      </c>
      <c r="F1150" s="79" t="s">
        <v>6824</v>
      </c>
      <c r="G1150" s="61"/>
      <c r="I1150" s="78"/>
    </row>
    <row r="1151" spans="1:9" ht="14.25" customHeight="1" x14ac:dyDescent="0.2">
      <c r="A1151" s="65" t="s">
        <v>9980</v>
      </c>
      <c r="B1151" s="76" t="s">
        <v>9981</v>
      </c>
      <c r="C1151" s="65" t="s">
        <v>9982</v>
      </c>
      <c r="D1151" s="66">
        <v>42530</v>
      </c>
      <c r="E1151" s="65" t="s">
        <v>6809</v>
      </c>
      <c r="F1151" s="79" t="s">
        <v>6810</v>
      </c>
      <c r="G1151" s="61"/>
      <c r="I1151" s="78"/>
    </row>
    <row r="1152" spans="1:9" ht="14.25" customHeight="1" x14ac:dyDescent="0.2">
      <c r="A1152" s="65" t="s">
        <v>9983</v>
      </c>
      <c r="B1152" s="76" t="s">
        <v>9984</v>
      </c>
      <c r="C1152" s="65" t="s">
        <v>9985</v>
      </c>
      <c r="D1152" s="66">
        <v>42530</v>
      </c>
      <c r="E1152" s="65" t="s">
        <v>6809</v>
      </c>
      <c r="F1152" s="79" t="s">
        <v>6824</v>
      </c>
      <c r="G1152" s="61"/>
      <c r="I1152" s="78"/>
    </row>
    <row r="1153" spans="1:9" ht="14.25" customHeight="1" x14ac:dyDescent="0.2">
      <c r="A1153" s="65" t="s">
        <v>9986</v>
      </c>
      <c r="B1153" s="76" t="s">
        <v>7936</v>
      </c>
      <c r="C1153" s="65" t="s">
        <v>9987</v>
      </c>
      <c r="D1153" s="66">
        <v>42524</v>
      </c>
      <c r="E1153" s="65" t="s">
        <v>6809</v>
      </c>
      <c r="F1153" s="79" t="s">
        <v>6810</v>
      </c>
      <c r="G1153" s="61"/>
      <c r="I1153" s="78"/>
    </row>
    <row r="1154" spans="1:9" ht="14.25" customHeight="1" x14ac:dyDescent="0.2">
      <c r="A1154" s="65" t="s">
        <v>9988</v>
      </c>
      <c r="B1154" s="76" t="s">
        <v>9989</v>
      </c>
      <c r="C1154" s="65" t="s">
        <v>9990</v>
      </c>
      <c r="D1154" s="66">
        <v>42524</v>
      </c>
      <c r="E1154" s="65" t="s">
        <v>6809</v>
      </c>
      <c r="F1154" s="79" t="s">
        <v>6810</v>
      </c>
      <c r="G1154" s="61"/>
      <c r="I1154" s="78"/>
    </row>
    <row r="1155" spans="1:9" ht="14.25" customHeight="1" x14ac:dyDescent="0.2">
      <c r="A1155" s="65" t="s">
        <v>9991</v>
      </c>
      <c r="B1155" s="76" t="s">
        <v>1635</v>
      </c>
      <c r="C1155" s="65" t="s">
        <v>9992</v>
      </c>
      <c r="D1155" s="66">
        <v>42524</v>
      </c>
      <c r="E1155" s="65" t="s">
        <v>6809</v>
      </c>
      <c r="F1155" s="79" t="s">
        <v>6810</v>
      </c>
      <c r="G1155" s="61"/>
      <c r="I1155" s="78"/>
    </row>
    <row r="1156" spans="1:9" ht="14.25" customHeight="1" x14ac:dyDescent="0.2">
      <c r="A1156" s="65" t="s">
        <v>9993</v>
      </c>
      <c r="B1156" s="76" t="s">
        <v>9994</v>
      </c>
      <c r="C1156" s="65" t="s">
        <v>9995</v>
      </c>
      <c r="D1156" s="66">
        <v>42524</v>
      </c>
      <c r="E1156" s="65" t="s">
        <v>6809</v>
      </c>
      <c r="F1156" s="79" t="s">
        <v>6810</v>
      </c>
      <c r="G1156" s="61"/>
      <c r="I1156" s="78"/>
    </row>
    <row r="1157" spans="1:9" ht="14.25" customHeight="1" x14ac:dyDescent="0.2">
      <c r="A1157" s="65" t="s">
        <v>9996</v>
      </c>
      <c r="B1157" s="76" t="s">
        <v>6809</v>
      </c>
      <c r="C1157" s="65" t="s">
        <v>9997</v>
      </c>
      <c r="D1157" s="66">
        <v>42524</v>
      </c>
      <c r="E1157" s="65" t="s">
        <v>6809</v>
      </c>
      <c r="F1157" s="79" t="s">
        <v>6810</v>
      </c>
      <c r="G1157" s="61"/>
      <c r="I1157" s="78"/>
    </row>
    <row r="1158" spans="1:9" ht="14.25" customHeight="1" x14ac:dyDescent="0.2">
      <c r="A1158" s="65" t="s">
        <v>9998</v>
      </c>
      <c r="B1158" s="76" t="s">
        <v>9999</v>
      </c>
      <c r="C1158" s="65" t="s">
        <v>10000</v>
      </c>
      <c r="D1158" s="66">
        <v>42516</v>
      </c>
      <c r="E1158" s="65" t="s">
        <v>6809</v>
      </c>
      <c r="F1158" s="79" t="s">
        <v>6814</v>
      </c>
      <c r="G1158" s="61"/>
      <c r="I1158" s="78"/>
    </row>
    <row r="1159" spans="1:9" ht="14.25" customHeight="1" x14ac:dyDescent="0.2">
      <c r="A1159" s="65" t="s">
        <v>10001</v>
      </c>
      <c r="B1159" s="76" t="s">
        <v>10002</v>
      </c>
      <c r="C1159" s="65" t="s">
        <v>10003</v>
      </c>
      <c r="D1159" s="66">
        <v>42516</v>
      </c>
      <c r="E1159" s="65" t="s">
        <v>6809</v>
      </c>
      <c r="F1159" s="79" t="s">
        <v>6810</v>
      </c>
      <c r="G1159" s="61"/>
      <c r="I1159" s="78"/>
    </row>
    <row r="1160" spans="1:9" ht="14.25" customHeight="1" x14ac:dyDescent="0.2">
      <c r="A1160" s="65" t="s">
        <v>10004</v>
      </c>
      <c r="B1160" s="76" t="s">
        <v>10005</v>
      </c>
      <c r="C1160" s="65" t="s">
        <v>10006</v>
      </c>
      <c r="D1160" s="66">
        <v>42516</v>
      </c>
      <c r="E1160" s="65" t="s">
        <v>6809</v>
      </c>
      <c r="F1160" s="79" t="s">
        <v>6810</v>
      </c>
      <c r="G1160" s="61"/>
      <c r="I1160" s="78"/>
    </row>
    <row r="1161" spans="1:9" ht="14.25" customHeight="1" x14ac:dyDescent="0.2">
      <c r="A1161" s="65" t="s">
        <v>10007</v>
      </c>
      <c r="B1161" s="76" t="s">
        <v>10008</v>
      </c>
      <c r="C1161" s="65" t="s">
        <v>10009</v>
      </c>
      <c r="D1161" s="66">
        <v>42516</v>
      </c>
      <c r="E1161" s="65" t="s">
        <v>6809</v>
      </c>
      <c r="F1161" s="79" t="s">
        <v>6810</v>
      </c>
      <c r="G1161" s="61"/>
      <c r="I1161" s="78"/>
    </row>
    <row r="1162" spans="1:9" ht="14.25" customHeight="1" x14ac:dyDescent="0.2">
      <c r="A1162" s="65" t="s">
        <v>10010</v>
      </c>
      <c r="B1162" s="76" t="s">
        <v>10011</v>
      </c>
      <c r="C1162" s="65" t="s">
        <v>10012</v>
      </c>
      <c r="D1162" s="66">
        <v>42516</v>
      </c>
      <c r="E1162" s="65" t="s">
        <v>6809</v>
      </c>
      <c r="F1162" s="79" t="s">
        <v>6810</v>
      </c>
      <c r="G1162" s="61"/>
      <c r="I1162" s="78"/>
    </row>
    <row r="1163" spans="1:9" ht="14.25" customHeight="1" x14ac:dyDescent="0.2">
      <c r="A1163" s="65" t="s">
        <v>10013</v>
      </c>
      <c r="B1163" s="76" t="s">
        <v>10014</v>
      </c>
      <c r="C1163" s="65" t="s">
        <v>10015</v>
      </c>
      <c r="D1163" s="66">
        <v>42514</v>
      </c>
      <c r="E1163" s="65" t="s">
        <v>6809</v>
      </c>
      <c r="F1163" s="79" t="s">
        <v>6810</v>
      </c>
      <c r="G1163" s="61"/>
      <c r="I1163" s="78"/>
    </row>
    <row r="1164" spans="1:9" ht="14.25" customHeight="1" x14ac:dyDescent="0.2">
      <c r="A1164" s="65" t="s">
        <v>10016</v>
      </c>
      <c r="B1164" s="76" t="s">
        <v>10017</v>
      </c>
      <c r="C1164" s="65" t="s">
        <v>10018</v>
      </c>
      <c r="D1164" s="66">
        <v>42514</v>
      </c>
      <c r="E1164" s="65" t="s">
        <v>6809</v>
      </c>
      <c r="F1164" s="79" t="s">
        <v>6814</v>
      </c>
      <c r="G1164" s="61"/>
      <c r="I1164" s="78"/>
    </row>
    <row r="1165" spans="1:9" ht="14.25" customHeight="1" x14ac:dyDescent="0.2">
      <c r="A1165" s="65" t="s">
        <v>10019</v>
      </c>
      <c r="B1165" s="76" t="s">
        <v>10020</v>
      </c>
      <c r="C1165" s="65" t="s">
        <v>10021</v>
      </c>
      <c r="D1165" s="66">
        <v>42510</v>
      </c>
      <c r="E1165" s="65" t="s">
        <v>6809</v>
      </c>
      <c r="F1165" s="79" t="s">
        <v>6810</v>
      </c>
      <c r="G1165" s="61"/>
      <c r="I1165" s="78"/>
    </row>
    <row r="1166" spans="1:9" ht="14.25" customHeight="1" x14ac:dyDescent="0.2">
      <c r="A1166" s="65" t="s">
        <v>10022</v>
      </c>
      <c r="B1166" s="76" t="s">
        <v>1915</v>
      </c>
      <c r="C1166" s="65" t="s">
        <v>10023</v>
      </c>
      <c r="D1166" s="66">
        <v>42510</v>
      </c>
      <c r="E1166" s="65" t="s">
        <v>6809</v>
      </c>
      <c r="F1166" s="79" t="s">
        <v>6824</v>
      </c>
      <c r="G1166" s="61"/>
      <c r="I1166" s="78"/>
    </row>
    <row r="1167" spans="1:9" ht="14.25" customHeight="1" x14ac:dyDescent="0.2">
      <c r="A1167" s="65" t="s">
        <v>10024</v>
      </c>
      <c r="B1167" s="76" t="s">
        <v>10025</v>
      </c>
      <c r="C1167" s="65" t="s">
        <v>10026</v>
      </c>
      <c r="D1167" s="66">
        <v>42510</v>
      </c>
      <c r="E1167" s="65" t="s">
        <v>6809</v>
      </c>
      <c r="F1167" s="79" t="s">
        <v>6824</v>
      </c>
      <c r="G1167" s="61"/>
      <c r="I1167" s="78"/>
    </row>
    <row r="1168" spans="1:9" ht="14.25" customHeight="1" x14ac:dyDescent="0.2">
      <c r="A1168" s="65" t="s">
        <v>10027</v>
      </c>
      <c r="B1168" s="76" t="s">
        <v>10028</v>
      </c>
      <c r="C1168" s="65" t="s">
        <v>10029</v>
      </c>
      <c r="D1168" s="66">
        <v>42510</v>
      </c>
      <c r="E1168" s="65" t="s">
        <v>6809</v>
      </c>
      <c r="F1168" s="79" t="s">
        <v>6814</v>
      </c>
      <c r="G1168" s="61"/>
      <c r="I1168" s="78"/>
    </row>
    <row r="1169" spans="1:9" ht="14.25" customHeight="1" x14ac:dyDescent="0.2">
      <c r="A1169" s="65" t="s">
        <v>10030</v>
      </c>
      <c r="B1169" s="76" t="s">
        <v>10031</v>
      </c>
      <c r="C1169" s="65" t="s">
        <v>10032</v>
      </c>
      <c r="D1169" s="66">
        <v>42510</v>
      </c>
      <c r="E1169" s="65" t="s">
        <v>6809</v>
      </c>
      <c r="F1169" s="79" t="s">
        <v>6810</v>
      </c>
      <c r="G1169" s="61"/>
      <c r="I1169" s="78"/>
    </row>
    <row r="1170" spans="1:9" ht="14.25" customHeight="1" x14ac:dyDescent="0.2">
      <c r="A1170" s="65" t="s">
        <v>10033</v>
      </c>
      <c r="B1170" s="76" t="s">
        <v>10034</v>
      </c>
      <c r="C1170" s="65" t="s">
        <v>10035</v>
      </c>
      <c r="D1170" s="66">
        <v>42510</v>
      </c>
      <c r="E1170" s="65" t="s">
        <v>6809</v>
      </c>
      <c r="F1170" s="79" t="s">
        <v>6814</v>
      </c>
      <c r="G1170" s="61"/>
      <c r="I1170" s="78"/>
    </row>
    <row r="1171" spans="1:9" ht="14.25" customHeight="1" x14ac:dyDescent="0.2">
      <c r="A1171" s="65" t="s">
        <v>10036</v>
      </c>
      <c r="B1171" s="76" t="s">
        <v>6809</v>
      </c>
      <c r="C1171" s="65" t="s">
        <v>10037</v>
      </c>
      <c r="D1171" s="66">
        <v>42501</v>
      </c>
      <c r="E1171" s="65" t="s">
        <v>6809</v>
      </c>
      <c r="F1171" s="79" t="s">
        <v>6810</v>
      </c>
      <c r="G1171" s="61"/>
      <c r="I1171" s="78"/>
    </row>
    <row r="1172" spans="1:9" ht="14.25" customHeight="1" x14ac:dyDescent="0.2">
      <c r="A1172" s="65" t="s">
        <v>10038</v>
      </c>
      <c r="B1172" s="76" t="s">
        <v>10039</v>
      </c>
      <c r="C1172" s="65" t="s">
        <v>10040</v>
      </c>
      <c r="D1172" s="66">
        <v>42501</v>
      </c>
      <c r="E1172" s="65" t="s">
        <v>6809</v>
      </c>
      <c r="F1172" s="79" t="s">
        <v>6810</v>
      </c>
      <c r="G1172" s="61"/>
      <c r="I1172" s="78"/>
    </row>
    <row r="1173" spans="1:9" ht="14.25" customHeight="1" x14ac:dyDescent="0.2">
      <c r="A1173" s="65" t="s">
        <v>10041</v>
      </c>
      <c r="B1173" s="76" t="s">
        <v>10042</v>
      </c>
      <c r="C1173" s="65" t="s">
        <v>10043</v>
      </c>
      <c r="D1173" s="66">
        <v>42501</v>
      </c>
      <c r="E1173" s="65" t="s">
        <v>6809</v>
      </c>
      <c r="F1173" s="79" t="s">
        <v>6810</v>
      </c>
      <c r="G1173" s="61"/>
      <c r="I1173" s="78"/>
    </row>
    <row r="1174" spans="1:9" ht="14.25" customHeight="1" x14ac:dyDescent="0.2">
      <c r="A1174" s="65" t="s">
        <v>10044</v>
      </c>
      <c r="B1174" s="76" t="s">
        <v>10045</v>
      </c>
      <c r="C1174" s="65" t="s">
        <v>10046</v>
      </c>
      <c r="D1174" s="66">
        <v>42501</v>
      </c>
      <c r="E1174" s="65" t="s">
        <v>6809</v>
      </c>
      <c r="F1174" s="79" t="s">
        <v>6810</v>
      </c>
      <c r="G1174" s="61"/>
      <c r="I1174" s="78"/>
    </row>
    <row r="1175" spans="1:9" ht="14.25" customHeight="1" x14ac:dyDescent="0.2">
      <c r="A1175" s="65" t="s">
        <v>10047</v>
      </c>
      <c r="B1175" s="76" t="s">
        <v>10048</v>
      </c>
      <c r="C1175" s="65" t="s">
        <v>10049</v>
      </c>
      <c r="D1175" s="66">
        <v>42501</v>
      </c>
      <c r="E1175" s="65" t="s">
        <v>6809</v>
      </c>
      <c r="F1175" s="79" t="s">
        <v>6814</v>
      </c>
      <c r="G1175" s="61"/>
      <c r="I1175" s="78"/>
    </row>
    <row r="1176" spans="1:9" ht="14.25" customHeight="1" x14ac:dyDescent="0.2">
      <c r="A1176" s="65" t="s">
        <v>10050</v>
      </c>
      <c r="B1176" s="76" t="s">
        <v>6809</v>
      </c>
      <c r="C1176" s="65" t="s">
        <v>10051</v>
      </c>
      <c r="D1176" s="66">
        <v>42495</v>
      </c>
      <c r="E1176" s="65" t="s">
        <v>6809</v>
      </c>
      <c r="F1176" s="79" t="s">
        <v>6814</v>
      </c>
      <c r="G1176" s="61"/>
      <c r="I1176" s="78"/>
    </row>
    <row r="1177" spans="1:9" ht="14.25" customHeight="1" x14ac:dyDescent="0.2">
      <c r="A1177" s="65" t="s">
        <v>10052</v>
      </c>
      <c r="B1177" s="76" t="s">
        <v>10053</v>
      </c>
      <c r="C1177" s="65" t="s">
        <v>10054</v>
      </c>
      <c r="D1177" s="66">
        <v>42495</v>
      </c>
      <c r="E1177" s="65" t="s">
        <v>6809</v>
      </c>
      <c r="F1177" s="79" t="s">
        <v>6824</v>
      </c>
      <c r="G1177" s="61"/>
      <c r="I1177" s="78"/>
    </row>
    <row r="1178" spans="1:9" ht="14.25" customHeight="1" x14ac:dyDescent="0.2">
      <c r="A1178" s="65">
        <v>99120113041</v>
      </c>
      <c r="B1178" s="76" t="s">
        <v>6809</v>
      </c>
      <c r="C1178" s="65" t="s">
        <v>10055</v>
      </c>
      <c r="D1178" s="66">
        <v>42495</v>
      </c>
      <c r="E1178" s="65" t="s">
        <v>6809</v>
      </c>
      <c r="F1178" s="79" t="s">
        <v>6824</v>
      </c>
      <c r="G1178" s="61"/>
      <c r="I1178" s="78"/>
    </row>
    <row r="1179" spans="1:9" ht="14.25" customHeight="1" x14ac:dyDescent="0.2">
      <c r="A1179" s="65" t="s">
        <v>10056</v>
      </c>
      <c r="B1179" s="76" t="s">
        <v>1058</v>
      </c>
      <c r="C1179" s="65" t="s">
        <v>10057</v>
      </c>
      <c r="D1179" s="66">
        <v>42495</v>
      </c>
      <c r="E1179" s="65" t="s">
        <v>6809</v>
      </c>
      <c r="F1179" s="79" t="s">
        <v>10058</v>
      </c>
      <c r="G1179" s="61"/>
      <c r="I1179" s="78"/>
    </row>
    <row r="1180" spans="1:9" ht="14.25" customHeight="1" x14ac:dyDescent="0.2">
      <c r="A1180" s="65" t="s">
        <v>10059</v>
      </c>
      <c r="B1180" s="76" t="s">
        <v>10060</v>
      </c>
      <c r="C1180" s="65" t="s">
        <v>10061</v>
      </c>
      <c r="D1180" s="66">
        <v>42495</v>
      </c>
      <c r="E1180" s="65" t="s">
        <v>6809</v>
      </c>
      <c r="F1180" s="79" t="s">
        <v>6810</v>
      </c>
      <c r="G1180" s="61"/>
      <c r="I1180" s="78"/>
    </row>
    <row r="1181" spans="1:9" ht="14.25" customHeight="1" x14ac:dyDescent="0.2">
      <c r="A1181" s="65" t="s">
        <v>10062</v>
      </c>
      <c r="B1181" s="76" t="s">
        <v>10063</v>
      </c>
      <c r="C1181" s="65" t="s">
        <v>10064</v>
      </c>
      <c r="D1181" s="66">
        <v>42494</v>
      </c>
      <c r="E1181" s="65" t="s">
        <v>6809</v>
      </c>
      <c r="F1181" s="79" t="s">
        <v>6810</v>
      </c>
      <c r="G1181" s="61"/>
      <c r="I1181" s="78"/>
    </row>
    <row r="1182" spans="1:9" ht="14.25" customHeight="1" x14ac:dyDescent="0.2">
      <c r="A1182" s="65" t="s">
        <v>10065</v>
      </c>
      <c r="B1182" s="76" t="s">
        <v>10066</v>
      </c>
      <c r="C1182" s="65" t="s">
        <v>10067</v>
      </c>
      <c r="D1182" s="66">
        <v>42494</v>
      </c>
      <c r="E1182" s="65" t="s">
        <v>6809</v>
      </c>
      <c r="F1182" s="79" t="s">
        <v>6810</v>
      </c>
      <c r="G1182" s="61"/>
      <c r="I1182" s="78"/>
    </row>
    <row r="1183" spans="1:9" ht="14.25" customHeight="1" x14ac:dyDescent="0.2">
      <c r="A1183" s="65" t="s">
        <v>10068</v>
      </c>
      <c r="B1183" s="76" t="s">
        <v>10069</v>
      </c>
      <c r="C1183" s="65" t="s">
        <v>10070</v>
      </c>
      <c r="D1183" s="66">
        <v>42494</v>
      </c>
      <c r="E1183" s="65" t="s">
        <v>6809</v>
      </c>
      <c r="F1183" s="79" t="s">
        <v>6810</v>
      </c>
      <c r="G1183" s="61"/>
      <c r="I1183" s="78"/>
    </row>
    <row r="1184" spans="1:9" ht="14.25" customHeight="1" x14ac:dyDescent="0.2">
      <c r="A1184" s="65" t="s">
        <v>10071</v>
      </c>
      <c r="B1184" s="76" t="s">
        <v>10072</v>
      </c>
      <c r="C1184" s="65" t="s">
        <v>10073</v>
      </c>
      <c r="D1184" s="66">
        <v>42494</v>
      </c>
      <c r="E1184" s="65" t="s">
        <v>6809</v>
      </c>
      <c r="F1184" s="79" t="s">
        <v>6810</v>
      </c>
      <c r="G1184" s="61"/>
      <c r="I1184" s="78"/>
    </row>
    <row r="1185" spans="1:9" ht="14.25" customHeight="1" x14ac:dyDescent="0.2">
      <c r="A1185" s="65" t="s">
        <v>10074</v>
      </c>
      <c r="B1185" s="76" t="s">
        <v>10075</v>
      </c>
      <c r="C1185" s="65" t="s">
        <v>10076</v>
      </c>
      <c r="D1185" s="66">
        <v>42494</v>
      </c>
      <c r="E1185" s="65" t="s">
        <v>6809</v>
      </c>
      <c r="F1185" s="79" t="s">
        <v>6810</v>
      </c>
      <c r="G1185" s="61"/>
      <c r="I1185" s="78"/>
    </row>
    <row r="1186" spans="1:9" ht="14.25" customHeight="1" x14ac:dyDescent="0.2">
      <c r="A1186" s="65" t="s">
        <v>10077</v>
      </c>
      <c r="B1186" s="76" t="s">
        <v>3568</v>
      </c>
      <c r="C1186" s="65" t="s">
        <v>10078</v>
      </c>
      <c r="D1186" s="66">
        <v>42489</v>
      </c>
      <c r="E1186" s="65" t="s">
        <v>6809</v>
      </c>
      <c r="F1186" s="79" t="s">
        <v>10079</v>
      </c>
      <c r="G1186" s="61"/>
      <c r="I1186" s="78"/>
    </row>
    <row r="1187" spans="1:9" ht="14.25" customHeight="1" x14ac:dyDescent="0.2">
      <c r="A1187" s="65" t="s">
        <v>10080</v>
      </c>
      <c r="B1187" s="76" t="s">
        <v>3564</v>
      </c>
      <c r="C1187" s="65" t="s">
        <v>10081</v>
      </c>
      <c r="D1187" s="66">
        <v>42489</v>
      </c>
      <c r="E1187" s="65" t="s">
        <v>6809</v>
      </c>
      <c r="F1187" s="79" t="s">
        <v>10082</v>
      </c>
      <c r="G1187" s="61"/>
      <c r="I1187" s="78"/>
    </row>
    <row r="1188" spans="1:9" ht="14.25" customHeight="1" x14ac:dyDescent="0.2">
      <c r="A1188" s="65" t="s">
        <v>10083</v>
      </c>
      <c r="B1188" s="76" t="s">
        <v>7451</v>
      </c>
      <c r="C1188" s="65" t="s">
        <v>10084</v>
      </c>
      <c r="D1188" s="66">
        <v>42488</v>
      </c>
      <c r="E1188" s="65" t="s">
        <v>6809</v>
      </c>
      <c r="F1188" s="79" t="s">
        <v>10085</v>
      </c>
      <c r="G1188" s="61"/>
      <c r="I1188" s="78"/>
    </row>
    <row r="1189" spans="1:9" ht="14.25" customHeight="1" x14ac:dyDescent="0.2">
      <c r="A1189" s="65" t="s">
        <v>10086</v>
      </c>
      <c r="B1189" s="76" t="s">
        <v>10087</v>
      </c>
      <c r="C1189" s="65" t="s">
        <v>10088</v>
      </c>
      <c r="D1189" s="66">
        <v>42488</v>
      </c>
      <c r="E1189" s="65" t="s">
        <v>6809</v>
      </c>
      <c r="F1189" s="79" t="s">
        <v>6810</v>
      </c>
      <c r="G1189" s="61"/>
      <c r="I1189" s="78"/>
    </row>
    <row r="1190" spans="1:9" ht="14.25" customHeight="1" x14ac:dyDescent="0.2">
      <c r="A1190" s="65" t="s">
        <v>10089</v>
      </c>
      <c r="B1190" s="76" t="s">
        <v>10090</v>
      </c>
      <c r="C1190" s="65" t="s">
        <v>10091</v>
      </c>
      <c r="D1190" s="66">
        <v>42488</v>
      </c>
      <c r="E1190" s="65" t="s">
        <v>6809</v>
      </c>
      <c r="F1190" s="79" t="s">
        <v>6810</v>
      </c>
      <c r="G1190" s="61"/>
      <c r="I1190" s="78"/>
    </row>
    <row r="1191" spans="1:9" ht="14.25" customHeight="1" x14ac:dyDescent="0.2">
      <c r="A1191" s="65" t="s">
        <v>10092</v>
      </c>
      <c r="B1191" s="76" t="s">
        <v>1294</v>
      </c>
      <c r="C1191" s="65" t="s">
        <v>10093</v>
      </c>
      <c r="D1191" s="66">
        <v>42488</v>
      </c>
      <c r="E1191" s="65" t="s">
        <v>6809</v>
      </c>
      <c r="F1191" s="79" t="s">
        <v>6810</v>
      </c>
      <c r="G1191" s="61"/>
      <c r="I1191" s="78"/>
    </row>
    <row r="1192" spans="1:9" ht="14.25" customHeight="1" x14ac:dyDescent="0.2">
      <c r="A1192" s="65" t="s">
        <v>10094</v>
      </c>
      <c r="B1192" s="76" t="s">
        <v>10095</v>
      </c>
      <c r="C1192" s="65" t="s">
        <v>10096</v>
      </c>
      <c r="D1192" s="66">
        <v>42488</v>
      </c>
      <c r="E1192" s="65" t="s">
        <v>6809</v>
      </c>
      <c r="F1192" s="79" t="s">
        <v>6810</v>
      </c>
      <c r="G1192" s="61"/>
      <c r="I1192" s="78"/>
    </row>
    <row r="1193" spans="1:9" ht="14.25" customHeight="1" x14ac:dyDescent="0.2">
      <c r="A1193" s="65" t="s">
        <v>10097</v>
      </c>
      <c r="B1193" s="76" t="s">
        <v>10098</v>
      </c>
      <c r="C1193" s="65" t="s">
        <v>10099</v>
      </c>
      <c r="D1193" s="66">
        <v>42485</v>
      </c>
      <c r="E1193" s="65" t="s">
        <v>6809</v>
      </c>
      <c r="F1193" s="79" t="s">
        <v>6810</v>
      </c>
      <c r="G1193" s="61"/>
      <c r="I1193" s="78"/>
    </row>
    <row r="1194" spans="1:9" ht="14.25" customHeight="1" x14ac:dyDescent="0.2">
      <c r="A1194" s="65" t="s">
        <v>10100</v>
      </c>
      <c r="B1194" s="76" t="s">
        <v>10101</v>
      </c>
      <c r="C1194" s="65" t="s">
        <v>10102</v>
      </c>
      <c r="D1194" s="66">
        <v>42485</v>
      </c>
      <c r="E1194" s="65" t="s">
        <v>6809</v>
      </c>
      <c r="F1194" s="79" t="s">
        <v>6810</v>
      </c>
      <c r="G1194" s="61"/>
      <c r="I1194" s="78"/>
    </row>
    <row r="1195" spans="1:9" ht="14.25" customHeight="1" x14ac:dyDescent="0.2">
      <c r="A1195" s="65" t="s">
        <v>10103</v>
      </c>
      <c r="B1195" s="76" t="s">
        <v>10104</v>
      </c>
      <c r="C1195" s="65" t="s">
        <v>10105</v>
      </c>
      <c r="D1195" s="66">
        <v>42485</v>
      </c>
      <c r="E1195" s="65" t="s">
        <v>6809</v>
      </c>
      <c r="F1195" s="79" t="s">
        <v>6810</v>
      </c>
      <c r="G1195" s="61"/>
      <c r="I1195" s="78"/>
    </row>
    <row r="1196" spans="1:9" ht="14.25" customHeight="1" x14ac:dyDescent="0.2">
      <c r="A1196" s="65" t="s">
        <v>10106</v>
      </c>
      <c r="B1196" s="76" t="s">
        <v>10107</v>
      </c>
      <c r="C1196" s="65" t="s">
        <v>10108</v>
      </c>
      <c r="D1196" s="66">
        <v>42485</v>
      </c>
      <c r="E1196" s="65" t="s">
        <v>6809</v>
      </c>
      <c r="F1196" s="79" t="s">
        <v>6810</v>
      </c>
      <c r="G1196" s="61"/>
      <c r="I1196" s="78"/>
    </row>
    <row r="1197" spans="1:9" ht="14.25" customHeight="1" x14ac:dyDescent="0.2">
      <c r="A1197" s="65" t="s">
        <v>10109</v>
      </c>
      <c r="B1197" s="76" t="s">
        <v>10110</v>
      </c>
      <c r="C1197" s="65" t="s">
        <v>10111</v>
      </c>
      <c r="D1197" s="66">
        <v>42485</v>
      </c>
      <c r="E1197" s="65" t="s">
        <v>6809</v>
      </c>
      <c r="F1197" s="79" t="s">
        <v>10112</v>
      </c>
      <c r="G1197" s="61"/>
      <c r="I1197" s="78"/>
    </row>
    <row r="1198" spans="1:9" ht="14.25" customHeight="1" x14ac:dyDescent="0.2">
      <c r="A1198" s="65" t="s">
        <v>10113</v>
      </c>
      <c r="B1198" s="76" t="s">
        <v>10114</v>
      </c>
      <c r="C1198" s="65" t="s">
        <v>10115</v>
      </c>
      <c r="D1198" s="66">
        <v>42485</v>
      </c>
      <c r="E1198" s="65" t="s">
        <v>6809</v>
      </c>
      <c r="F1198" s="79" t="s">
        <v>6824</v>
      </c>
      <c r="G1198" s="61"/>
      <c r="I1198" s="78"/>
    </row>
    <row r="1199" spans="1:9" ht="14.25" customHeight="1" x14ac:dyDescent="0.2">
      <c r="A1199" s="65" t="s">
        <v>10116</v>
      </c>
      <c r="B1199" s="76" t="s">
        <v>10117</v>
      </c>
      <c r="C1199" s="65" t="s">
        <v>10118</v>
      </c>
      <c r="D1199" s="66">
        <v>42485</v>
      </c>
      <c r="E1199" s="65" t="s">
        <v>6809</v>
      </c>
      <c r="F1199" s="79" t="s">
        <v>10119</v>
      </c>
      <c r="G1199" s="61"/>
      <c r="I1199" s="78"/>
    </row>
    <row r="1200" spans="1:9" ht="14.25" customHeight="1" x14ac:dyDescent="0.2">
      <c r="A1200" s="65" t="s">
        <v>10120</v>
      </c>
      <c r="B1200" s="76" t="s">
        <v>10121</v>
      </c>
      <c r="C1200" s="65" t="s">
        <v>10122</v>
      </c>
      <c r="D1200" s="66">
        <v>42485</v>
      </c>
      <c r="E1200" s="65" t="s">
        <v>10123</v>
      </c>
      <c r="F1200" s="79" t="s">
        <v>6810</v>
      </c>
      <c r="G1200" s="61"/>
      <c r="I1200" s="78"/>
    </row>
    <row r="1201" spans="1:9" ht="14.25" customHeight="1" x14ac:dyDescent="0.2">
      <c r="A1201" s="65" t="s">
        <v>10124</v>
      </c>
      <c r="B1201" s="76" t="s">
        <v>8894</v>
      </c>
      <c r="C1201" s="65" t="s">
        <v>10125</v>
      </c>
      <c r="D1201" s="66">
        <v>42485</v>
      </c>
      <c r="E1201" s="65" t="s">
        <v>6809</v>
      </c>
      <c r="F1201" s="79" t="s">
        <v>10126</v>
      </c>
      <c r="G1201" s="61"/>
      <c r="I1201" s="78"/>
    </row>
    <row r="1202" spans="1:9" ht="14.25" customHeight="1" x14ac:dyDescent="0.2">
      <c r="A1202" s="65" t="s">
        <v>10127</v>
      </c>
      <c r="B1202" s="76" t="s">
        <v>10128</v>
      </c>
      <c r="C1202" s="65" t="s">
        <v>10129</v>
      </c>
      <c r="D1202" s="66">
        <v>42485</v>
      </c>
      <c r="E1202" s="65" t="s">
        <v>6809</v>
      </c>
      <c r="F1202" s="79" t="s">
        <v>6824</v>
      </c>
      <c r="G1202" s="61"/>
      <c r="I1202" s="78"/>
    </row>
    <row r="1203" spans="1:9" ht="14.25" customHeight="1" x14ac:dyDescent="0.2">
      <c r="A1203" s="65" t="s">
        <v>10130</v>
      </c>
      <c r="B1203" s="76" t="s">
        <v>10131</v>
      </c>
      <c r="C1203" s="65" t="s">
        <v>10132</v>
      </c>
      <c r="D1203" s="66">
        <v>42480</v>
      </c>
      <c r="E1203" s="65" t="s">
        <v>6809</v>
      </c>
      <c r="F1203" s="79" t="s">
        <v>6810</v>
      </c>
      <c r="G1203" s="61"/>
      <c r="I1203" s="78"/>
    </row>
    <row r="1204" spans="1:9" ht="14.25" customHeight="1" x14ac:dyDescent="0.2">
      <c r="A1204" s="65" t="s">
        <v>10133</v>
      </c>
      <c r="B1204" s="76" t="s">
        <v>1555</v>
      </c>
      <c r="C1204" s="65" t="s">
        <v>10134</v>
      </c>
      <c r="D1204" s="66">
        <v>42480</v>
      </c>
      <c r="E1204" s="65" t="s">
        <v>6809</v>
      </c>
      <c r="F1204" s="79" t="s">
        <v>6810</v>
      </c>
      <c r="G1204" s="61"/>
      <c r="I1204" s="78"/>
    </row>
    <row r="1205" spans="1:9" ht="14.25" customHeight="1" x14ac:dyDescent="0.2">
      <c r="A1205" s="65" t="s">
        <v>10135</v>
      </c>
      <c r="B1205" s="76" t="s">
        <v>3749</v>
      </c>
      <c r="C1205" s="65" t="s">
        <v>10136</v>
      </c>
      <c r="D1205" s="66">
        <v>42478</v>
      </c>
      <c r="E1205" s="65" t="s">
        <v>6809</v>
      </c>
      <c r="F1205" s="79" t="s">
        <v>10137</v>
      </c>
      <c r="G1205" s="61"/>
      <c r="I1205" s="78"/>
    </row>
    <row r="1206" spans="1:9" ht="14.25" customHeight="1" x14ac:dyDescent="0.2">
      <c r="A1206" s="65" t="s">
        <v>10138</v>
      </c>
      <c r="B1206" s="76" t="s">
        <v>10139</v>
      </c>
      <c r="C1206" s="65" t="s">
        <v>10140</v>
      </c>
      <c r="D1206" s="66">
        <v>42478</v>
      </c>
      <c r="E1206" s="65" t="s">
        <v>6809</v>
      </c>
      <c r="F1206" s="79" t="s">
        <v>6824</v>
      </c>
      <c r="G1206" s="61"/>
      <c r="I1206" s="78"/>
    </row>
    <row r="1207" spans="1:9" ht="14.25" customHeight="1" x14ac:dyDescent="0.2">
      <c r="A1207" s="65" t="s">
        <v>10141</v>
      </c>
      <c r="B1207" s="76" t="s">
        <v>4816</v>
      </c>
      <c r="C1207" s="65" t="s">
        <v>10142</v>
      </c>
      <c r="D1207" s="66">
        <v>42475</v>
      </c>
      <c r="E1207" s="65" t="s">
        <v>6809</v>
      </c>
      <c r="F1207" s="79" t="s">
        <v>10143</v>
      </c>
      <c r="G1207" s="61"/>
      <c r="I1207" s="78"/>
    </row>
    <row r="1208" spans="1:9" ht="14.25" customHeight="1" x14ac:dyDescent="0.2">
      <c r="A1208" s="65" t="s">
        <v>10144</v>
      </c>
      <c r="B1208" s="76" t="s">
        <v>10145</v>
      </c>
      <c r="C1208" s="65" t="s">
        <v>10146</v>
      </c>
      <c r="D1208" s="66">
        <v>42474</v>
      </c>
      <c r="E1208" s="65" t="s">
        <v>6809</v>
      </c>
      <c r="F1208" s="79" t="s">
        <v>6814</v>
      </c>
      <c r="G1208" s="61"/>
      <c r="I1208" s="78"/>
    </row>
    <row r="1209" spans="1:9" ht="14.25" customHeight="1" x14ac:dyDescent="0.2">
      <c r="A1209" s="65" t="s">
        <v>10147</v>
      </c>
      <c r="B1209" s="76" t="s">
        <v>7065</v>
      </c>
      <c r="C1209" s="65" t="s">
        <v>10148</v>
      </c>
      <c r="D1209" s="66">
        <v>42474</v>
      </c>
      <c r="E1209" s="65" t="s">
        <v>6809</v>
      </c>
      <c r="F1209" s="79" t="s">
        <v>6814</v>
      </c>
      <c r="G1209" s="61"/>
      <c r="I1209" s="78"/>
    </row>
    <row r="1210" spans="1:9" ht="14.25" customHeight="1" x14ac:dyDescent="0.2">
      <c r="A1210" s="65" t="s">
        <v>4860</v>
      </c>
      <c r="B1210" s="76" t="s">
        <v>4859</v>
      </c>
      <c r="C1210" s="65" t="s">
        <v>10149</v>
      </c>
      <c r="D1210" s="66">
        <v>42474</v>
      </c>
      <c r="E1210" s="65" t="s">
        <v>10150</v>
      </c>
      <c r="F1210" s="79" t="s">
        <v>10151</v>
      </c>
      <c r="G1210" s="61"/>
      <c r="I1210" s="78"/>
    </row>
    <row r="1211" spans="1:9" ht="14.25" customHeight="1" x14ac:dyDescent="0.2">
      <c r="A1211" s="65" t="s">
        <v>10152</v>
      </c>
      <c r="B1211" s="76" t="s">
        <v>10153</v>
      </c>
      <c r="C1211" s="65" t="s">
        <v>10154</v>
      </c>
      <c r="D1211" s="66">
        <v>42474</v>
      </c>
      <c r="E1211" s="65" t="s">
        <v>6809</v>
      </c>
      <c r="F1211" s="79" t="s">
        <v>6810</v>
      </c>
      <c r="G1211" s="61"/>
      <c r="I1211" s="78"/>
    </row>
    <row r="1212" spans="1:9" ht="14.25" customHeight="1" x14ac:dyDescent="0.2">
      <c r="A1212" s="65" t="s">
        <v>10155</v>
      </c>
      <c r="B1212" s="76" t="s">
        <v>10156</v>
      </c>
      <c r="C1212" s="65" t="s">
        <v>10157</v>
      </c>
      <c r="D1212" s="66">
        <v>42474</v>
      </c>
      <c r="E1212" s="65" t="s">
        <v>10123</v>
      </c>
      <c r="F1212" s="79" t="s">
        <v>6814</v>
      </c>
      <c r="G1212" s="61"/>
      <c r="I1212" s="78"/>
    </row>
    <row r="1213" spans="1:9" ht="14.25" customHeight="1" x14ac:dyDescent="0.2">
      <c r="A1213" s="65" t="s">
        <v>10158</v>
      </c>
      <c r="B1213" s="76" t="s">
        <v>9716</v>
      </c>
      <c r="C1213" s="65" t="s">
        <v>10159</v>
      </c>
      <c r="D1213" s="66">
        <v>42474</v>
      </c>
      <c r="E1213" s="65" t="s">
        <v>6809</v>
      </c>
      <c r="F1213" s="79" t="s">
        <v>10160</v>
      </c>
      <c r="G1213" s="61"/>
      <c r="I1213" s="78"/>
    </row>
    <row r="1214" spans="1:9" ht="14.25" customHeight="1" x14ac:dyDescent="0.2">
      <c r="A1214" s="65" t="s">
        <v>10161</v>
      </c>
      <c r="B1214" s="76" t="s">
        <v>1270</v>
      </c>
      <c r="C1214" s="65" t="s">
        <v>10162</v>
      </c>
      <c r="D1214" s="66">
        <v>42474</v>
      </c>
      <c r="E1214" s="65" t="s">
        <v>6809</v>
      </c>
      <c r="F1214" s="79" t="s">
        <v>6810</v>
      </c>
      <c r="G1214" s="61"/>
      <c r="I1214" s="78"/>
    </row>
    <row r="1215" spans="1:9" ht="14.25" customHeight="1" x14ac:dyDescent="0.2">
      <c r="A1215" s="65" t="s">
        <v>10163</v>
      </c>
      <c r="B1215" s="76" t="s">
        <v>10164</v>
      </c>
      <c r="C1215" s="65" t="s">
        <v>10165</v>
      </c>
      <c r="D1215" s="66">
        <v>42474</v>
      </c>
      <c r="E1215" s="65" t="s">
        <v>6809</v>
      </c>
      <c r="F1215" s="79" t="s">
        <v>6810</v>
      </c>
      <c r="G1215" s="61"/>
      <c r="I1215" s="78"/>
    </row>
    <row r="1216" spans="1:9" ht="14.25" customHeight="1" x14ac:dyDescent="0.2">
      <c r="A1216" s="65" t="s">
        <v>10166</v>
      </c>
      <c r="B1216" s="76" t="s">
        <v>8035</v>
      </c>
      <c r="C1216" s="65" t="s">
        <v>10167</v>
      </c>
      <c r="D1216" s="66">
        <v>42472</v>
      </c>
      <c r="E1216" s="65" t="s">
        <v>6809</v>
      </c>
      <c r="F1216" s="79" t="s">
        <v>6824</v>
      </c>
      <c r="G1216" s="61"/>
      <c r="I1216" s="78"/>
    </row>
    <row r="1217" spans="1:9" ht="14.25" customHeight="1" x14ac:dyDescent="0.2">
      <c r="A1217" s="65">
        <v>99120102052</v>
      </c>
      <c r="B1217" s="76" t="s">
        <v>6809</v>
      </c>
      <c r="C1217" s="65" t="s">
        <v>10168</v>
      </c>
      <c r="D1217" s="66">
        <v>42467</v>
      </c>
      <c r="E1217" s="65" t="s">
        <v>6809</v>
      </c>
      <c r="F1217" s="79" t="s">
        <v>6810</v>
      </c>
      <c r="G1217" s="61"/>
      <c r="I1217" s="78"/>
    </row>
    <row r="1218" spans="1:9" ht="14.25" customHeight="1" x14ac:dyDescent="0.2">
      <c r="A1218" s="65" t="s">
        <v>10169</v>
      </c>
      <c r="B1218" s="76" t="s">
        <v>10170</v>
      </c>
      <c r="C1218" s="65" t="s">
        <v>10171</v>
      </c>
      <c r="D1218" s="66">
        <v>42467</v>
      </c>
      <c r="E1218" s="65" t="s">
        <v>6809</v>
      </c>
      <c r="F1218" s="79" t="s">
        <v>6824</v>
      </c>
      <c r="G1218" s="61"/>
      <c r="I1218" s="78"/>
    </row>
    <row r="1219" spans="1:9" ht="14.25" customHeight="1" x14ac:dyDescent="0.2">
      <c r="A1219" s="65" t="s">
        <v>10172</v>
      </c>
      <c r="B1219" s="76" t="s">
        <v>10173</v>
      </c>
      <c r="C1219" s="65" t="s">
        <v>10174</v>
      </c>
      <c r="D1219" s="66">
        <v>42467</v>
      </c>
      <c r="E1219" s="65" t="s">
        <v>6809</v>
      </c>
      <c r="F1219" s="79" t="s">
        <v>6810</v>
      </c>
      <c r="G1219" s="61"/>
      <c r="I1219" s="78"/>
    </row>
    <row r="1220" spans="1:9" ht="14.25" customHeight="1" x14ac:dyDescent="0.2">
      <c r="A1220" s="65">
        <v>99120106031</v>
      </c>
      <c r="B1220" s="76" t="s">
        <v>6809</v>
      </c>
      <c r="C1220" s="65" t="s">
        <v>10175</v>
      </c>
      <c r="D1220" s="66">
        <v>42464</v>
      </c>
      <c r="E1220" s="65" t="s">
        <v>6809</v>
      </c>
      <c r="F1220" s="79" t="s">
        <v>6810</v>
      </c>
      <c r="G1220" s="61"/>
      <c r="I1220" s="78"/>
    </row>
    <row r="1221" spans="1:9" ht="14.25" customHeight="1" x14ac:dyDescent="0.2">
      <c r="A1221" s="65">
        <v>99120210009</v>
      </c>
      <c r="B1221" s="76" t="s">
        <v>6809</v>
      </c>
      <c r="C1221" s="65" t="s">
        <v>10176</v>
      </c>
      <c r="D1221" s="66">
        <v>42464</v>
      </c>
      <c r="E1221" s="65" t="s">
        <v>6809</v>
      </c>
      <c r="F1221" s="79" t="s">
        <v>6810</v>
      </c>
      <c r="G1221" s="61"/>
      <c r="I1221" s="78"/>
    </row>
    <row r="1222" spans="1:9" ht="14.25" customHeight="1" x14ac:dyDescent="0.2">
      <c r="A1222" s="65">
        <v>99120210024</v>
      </c>
      <c r="B1222" s="76" t="s">
        <v>6809</v>
      </c>
      <c r="C1222" s="65" t="s">
        <v>10177</v>
      </c>
      <c r="D1222" s="66">
        <v>42464</v>
      </c>
      <c r="E1222" s="65" t="s">
        <v>6809</v>
      </c>
      <c r="F1222" s="79" t="s">
        <v>6824</v>
      </c>
      <c r="G1222" s="61"/>
      <c r="I1222" s="78"/>
    </row>
    <row r="1223" spans="1:9" ht="14.25" customHeight="1" x14ac:dyDescent="0.2">
      <c r="A1223" s="65" t="s">
        <v>4856</v>
      </c>
      <c r="B1223" s="76" t="s">
        <v>4855</v>
      </c>
      <c r="C1223" s="65" t="s">
        <v>10178</v>
      </c>
      <c r="D1223" s="66">
        <v>42464</v>
      </c>
      <c r="E1223" s="65" t="s">
        <v>10150</v>
      </c>
      <c r="F1223" s="79" t="s">
        <v>10151</v>
      </c>
      <c r="G1223" s="61"/>
      <c r="I1223" s="78"/>
    </row>
    <row r="1224" spans="1:9" ht="14.25" customHeight="1" x14ac:dyDescent="0.2">
      <c r="A1224" s="65" t="s">
        <v>10179</v>
      </c>
      <c r="B1224" s="76" t="s">
        <v>10180</v>
      </c>
      <c r="C1224" s="65" t="s">
        <v>10181</v>
      </c>
      <c r="D1224" s="66">
        <v>42461</v>
      </c>
      <c r="E1224" s="65" t="s">
        <v>6809</v>
      </c>
      <c r="F1224" s="79" t="s">
        <v>6810</v>
      </c>
      <c r="G1224" s="61"/>
      <c r="I1224" s="78"/>
    </row>
    <row r="1225" spans="1:9" ht="14.25" customHeight="1" x14ac:dyDescent="0.2">
      <c r="A1225" s="65" t="s">
        <v>10182</v>
      </c>
      <c r="B1225" s="76" t="s">
        <v>10183</v>
      </c>
      <c r="C1225" s="65" t="s">
        <v>10184</v>
      </c>
      <c r="D1225" s="66">
        <v>42460</v>
      </c>
      <c r="E1225" s="65" t="s">
        <v>6809</v>
      </c>
      <c r="F1225" s="79" t="s">
        <v>6810</v>
      </c>
      <c r="G1225" s="61"/>
      <c r="I1225" s="78"/>
    </row>
    <row r="1226" spans="1:9" ht="14.25" customHeight="1" x14ac:dyDescent="0.2">
      <c r="A1226" s="65">
        <v>99120203010</v>
      </c>
      <c r="B1226" s="76" t="s">
        <v>6809</v>
      </c>
      <c r="C1226" s="65" t="s">
        <v>10185</v>
      </c>
      <c r="D1226" s="66">
        <v>42460</v>
      </c>
      <c r="E1226" s="65" t="s">
        <v>6809</v>
      </c>
      <c r="F1226" s="79" t="s">
        <v>6824</v>
      </c>
      <c r="G1226" s="61"/>
      <c r="I1226" s="78"/>
    </row>
    <row r="1227" spans="1:9" ht="14.25" customHeight="1" x14ac:dyDescent="0.2">
      <c r="A1227" s="65">
        <v>99229999127</v>
      </c>
      <c r="B1227" s="76" t="s">
        <v>6809</v>
      </c>
      <c r="C1227" s="65" t="s">
        <v>10186</v>
      </c>
      <c r="D1227" s="66">
        <v>42460</v>
      </c>
      <c r="E1227" s="65" t="s">
        <v>6809</v>
      </c>
      <c r="F1227" s="79" t="s">
        <v>6824</v>
      </c>
      <c r="G1227" s="61"/>
      <c r="I1227" s="78"/>
    </row>
    <row r="1228" spans="1:9" ht="14.25" customHeight="1" x14ac:dyDescent="0.2">
      <c r="A1228" s="65" t="s">
        <v>10187</v>
      </c>
      <c r="B1228" s="76" t="s">
        <v>6809</v>
      </c>
      <c r="C1228" s="65" t="s">
        <v>7633</v>
      </c>
      <c r="D1228" s="66">
        <v>42459</v>
      </c>
      <c r="E1228" s="65" t="s">
        <v>6809</v>
      </c>
      <c r="F1228" s="79" t="s">
        <v>10188</v>
      </c>
      <c r="G1228" s="61"/>
      <c r="I1228" s="78"/>
    </row>
    <row r="1229" spans="1:9" ht="14.25" customHeight="1" x14ac:dyDescent="0.2">
      <c r="A1229" s="65" t="s">
        <v>10189</v>
      </c>
      <c r="B1229" s="76" t="s">
        <v>10190</v>
      </c>
      <c r="C1229" s="65" t="s">
        <v>10191</v>
      </c>
      <c r="D1229" s="66">
        <v>42458</v>
      </c>
      <c r="E1229" s="65" t="s">
        <v>6809</v>
      </c>
      <c r="F1229" s="79" t="s">
        <v>10192</v>
      </c>
      <c r="G1229" s="61"/>
      <c r="I1229" s="78"/>
    </row>
    <row r="1230" spans="1:9" ht="14.25" customHeight="1" x14ac:dyDescent="0.2">
      <c r="A1230" s="65" t="s">
        <v>10193</v>
      </c>
      <c r="B1230" s="76" t="s">
        <v>1691</v>
      </c>
      <c r="C1230" s="65" t="s">
        <v>10194</v>
      </c>
      <c r="D1230" s="66">
        <v>42454</v>
      </c>
      <c r="E1230" s="65" t="s">
        <v>6809</v>
      </c>
      <c r="F1230" s="79" t="s">
        <v>6814</v>
      </c>
      <c r="G1230" s="61"/>
      <c r="I1230" s="78"/>
    </row>
    <row r="1231" spans="1:9" ht="14.25" customHeight="1" x14ac:dyDescent="0.2">
      <c r="A1231" s="65" t="s">
        <v>10195</v>
      </c>
      <c r="B1231" s="76" t="s">
        <v>10196</v>
      </c>
      <c r="C1231" s="65" t="s">
        <v>10197</v>
      </c>
      <c r="D1231" s="66">
        <v>42454</v>
      </c>
      <c r="E1231" s="65" t="s">
        <v>6809</v>
      </c>
      <c r="F1231" s="79" t="s">
        <v>6814</v>
      </c>
      <c r="G1231" s="61"/>
      <c r="I1231" s="78"/>
    </row>
    <row r="1232" spans="1:9" ht="14.25" customHeight="1" x14ac:dyDescent="0.2">
      <c r="A1232" s="65" t="s">
        <v>10198</v>
      </c>
      <c r="B1232" s="76" t="s">
        <v>10199</v>
      </c>
      <c r="C1232" s="65" t="s">
        <v>10200</v>
      </c>
      <c r="D1232" s="66">
        <v>42454</v>
      </c>
      <c r="E1232" s="65" t="s">
        <v>6809</v>
      </c>
      <c r="F1232" s="79" t="s">
        <v>6814</v>
      </c>
      <c r="G1232" s="61"/>
      <c r="I1232" s="78"/>
    </row>
    <row r="1233" spans="1:9" ht="14.25" customHeight="1" x14ac:dyDescent="0.2">
      <c r="A1233" s="65" t="s">
        <v>10201</v>
      </c>
      <c r="B1233" s="76" t="s">
        <v>1286</v>
      </c>
      <c r="C1233" s="65" t="s">
        <v>10202</v>
      </c>
      <c r="D1233" s="66">
        <v>42454</v>
      </c>
      <c r="E1233" s="65" t="s">
        <v>6809</v>
      </c>
      <c r="F1233" s="79" t="s">
        <v>6824</v>
      </c>
      <c r="G1233" s="61"/>
      <c r="I1233" s="78"/>
    </row>
    <row r="1234" spans="1:9" ht="14.25" customHeight="1" x14ac:dyDescent="0.2">
      <c r="A1234" s="65" t="s">
        <v>10203</v>
      </c>
      <c r="B1234" s="76" t="s">
        <v>10204</v>
      </c>
      <c r="C1234" s="65" t="s">
        <v>10205</v>
      </c>
      <c r="D1234" s="66">
        <v>42452</v>
      </c>
      <c r="E1234" s="65" t="s">
        <v>6809</v>
      </c>
      <c r="F1234" s="79" t="s">
        <v>6810</v>
      </c>
      <c r="G1234" s="61"/>
      <c r="I1234" s="78"/>
    </row>
    <row r="1235" spans="1:9" ht="14.25" customHeight="1" x14ac:dyDescent="0.2">
      <c r="A1235" s="65" t="s">
        <v>10206</v>
      </c>
      <c r="B1235" s="76" t="s">
        <v>10207</v>
      </c>
      <c r="C1235" s="65" t="s">
        <v>10208</v>
      </c>
      <c r="D1235" s="66">
        <v>42447</v>
      </c>
      <c r="E1235" s="65" t="s">
        <v>6809</v>
      </c>
      <c r="F1235" s="79" t="s">
        <v>10209</v>
      </c>
      <c r="G1235" s="61"/>
      <c r="I1235" s="78"/>
    </row>
    <row r="1236" spans="1:9" ht="14.25" customHeight="1" x14ac:dyDescent="0.2">
      <c r="A1236" s="65" t="s">
        <v>10210</v>
      </c>
      <c r="B1236" s="76" t="s">
        <v>10211</v>
      </c>
      <c r="C1236" s="65" t="s">
        <v>10212</v>
      </c>
      <c r="D1236" s="66">
        <v>42446</v>
      </c>
      <c r="E1236" s="65" t="s">
        <v>6809</v>
      </c>
      <c r="F1236" s="79" t="s">
        <v>6810</v>
      </c>
      <c r="G1236" s="61"/>
      <c r="I1236" s="78"/>
    </row>
    <row r="1237" spans="1:9" ht="14.25" customHeight="1" x14ac:dyDescent="0.2">
      <c r="A1237" s="65" t="s">
        <v>10213</v>
      </c>
      <c r="B1237" s="76" t="s">
        <v>10214</v>
      </c>
      <c r="C1237" s="65" t="s">
        <v>10215</v>
      </c>
      <c r="D1237" s="66">
        <v>42445</v>
      </c>
      <c r="E1237" s="65" t="s">
        <v>6809</v>
      </c>
      <c r="F1237" s="79" t="s">
        <v>6824</v>
      </c>
      <c r="G1237" s="61"/>
      <c r="I1237" s="78"/>
    </row>
    <row r="1238" spans="1:9" ht="14.25" customHeight="1" x14ac:dyDescent="0.2">
      <c r="A1238" s="65" t="s">
        <v>10216</v>
      </c>
      <c r="B1238" s="76" t="s">
        <v>10217</v>
      </c>
      <c r="C1238" s="65" t="s">
        <v>10218</v>
      </c>
      <c r="D1238" s="66">
        <v>42441</v>
      </c>
      <c r="E1238" s="65" t="s">
        <v>6809</v>
      </c>
      <c r="F1238" s="79" t="s">
        <v>10219</v>
      </c>
      <c r="G1238" s="61"/>
      <c r="I1238" s="78"/>
    </row>
    <row r="1239" spans="1:9" ht="14.25" customHeight="1" x14ac:dyDescent="0.2">
      <c r="A1239" s="65" t="s">
        <v>10220</v>
      </c>
      <c r="B1239" s="76" t="s">
        <v>10221</v>
      </c>
      <c r="C1239" s="65" t="s">
        <v>10222</v>
      </c>
      <c r="D1239" s="66">
        <v>42437</v>
      </c>
      <c r="E1239" s="65" t="s">
        <v>6809</v>
      </c>
      <c r="F1239" s="79" t="s">
        <v>6824</v>
      </c>
      <c r="G1239" s="61"/>
      <c r="I1239" s="78"/>
    </row>
    <row r="1240" spans="1:9" ht="14.25" customHeight="1" x14ac:dyDescent="0.2">
      <c r="A1240" s="65" t="s">
        <v>10223</v>
      </c>
      <c r="B1240" s="76" t="s">
        <v>10224</v>
      </c>
      <c r="C1240" s="65" t="s">
        <v>10225</v>
      </c>
      <c r="D1240" s="66">
        <v>42437</v>
      </c>
      <c r="E1240" s="65" t="s">
        <v>6809</v>
      </c>
      <c r="F1240" s="79" t="s">
        <v>6824</v>
      </c>
      <c r="G1240" s="61"/>
      <c r="I1240" s="78"/>
    </row>
    <row r="1241" spans="1:9" ht="14.25" customHeight="1" x14ac:dyDescent="0.2">
      <c r="A1241" s="65" t="s">
        <v>10226</v>
      </c>
      <c r="B1241" s="76" t="s">
        <v>10227</v>
      </c>
      <c r="C1241" s="65" t="s">
        <v>10228</v>
      </c>
      <c r="D1241" s="66">
        <v>42436</v>
      </c>
      <c r="E1241" s="65" t="s">
        <v>6809</v>
      </c>
      <c r="F1241" s="79" t="s">
        <v>6824</v>
      </c>
      <c r="G1241" s="61"/>
      <c r="I1241" s="78"/>
    </row>
    <row r="1242" spans="1:9" ht="14.25" customHeight="1" x14ac:dyDescent="0.2">
      <c r="A1242" s="65" t="s">
        <v>10229</v>
      </c>
      <c r="B1242" s="76" t="s">
        <v>10230</v>
      </c>
      <c r="C1242" s="65" t="s">
        <v>10231</v>
      </c>
      <c r="D1242" s="66">
        <v>42435</v>
      </c>
      <c r="E1242" s="65" t="s">
        <v>6809</v>
      </c>
      <c r="F1242" s="79" t="s">
        <v>10232</v>
      </c>
      <c r="G1242" s="61"/>
      <c r="I1242" s="78"/>
    </row>
    <row r="1243" spans="1:9" ht="14.25" customHeight="1" x14ac:dyDescent="0.2">
      <c r="A1243" s="65" t="s">
        <v>10233</v>
      </c>
      <c r="B1243" s="76" t="s">
        <v>6809</v>
      </c>
      <c r="C1243" s="65" t="s">
        <v>10234</v>
      </c>
      <c r="D1243" s="66">
        <v>42432</v>
      </c>
      <c r="E1243" s="65" t="s">
        <v>6809</v>
      </c>
      <c r="F1243" s="79" t="s">
        <v>6824</v>
      </c>
      <c r="G1243" s="61"/>
      <c r="I1243" s="78"/>
    </row>
    <row r="1244" spans="1:9" ht="14.25" customHeight="1" x14ac:dyDescent="0.2">
      <c r="A1244" s="65" t="s">
        <v>10235</v>
      </c>
      <c r="B1244" s="76" t="s">
        <v>10236</v>
      </c>
      <c r="C1244" s="65" t="s">
        <v>10237</v>
      </c>
      <c r="D1244" s="66">
        <v>42421</v>
      </c>
      <c r="E1244" s="65" t="s">
        <v>6809</v>
      </c>
      <c r="F1244" s="79" t="s">
        <v>6824</v>
      </c>
      <c r="G1244" s="61"/>
      <c r="I1244" s="78"/>
    </row>
    <row r="1245" spans="1:9" ht="14.25" customHeight="1" x14ac:dyDescent="0.2">
      <c r="A1245" s="65" t="s">
        <v>10238</v>
      </c>
      <c r="B1245" s="76" t="s">
        <v>10239</v>
      </c>
      <c r="C1245" s="65" t="s">
        <v>10240</v>
      </c>
      <c r="D1245" s="66">
        <v>42413</v>
      </c>
      <c r="E1245" s="65" t="s">
        <v>6809</v>
      </c>
      <c r="F1245" s="79" t="s">
        <v>10241</v>
      </c>
      <c r="G1245" s="61"/>
      <c r="I1245" s="78"/>
    </row>
    <row r="1246" spans="1:9" ht="14.25" customHeight="1" x14ac:dyDescent="0.2">
      <c r="A1246" s="65" t="s">
        <v>10242</v>
      </c>
      <c r="B1246" s="76" t="s">
        <v>10243</v>
      </c>
      <c r="C1246" s="65" t="s">
        <v>10244</v>
      </c>
      <c r="D1246" s="66">
        <v>42413</v>
      </c>
      <c r="E1246" s="65" t="s">
        <v>6809</v>
      </c>
      <c r="F1246" s="79" t="s">
        <v>6810</v>
      </c>
      <c r="G1246" s="61"/>
      <c r="I1246" s="78"/>
    </row>
    <row r="1247" spans="1:9" ht="14.25" customHeight="1" x14ac:dyDescent="0.2">
      <c r="A1247" s="65">
        <v>99229999126</v>
      </c>
      <c r="B1247" s="76" t="s">
        <v>6809</v>
      </c>
      <c r="C1247" s="65" t="s">
        <v>10245</v>
      </c>
      <c r="D1247" s="66">
        <v>42413</v>
      </c>
      <c r="E1247" s="65" t="s">
        <v>6809</v>
      </c>
      <c r="F1247" s="79" t="s">
        <v>6810</v>
      </c>
      <c r="G1247" s="61"/>
      <c r="I1247" s="78"/>
    </row>
    <row r="1248" spans="1:9" ht="14.25" customHeight="1" x14ac:dyDescent="0.2">
      <c r="A1248" s="65" t="s">
        <v>10246</v>
      </c>
      <c r="B1248" s="76" t="s">
        <v>10247</v>
      </c>
      <c r="C1248" s="65" t="s">
        <v>10248</v>
      </c>
      <c r="D1248" s="66">
        <v>42408</v>
      </c>
      <c r="E1248" s="65" t="s">
        <v>6809</v>
      </c>
      <c r="F1248" s="79" t="s">
        <v>10249</v>
      </c>
      <c r="G1248" s="61"/>
      <c r="I1248" s="78"/>
    </row>
    <row r="1249" spans="1:9" ht="14.25" customHeight="1" x14ac:dyDescent="0.2">
      <c r="A1249" s="65" t="s">
        <v>10250</v>
      </c>
      <c r="B1249" s="76" t="s">
        <v>4871</v>
      </c>
      <c r="C1249" s="65" t="s">
        <v>10251</v>
      </c>
      <c r="D1249" s="66">
        <v>42404</v>
      </c>
      <c r="E1249" s="65" t="s">
        <v>6809</v>
      </c>
      <c r="F1249" s="79" t="s">
        <v>10252</v>
      </c>
      <c r="G1249" s="61"/>
      <c r="I1249" s="78"/>
    </row>
    <row r="1250" spans="1:9" ht="14.25" customHeight="1" x14ac:dyDescent="0.2">
      <c r="A1250" s="65" t="s">
        <v>10253</v>
      </c>
      <c r="B1250" s="76" t="s">
        <v>10254</v>
      </c>
      <c r="C1250" s="65" t="s">
        <v>10255</v>
      </c>
      <c r="D1250" s="66">
        <v>42402</v>
      </c>
      <c r="E1250" s="65" t="s">
        <v>6809</v>
      </c>
      <c r="F1250" s="79" t="s">
        <v>6810</v>
      </c>
      <c r="G1250" s="61"/>
      <c r="I1250" s="78"/>
    </row>
    <row r="1251" spans="1:9" ht="14.25" customHeight="1" x14ac:dyDescent="0.2">
      <c r="A1251" s="65">
        <v>99120101078</v>
      </c>
      <c r="B1251" s="76" t="s">
        <v>6809</v>
      </c>
      <c r="C1251" s="65" t="s">
        <v>10256</v>
      </c>
      <c r="D1251" s="66">
        <v>42400</v>
      </c>
      <c r="E1251" s="65" t="s">
        <v>6809</v>
      </c>
      <c r="F1251" s="79" t="s">
        <v>10257</v>
      </c>
      <c r="G1251" s="61"/>
      <c r="I1251" s="78"/>
    </row>
    <row r="1252" spans="1:9" ht="14.25" customHeight="1" x14ac:dyDescent="0.2">
      <c r="A1252" s="65">
        <v>60220115001</v>
      </c>
      <c r="B1252" s="76" t="s">
        <v>6809</v>
      </c>
      <c r="C1252" s="65" t="s">
        <v>10258</v>
      </c>
      <c r="D1252" s="66">
        <v>42400</v>
      </c>
      <c r="E1252" s="65" t="s">
        <v>6809</v>
      </c>
      <c r="F1252" s="79" t="s">
        <v>10259</v>
      </c>
      <c r="G1252" s="61"/>
      <c r="I1252" s="78"/>
    </row>
    <row r="1253" spans="1:9" ht="14.25" customHeight="1" x14ac:dyDescent="0.2">
      <c r="A1253" s="65">
        <v>99121499004</v>
      </c>
      <c r="B1253" s="76" t="s">
        <v>6809</v>
      </c>
      <c r="C1253" s="65" t="s">
        <v>10260</v>
      </c>
      <c r="D1253" s="66">
        <v>42394</v>
      </c>
      <c r="E1253" s="65" t="s">
        <v>6809</v>
      </c>
      <c r="F1253" s="79" t="s">
        <v>6810</v>
      </c>
      <c r="G1253" s="61"/>
      <c r="I1253" s="78"/>
    </row>
    <row r="1254" spans="1:9" ht="14.25" customHeight="1" x14ac:dyDescent="0.2">
      <c r="A1254" s="65">
        <v>99121466005</v>
      </c>
      <c r="B1254" s="76" t="s">
        <v>6809</v>
      </c>
      <c r="C1254" s="65" t="s">
        <v>10261</v>
      </c>
      <c r="D1254" s="66">
        <v>42394</v>
      </c>
      <c r="E1254" s="65" t="s">
        <v>6809</v>
      </c>
      <c r="F1254" s="79" t="s">
        <v>6810</v>
      </c>
      <c r="G1254" s="61"/>
      <c r="I1254" s="78"/>
    </row>
    <row r="1255" spans="1:9" ht="14.25" customHeight="1" x14ac:dyDescent="0.2">
      <c r="A1255" s="65">
        <v>99120101110</v>
      </c>
      <c r="B1255" s="76" t="s">
        <v>6809</v>
      </c>
      <c r="C1255" s="65" t="s">
        <v>10262</v>
      </c>
      <c r="D1255" s="66">
        <v>42394</v>
      </c>
      <c r="E1255" s="65" t="s">
        <v>6809</v>
      </c>
      <c r="F1255" s="79" t="s">
        <v>10192</v>
      </c>
      <c r="G1255" s="61"/>
      <c r="I1255" s="78"/>
    </row>
    <row r="1256" spans="1:9" ht="14.25" customHeight="1" x14ac:dyDescent="0.2">
      <c r="A1256" s="65" t="s">
        <v>10263</v>
      </c>
      <c r="B1256" s="76" t="s">
        <v>10264</v>
      </c>
      <c r="C1256" s="65" t="s">
        <v>10265</v>
      </c>
      <c r="D1256" s="66">
        <v>42393</v>
      </c>
      <c r="E1256" s="65" t="s">
        <v>6809</v>
      </c>
      <c r="F1256" s="79" t="s">
        <v>10192</v>
      </c>
      <c r="G1256" s="61"/>
      <c r="I1256" s="78"/>
    </row>
    <row r="1257" spans="1:9" ht="14.25" customHeight="1" x14ac:dyDescent="0.2">
      <c r="A1257" s="65" t="s">
        <v>10266</v>
      </c>
      <c r="B1257" s="76" t="s">
        <v>10267</v>
      </c>
      <c r="C1257" s="65" t="s">
        <v>10268</v>
      </c>
      <c r="D1257" s="66">
        <v>42393</v>
      </c>
      <c r="E1257" s="65" t="s">
        <v>6809</v>
      </c>
      <c r="F1257" s="79" t="s">
        <v>6810</v>
      </c>
      <c r="G1257" s="61"/>
      <c r="I1257" s="78"/>
    </row>
    <row r="1258" spans="1:9" ht="14.25" customHeight="1" x14ac:dyDescent="0.2">
      <c r="A1258" s="65" t="s">
        <v>10269</v>
      </c>
      <c r="B1258" s="76" t="s">
        <v>10270</v>
      </c>
      <c r="C1258" s="65" t="s">
        <v>10271</v>
      </c>
      <c r="D1258" s="66">
        <v>42393</v>
      </c>
      <c r="E1258" s="65" t="s">
        <v>6809</v>
      </c>
      <c r="F1258" s="79" t="s">
        <v>10192</v>
      </c>
      <c r="G1258" s="61"/>
      <c r="I1258" s="78"/>
    </row>
    <row r="1259" spans="1:9" ht="14.25" customHeight="1" x14ac:dyDescent="0.2">
      <c r="A1259" s="65" t="s">
        <v>10272</v>
      </c>
      <c r="B1259" s="76" t="s">
        <v>3272</v>
      </c>
      <c r="C1259" s="65" t="s">
        <v>10273</v>
      </c>
      <c r="D1259" s="66">
        <v>42393</v>
      </c>
      <c r="E1259" s="65" t="s">
        <v>6809</v>
      </c>
      <c r="F1259" s="79" t="s">
        <v>10192</v>
      </c>
      <c r="G1259" s="61"/>
      <c r="I1259" s="78"/>
    </row>
    <row r="1260" spans="1:9" ht="14.25" customHeight="1" x14ac:dyDescent="0.2">
      <c r="A1260" s="65" t="s">
        <v>10274</v>
      </c>
      <c r="B1260" s="76" t="s">
        <v>10275</v>
      </c>
      <c r="C1260" s="65" t="s">
        <v>10276</v>
      </c>
      <c r="D1260" s="66">
        <v>42393</v>
      </c>
      <c r="E1260" s="65" t="s">
        <v>10123</v>
      </c>
      <c r="F1260" s="79" t="s">
        <v>10192</v>
      </c>
      <c r="G1260" s="61"/>
      <c r="I1260" s="78"/>
    </row>
    <row r="1261" spans="1:9" ht="14.25" customHeight="1" x14ac:dyDescent="0.2">
      <c r="A1261" s="65" t="s">
        <v>10277</v>
      </c>
      <c r="B1261" s="76" t="s">
        <v>1350</v>
      </c>
      <c r="C1261" s="65" t="s">
        <v>10278</v>
      </c>
      <c r="D1261" s="66">
        <v>42393</v>
      </c>
      <c r="E1261" s="65" t="s">
        <v>6809</v>
      </c>
      <c r="F1261" s="79" t="s">
        <v>10192</v>
      </c>
      <c r="G1261" s="61"/>
      <c r="I1261" s="78"/>
    </row>
    <row r="1262" spans="1:9" ht="14.25" customHeight="1" x14ac:dyDescent="0.2">
      <c r="A1262" s="65" t="s">
        <v>10279</v>
      </c>
      <c r="B1262" s="76" t="s">
        <v>8319</v>
      </c>
      <c r="C1262" s="65" t="s">
        <v>8320</v>
      </c>
      <c r="D1262" s="66">
        <v>42393</v>
      </c>
      <c r="E1262" s="65" t="s">
        <v>6809</v>
      </c>
      <c r="F1262" s="79" t="s">
        <v>10280</v>
      </c>
      <c r="G1262" s="61"/>
      <c r="I1262" s="78"/>
    </row>
    <row r="1263" spans="1:9" ht="14.25" customHeight="1" x14ac:dyDescent="0.2">
      <c r="A1263" s="65" t="s">
        <v>10281</v>
      </c>
      <c r="B1263" s="76" t="s">
        <v>1523</v>
      </c>
      <c r="C1263" s="65" t="s">
        <v>10282</v>
      </c>
      <c r="D1263" s="66">
        <v>42393</v>
      </c>
      <c r="E1263" s="65" t="s">
        <v>6809</v>
      </c>
      <c r="F1263" s="79" t="s">
        <v>10283</v>
      </c>
      <c r="G1263" s="61"/>
      <c r="I1263" s="78"/>
    </row>
    <row r="1264" spans="1:9" ht="14.25" customHeight="1" x14ac:dyDescent="0.2">
      <c r="A1264" s="65" t="s">
        <v>10284</v>
      </c>
      <c r="B1264" s="76" t="s">
        <v>10285</v>
      </c>
      <c r="C1264" s="65" t="s">
        <v>10286</v>
      </c>
      <c r="D1264" s="66">
        <v>42393</v>
      </c>
      <c r="E1264" s="65" t="s">
        <v>6809</v>
      </c>
      <c r="F1264" s="79" t="s">
        <v>10287</v>
      </c>
      <c r="G1264" s="61"/>
      <c r="I1264" s="78"/>
    </row>
    <row r="1265" spans="1:9" ht="14.25" customHeight="1" x14ac:dyDescent="0.2">
      <c r="A1265" s="65" t="s">
        <v>10288</v>
      </c>
      <c r="B1265" s="76" t="s">
        <v>3268</v>
      </c>
      <c r="C1265" s="65" t="s">
        <v>10289</v>
      </c>
      <c r="D1265" s="66">
        <v>42393</v>
      </c>
      <c r="E1265" s="65" t="s">
        <v>6809</v>
      </c>
      <c r="F1265" s="79" t="s">
        <v>10290</v>
      </c>
      <c r="G1265" s="61"/>
      <c r="I1265" s="78"/>
    </row>
    <row r="1266" spans="1:9" ht="14.25" customHeight="1" x14ac:dyDescent="0.2">
      <c r="A1266" s="65">
        <v>99120201010</v>
      </c>
      <c r="B1266" s="76" t="s">
        <v>6809</v>
      </c>
      <c r="C1266" s="65" t="s">
        <v>9445</v>
      </c>
      <c r="D1266" s="66">
        <v>42393</v>
      </c>
      <c r="E1266" s="65" t="s">
        <v>6809</v>
      </c>
      <c r="F1266" s="79" t="s">
        <v>10291</v>
      </c>
      <c r="G1266" s="61"/>
      <c r="I1266" s="78"/>
    </row>
    <row r="1267" spans="1:9" ht="14.25" customHeight="1" x14ac:dyDescent="0.2">
      <c r="A1267" s="65" t="s">
        <v>10292</v>
      </c>
      <c r="B1267" s="76" t="s">
        <v>10293</v>
      </c>
      <c r="C1267" s="65" t="s">
        <v>10294</v>
      </c>
      <c r="D1267" s="66">
        <v>42393</v>
      </c>
      <c r="E1267" s="65" t="s">
        <v>6809</v>
      </c>
      <c r="F1267" s="79" t="s">
        <v>10295</v>
      </c>
      <c r="G1267" s="61"/>
      <c r="I1267" s="78"/>
    </row>
    <row r="1268" spans="1:9" ht="14.25" customHeight="1" x14ac:dyDescent="0.2">
      <c r="A1268" s="65" t="s">
        <v>10296</v>
      </c>
      <c r="B1268" s="76" t="s">
        <v>9200</v>
      </c>
      <c r="C1268" s="65" t="s">
        <v>9201</v>
      </c>
      <c r="D1268" s="66">
        <v>42393</v>
      </c>
      <c r="E1268" s="65" t="s">
        <v>6809</v>
      </c>
      <c r="F1268" s="79" t="s">
        <v>10297</v>
      </c>
      <c r="G1268" s="61"/>
      <c r="I1268" s="78"/>
    </row>
    <row r="1269" spans="1:9" ht="14.25" customHeight="1" x14ac:dyDescent="0.2">
      <c r="A1269" s="65" t="s">
        <v>10298</v>
      </c>
      <c r="B1269" s="76" t="s">
        <v>10299</v>
      </c>
      <c r="C1269" s="65" t="s">
        <v>10300</v>
      </c>
      <c r="D1269" s="66">
        <v>42393</v>
      </c>
      <c r="E1269" s="65" t="s">
        <v>6809</v>
      </c>
      <c r="F1269" s="79" t="s">
        <v>10301</v>
      </c>
      <c r="G1269" s="61"/>
      <c r="I1269" s="78"/>
    </row>
    <row r="1270" spans="1:9" ht="14.25" customHeight="1" x14ac:dyDescent="0.2">
      <c r="A1270" s="65">
        <v>99129915001</v>
      </c>
      <c r="B1270" s="76" t="s">
        <v>6809</v>
      </c>
      <c r="C1270" s="65" t="s">
        <v>10302</v>
      </c>
      <c r="D1270" s="66">
        <v>42387</v>
      </c>
      <c r="E1270" s="65" t="s">
        <v>6809</v>
      </c>
      <c r="F1270" s="79" t="s">
        <v>10303</v>
      </c>
      <c r="G1270" s="61"/>
      <c r="I1270" s="78"/>
    </row>
    <row r="1271" spans="1:9" ht="14.25" customHeight="1" x14ac:dyDescent="0.2">
      <c r="A1271" s="65">
        <v>99129915007</v>
      </c>
      <c r="B1271" s="76" t="s">
        <v>6809</v>
      </c>
      <c r="C1271" s="65" t="s">
        <v>10304</v>
      </c>
      <c r="D1271" s="66">
        <v>42387</v>
      </c>
      <c r="E1271" s="65" t="s">
        <v>6809</v>
      </c>
      <c r="F1271" s="79" t="s">
        <v>10305</v>
      </c>
      <c r="G1271" s="61"/>
      <c r="I1271" s="78"/>
    </row>
    <row r="1272" spans="1:9" ht="14.25" customHeight="1" x14ac:dyDescent="0.2">
      <c r="A1272" s="65">
        <v>99129915015</v>
      </c>
      <c r="B1272" s="76" t="s">
        <v>6809</v>
      </c>
      <c r="C1272" s="65" t="s">
        <v>10306</v>
      </c>
      <c r="D1272" s="66">
        <v>42387</v>
      </c>
      <c r="E1272" s="65" t="s">
        <v>6809</v>
      </c>
      <c r="F1272" s="79" t="s">
        <v>10307</v>
      </c>
      <c r="G1272" s="61"/>
      <c r="I1272" s="78"/>
    </row>
    <row r="1273" spans="1:9" ht="14.25" customHeight="1" x14ac:dyDescent="0.2">
      <c r="A1273" s="65">
        <v>99120116011</v>
      </c>
      <c r="B1273" s="76" t="s">
        <v>6809</v>
      </c>
      <c r="C1273" s="65" t="s">
        <v>10308</v>
      </c>
      <c r="D1273" s="66">
        <v>42377</v>
      </c>
      <c r="E1273" s="65" t="s">
        <v>6809</v>
      </c>
      <c r="F1273" s="65" t="s">
        <v>6814</v>
      </c>
      <c r="G1273" s="61"/>
      <c r="I1273" s="78"/>
    </row>
    <row r="1274" spans="1:9" ht="14.25" customHeight="1" x14ac:dyDescent="0.2">
      <c r="A1274" s="65" t="s">
        <v>10309</v>
      </c>
      <c r="B1274" s="76" t="s">
        <v>10310</v>
      </c>
      <c r="C1274" s="65" t="s">
        <v>10311</v>
      </c>
      <c r="D1274" s="66">
        <v>42377</v>
      </c>
      <c r="E1274" s="65" t="s">
        <v>6809</v>
      </c>
      <c r="F1274" s="65" t="s">
        <v>10192</v>
      </c>
      <c r="G1274" s="61"/>
      <c r="I1274" s="78"/>
    </row>
    <row r="1275" spans="1:9" ht="14.25" customHeight="1" x14ac:dyDescent="0.2">
      <c r="A1275" s="65" t="s">
        <v>10312</v>
      </c>
      <c r="B1275" s="76" t="s">
        <v>3645</v>
      </c>
      <c r="C1275" s="65" t="s">
        <v>10313</v>
      </c>
      <c r="D1275" s="66">
        <v>42377</v>
      </c>
      <c r="E1275" s="65" t="s">
        <v>6809</v>
      </c>
      <c r="F1275" s="65" t="s">
        <v>10314</v>
      </c>
      <c r="G1275" s="61"/>
      <c r="I1275" s="78"/>
    </row>
    <row r="1276" spans="1:9" ht="14.25" customHeight="1" x14ac:dyDescent="0.2">
      <c r="A1276" s="65">
        <v>99121499025</v>
      </c>
      <c r="B1276" s="76" t="s">
        <v>6809</v>
      </c>
      <c r="C1276" s="65" t="s">
        <v>10268</v>
      </c>
      <c r="D1276" s="66">
        <v>42377</v>
      </c>
      <c r="E1276" s="65" t="s">
        <v>6809</v>
      </c>
      <c r="F1276" s="65" t="s">
        <v>6810</v>
      </c>
      <c r="G1276" s="61"/>
      <c r="I1276" s="78"/>
    </row>
    <row r="1277" spans="1:9" ht="14.25" customHeight="1" x14ac:dyDescent="0.2">
      <c r="A1277" s="65" t="s">
        <v>10315</v>
      </c>
      <c r="B1277" s="76" t="s">
        <v>10316</v>
      </c>
      <c r="C1277" s="65" t="s">
        <v>10317</v>
      </c>
      <c r="D1277" s="66">
        <v>42377</v>
      </c>
      <c r="E1277" s="65" t="s">
        <v>6809</v>
      </c>
      <c r="F1277" s="65" t="s">
        <v>6810</v>
      </c>
      <c r="G1277" s="61"/>
      <c r="I1277" s="78"/>
    </row>
    <row r="1278" spans="1:9" ht="14.25" customHeight="1" x14ac:dyDescent="0.2">
      <c r="A1278" s="65">
        <v>99121464007</v>
      </c>
      <c r="B1278" s="76" t="s">
        <v>6809</v>
      </c>
      <c r="C1278" s="65" t="s">
        <v>10318</v>
      </c>
      <c r="D1278" s="66">
        <v>42377</v>
      </c>
      <c r="E1278" s="65" t="s">
        <v>6809</v>
      </c>
      <c r="F1278" s="65" t="s">
        <v>6810</v>
      </c>
      <c r="G1278" s="61"/>
      <c r="I1278" s="78"/>
    </row>
    <row r="1279" spans="1:9" ht="14.25" customHeight="1" x14ac:dyDescent="0.2">
      <c r="A1279" s="65">
        <v>99179999026</v>
      </c>
      <c r="B1279" s="76" t="s">
        <v>6809</v>
      </c>
      <c r="C1279" s="65" t="s">
        <v>10319</v>
      </c>
      <c r="D1279" s="66">
        <v>42377</v>
      </c>
      <c r="E1279" s="65" t="s">
        <v>6809</v>
      </c>
      <c r="F1279" s="65" t="s">
        <v>6814</v>
      </c>
      <c r="G1279" s="61"/>
      <c r="I1279" s="78"/>
    </row>
    <row r="1280" spans="1:9" ht="14.25" customHeight="1" x14ac:dyDescent="0.2">
      <c r="A1280" s="65" t="s">
        <v>10320</v>
      </c>
      <c r="B1280" s="76" t="s">
        <v>9035</v>
      </c>
      <c r="C1280" s="65" t="s">
        <v>9036</v>
      </c>
      <c r="D1280" s="66">
        <v>42375</v>
      </c>
      <c r="E1280" s="65" t="s">
        <v>6809</v>
      </c>
      <c r="F1280" s="65" t="s">
        <v>10321</v>
      </c>
      <c r="G1280" s="61"/>
      <c r="I1280" s="78"/>
    </row>
    <row r="1281" spans="1:9" ht="14.25" customHeight="1" x14ac:dyDescent="0.2">
      <c r="A1281" s="65" t="s">
        <v>10312</v>
      </c>
      <c r="B1281" s="76" t="s">
        <v>3645</v>
      </c>
      <c r="C1281" s="65" t="s">
        <v>10313</v>
      </c>
      <c r="D1281" s="66">
        <v>42375</v>
      </c>
      <c r="E1281" s="65" t="s">
        <v>6809</v>
      </c>
      <c r="F1281" s="65" t="s">
        <v>10314</v>
      </c>
      <c r="G1281" s="61"/>
      <c r="I1281" s="78"/>
    </row>
    <row r="1282" spans="1:9" ht="14.25" customHeight="1" x14ac:dyDescent="0.2">
      <c r="A1282" s="65">
        <v>99129915020</v>
      </c>
      <c r="B1282" s="76" t="s">
        <v>6809</v>
      </c>
      <c r="C1282" s="65" t="s">
        <v>10322</v>
      </c>
      <c r="D1282" s="66">
        <v>42367</v>
      </c>
      <c r="E1282" s="65" t="s">
        <v>6809</v>
      </c>
      <c r="F1282" s="79" t="s">
        <v>10323</v>
      </c>
      <c r="G1282" s="61"/>
      <c r="I1282" s="78"/>
    </row>
    <row r="1283" spans="1:9" ht="14.25" customHeight="1" x14ac:dyDescent="0.2">
      <c r="A1283" s="65">
        <v>99070113002</v>
      </c>
      <c r="B1283" s="76" t="s">
        <v>6809</v>
      </c>
      <c r="C1283" s="65" t="s">
        <v>10317</v>
      </c>
      <c r="D1283" s="66">
        <v>42367</v>
      </c>
      <c r="E1283" s="65" t="s">
        <v>6809</v>
      </c>
      <c r="F1283" s="65" t="s">
        <v>6810</v>
      </c>
      <c r="G1283" s="61"/>
      <c r="I1283" s="78"/>
    </row>
    <row r="1284" spans="1:9" ht="14.25" customHeight="1" x14ac:dyDescent="0.2">
      <c r="A1284" s="65">
        <v>99179999009</v>
      </c>
      <c r="B1284" s="76" t="s">
        <v>6809</v>
      </c>
      <c r="C1284" s="65" t="s">
        <v>10324</v>
      </c>
      <c r="D1284" s="66">
        <v>42361</v>
      </c>
      <c r="E1284" s="65" t="s">
        <v>6809</v>
      </c>
      <c r="F1284" s="65" t="s">
        <v>10192</v>
      </c>
      <c r="G1284" s="61"/>
      <c r="I1284" s="78"/>
    </row>
    <row r="1285" spans="1:9" ht="14.25" customHeight="1" x14ac:dyDescent="0.2">
      <c r="A1285" s="65">
        <v>99120116010</v>
      </c>
      <c r="B1285" s="76" t="s">
        <v>6809</v>
      </c>
      <c r="C1285" s="65" t="s">
        <v>10311</v>
      </c>
      <c r="D1285" s="66">
        <v>42361</v>
      </c>
      <c r="E1285" s="65" t="s">
        <v>6809</v>
      </c>
      <c r="F1285" s="65" t="s">
        <v>10192</v>
      </c>
      <c r="G1285" s="61"/>
      <c r="I1285" s="78"/>
    </row>
    <row r="1286" spans="1:9" ht="14.25" customHeight="1" x14ac:dyDescent="0.2">
      <c r="A1286" s="65">
        <v>99800101109</v>
      </c>
      <c r="B1286" s="76" t="s">
        <v>6809</v>
      </c>
      <c r="C1286" s="65" t="s">
        <v>10325</v>
      </c>
      <c r="D1286" s="66">
        <v>42356</v>
      </c>
      <c r="E1286" s="65" t="s">
        <v>6809</v>
      </c>
      <c r="F1286" s="65" t="s">
        <v>6810</v>
      </c>
      <c r="G1286" s="61"/>
      <c r="I1286" s="78"/>
    </row>
    <row r="1287" spans="1:9" ht="14.25" customHeight="1" x14ac:dyDescent="0.2">
      <c r="A1287" s="65" t="s">
        <v>10326</v>
      </c>
      <c r="B1287" s="76" t="s">
        <v>1290</v>
      </c>
      <c r="C1287" s="65" t="s">
        <v>10327</v>
      </c>
      <c r="D1287" s="66">
        <v>42348</v>
      </c>
      <c r="E1287" s="65" t="s">
        <v>6809</v>
      </c>
      <c r="F1287" s="65" t="s">
        <v>6810</v>
      </c>
      <c r="G1287" s="61"/>
      <c r="I1287" s="78"/>
    </row>
    <row r="1288" spans="1:9" ht="14.25" customHeight="1" x14ac:dyDescent="0.2">
      <c r="A1288" s="65" t="s">
        <v>10328</v>
      </c>
      <c r="B1288" s="76" t="s">
        <v>1837</v>
      </c>
      <c r="C1288" s="65" t="s">
        <v>10329</v>
      </c>
      <c r="D1288" s="66">
        <v>42328</v>
      </c>
      <c r="E1288" s="65" t="s">
        <v>6809</v>
      </c>
      <c r="F1288" s="65" t="s">
        <v>10330</v>
      </c>
      <c r="G1288" s="61"/>
      <c r="I1288" s="78"/>
    </row>
    <row r="1289" spans="1:9" ht="14.25" customHeight="1" x14ac:dyDescent="0.2">
      <c r="A1289" s="65">
        <v>99070205001</v>
      </c>
      <c r="B1289" s="76" t="s">
        <v>6809</v>
      </c>
      <c r="C1289" s="65" t="s">
        <v>10331</v>
      </c>
      <c r="D1289" s="66">
        <v>42327</v>
      </c>
      <c r="E1289" s="65" t="s">
        <v>6809</v>
      </c>
      <c r="F1289" s="65" t="s">
        <v>6810</v>
      </c>
      <c r="G1289" s="61"/>
      <c r="I1289" s="78"/>
    </row>
    <row r="1290" spans="1:9" ht="14.25" customHeight="1" x14ac:dyDescent="0.2">
      <c r="A1290" s="65">
        <v>99120201017</v>
      </c>
      <c r="B1290" s="76" t="s">
        <v>6809</v>
      </c>
      <c r="C1290" s="65" t="s">
        <v>9921</v>
      </c>
      <c r="D1290" s="66">
        <v>42327</v>
      </c>
      <c r="E1290" s="65" t="s">
        <v>6809</v>
      </c>
      <c r="F1290" s="65" t="s">
        <v>6814</v>
      </c>
      <c r="G1290" s="61"/>
      <c r="I1290" s="78"/>
    </row>
    <row r="1291" spans="1:9" ht="14.25" customHeight="1" x14ac:dyDescent="0.2">
      <c r="A1291" s="65">
        <v>99120202033</v>
      </c>
      <c r="B1291" s="76" t="s">
        <v>6809</v>
      </c>
      <c r="C1291" s="65" t="s">
        <v>10332</v>
      </c>
      <c r="D1291" s="66">
        <v>42327</v>
      </c>
      <c r="E1291" s="65" t="s">
        <v>6809</v>
      </c>
      <c r="F1291" s="65" t="s">
        <v>6810</v>
      </c>
      <c r="G1291" s="61"/>
      <c r="I1291" s="78"/>
    </row>
    <row r="1292" spans="1:9" ht="14.25" customHeight="1" x14ac:dyDescent="0.2">
      <c r="A1292" s="65" t="s">
        <v>10333</v>
      </c>
      <c r="B1292" s="76" t="s">
        <v>4693</v>
      </c>
      <c r="C1292" s="65" t="s">
        <v>10334</v>
      </c>
      <c r="D1292" s="66">
        <v>42327</v>
      </c>
      <c r="E1292" s="65" t="s">
        <v>6809</v>
      </c>
      <c r="F1292" s="65" t="s">
        <v>10335</v>
      </c>
      <c r="G1292" s="61"/>
      <c r="I1292" s="78"/>
    </row>
    <row r="1293" spans="1:9" ht="14.25" customHeight="1" x14ac:dyDescent="0.2">
      <c r="A1293" s="65" t="s">
        <v>10336</v>
      </c>
      <c r="B1293" s="76" t="s">
        <v>8990</v>
      </c>
      <c r="C1293" s="65" t="s">
        <v>8991</v>
      </c>
      <c r="D1293" s="66">
        <v>42326</v>
      </c>
      <c r="E1293" s="65" t="s">
        <v>6809</v>
      </c>
      <c r="F1293" s="65" t="s">
        <v>6810</v>
      </c>
      <c r="G1293" s="61"/>
      <c r="I1293" s="78"/>
    </row>
    <row r="1294" spans="1:9" ht="14.25" customHeight="1" x14ac:dyDescent="0.2">
      <c r="A1294" s="65">
        <v>99810110004</v>
      </c>
      <c r="B1294" s="76" t="s">
        <v>6809</v>
      </c>
      <c r="C1294" s="65" t="s">
        <v>10337</v>
      </c>
      <c r="D1294" s="66">
        <v>42317</v>
      </c>
      <c r="E1294" s="65" t="s">
        <v>6809</v>
      </c>
      <c r="F1294" s="65" t="s">
        <v>6810</v>
      </c>
      <c r="G1294" s="61"/>
      <c r="I1294" s="78"/>
    </row>
    <row r="1295" spans="1:9" ht="14.25" customHeight="1" x14ac:dyDescent="0.2">
      <c r="A1295" s="65">
        <v>99810106003</v>
      </c>
      <c r="B1295" s="76" t="s">
        <v>6809</v>
      </c>
      <c r="C1295" s="65" t="s">
        <v>10338</v>
      </c>
      <c r="D1295" s="66">
        <v>42317</v>
      </c>
      <c r="E1295" s="65" t="s">
        <v>6809</v>
      </c>
      <c r="F1295" s="65" t="s">
        <v>6810</v>
      </c>
      <c r="G1295" s="61"/>
      <c r="I1295" s="78"/>
    </row>
    <row r="1296" spans="1:9" ht="14.25" customHeight="1" x14ac:dyDescent="0.2">
      <c r="A1296" s="65">
        <v>99810104012</v>
      </c>
      <c r="B1296" s="76" t="s">
        <v>6809</v>
      </c>
      <c r="C1296" s="65" t="s">
        <v>10339</v>
      </c>
      <c r="D1296" s="66">
        <v>42317</v>
      </c>
      <c r="E1296" s="65" t="s">
        <v>6809</v>
      </c>
      <c r="F1296" s="65" t="s">
        <v>6810</v>
      </c>
      <c r="G1296" s="61"/>
      <c r="I1296" s="78"/>
    </row>
    <row r="1297" spans="1:9" ht="14.25" customHeight="1" x14ac:dyDescent="0.2">
      <c r="A1297" s="65">
        <v>99810104005</v>
      </c>
      <c r="B1297" s="76" t="s">
        <v>6809</v>
      </c>
      <c r="C1297" s="65" t="s">
        <v>10340</v>
      </c>
      <c r="D1297" s="66">
        <v>42317</v>
      </c>
      <c r="E1297" s="65" t="s">
        <v>6809</v>
      </c>
      <c r="F1297" s="65" t="s">
        <v>6810</v>
      </c>
      <c r="G1297" s="61"/>
      <c r="I1297" s="78"/>
    </row>
    <row r="1298" spans="1:9" ht="14.25" customHeight="1" x14ac:dyDescent="0.2">
      <c r="A1298" s="65" t="s">
        <v>10341</v>
      </c>
      <c r="B1298" s="76" t="s">
        <v>10342</v>
      </c>
      <c r="C1298" s="65" t="s">
        <v>10343</v>
      </c>
      <c r="D1298" s="66">
        <v>42317</v>
      </c>
      <c r="E1298" s="65" t="s">
        <v>10150</v>
      </c>
      <c r="F1298" s="65" t="s">
        <v>10344</v>
      </c>
      <c r="G1298" s="61"/>
      <c r="I1298" s="78"/>
    </row>
    <row r="1299" spans="1:9" ht="14.25" customHeight="1" x14ac:dyDescent="0.2">
      <c r="A1299" s="65" t="s">
        <v>5317</v>
      </c>
      <c r="B1299" s="76" t="s">
        <v>5316</v>
      </c>
      <c r="C1299" s="65" t="s">
        <v>10345</v>
      </c>
      <c r="D1299" s="66">
        <v>42314</v>
      </c>
      <c r="E1299" s="65" t="s">
        <v>10150</v>
      </c>
      <c r="F1299" s="65" t="s">
        <v>10346</v>
      </c>
      <c r="G1299" s="61"/>
      <c r="I1299" s="78"/>
    </row>
    <row r="1300" spans="1:9" ht="14.25" customHeight="1" x14ac:dyDescent="0.2">
      <c r="A1300" s="65" t="s">
        <v>5369</v>
      </c>
      <c r="B1300" s="76" t="s">
        <v>5368</v>
      </c>
      <c r="C1300" s="65" t="s">
        <v>10347</v>
      </c>
      <c r="D1300" s="66">
        <v>42314</v>
      </c>
      <c r="E1300" s="65" t="s">
        <v>10150</v>
      </c>
      <c r="F1300" s="65" t="s">
        <v>10346</v>
      </c>
      <c r="G1300" s="61"/>
      <c r="I1300" s="78"/>
    </row>
    <row r="1301" spans="1:9" ht="14.25" customHeight="1" x14ac:dyDescent="0.2">
      <c r="A1301" s="65" t="s">
        <v>5554</v>
      </c>
      <c r="B1301" s="76" t="s">
        <v>5553</v>
      </c>
      <c r="C1301" s="65" t="s">
        <v>10348</v>
      </c>
      <c r="D1301" s="66">
        <v>42314</v>
      </c>
      <c r="E1301" s="65" t="s">
        <v>10150</v>
      </c>
      <c r="F1301" s="65" t="s">
        <v>10346</v>
      </c>
      <c r="G1301" s="61"/>
      <c r="I1301" s="78"/>
    </row>
    <row r="1302" spans="1:9" ht="14.25" customHeight="1" x14ac:dyDescent="0.2">
      <c r="A1302" s="65" t="s">
        <v>5558</v>
      </c>
      <c r="B1302" s="76" t="s">
        <v>5557</v>
      </c>
      <c r="C1302" s="65" t="s">
        <v>10349</v>
      </c>
      <c r="D1302" s="66">
        <v>42314</v>
      </c>
      <c r="E1302" s="65" t="s">
        <v>10150</v>
      </c>
      <c r="F1302" s="65" t="s">
        <v>6810</v>
      </c>
      <c r="G1302" s="61"/>
      <c r="I1302" s="78"/>
    </row>
    <row r="1303" spans="1:9" ht="14.25" customHeight="1" x14ac:dyDescent="0.2">
      <c r="A1303" s="65" t="s">
        <v>5662</v>
      </c>
      <c r="B1303" s="76" t="s">
        <v>5661</v>
      </c>
      <c r="C1303" s="65" t="s">
        <v>10350</v>
      </c>
      <c r="D1303" s="66">
        <v>42314</v>
      </c>
      <c r="E1303" s="65" t="s">
        <v>10150</v>
      </c>
      <c r="F1303" s="65" t="s">
        <v>10346</v>
      </c>
      <c r="G1303" s="61"/>
      <c r="I1303" s="78"/>
    </row>
    <row r="1304" spans="1:9" ht="14.25" customHeight="1" x14ac:dyDescent="0.2">
      <c r="A1304" s="65" t="s">
        <v>5718</v>
      </c>
      <c r="B1304" s="76" t="s">
        <v>5717</v>
      </c>
      <c r="C1304" s="65" t="s">
        <v>10351</v>
      </c>
      <c r="D1304" s="66">
        <v>42314</v>
      </c>
      <c r="E1304" s="65" t="s">
        <v>10150</v>
      </c>
      <c r="F1304" s="65" t="s">
        <v>10346</v>
      </c>
      <c r="G1304" s="61"/>
      <c r="I1304" s="78"/>
    </row>
    <row r="1305" spans="1:9" ht="14.25" customHeight="1" x14ac:dyDescent="0.2">
      <c r="A1305" s="65" t="s">
        <v>5722</v>
      </c>
      <c r="B1305" s="76" t="s">
        <v>5721</v>
      </c>
      <c r="C1305" s="65" t="s">
        <v>10352</v>
      </c>
      <c r="D1305" s="66">
        <v>42314</v>
      </c>
      <c r="E1305" s="65" t="s">
        <v>10150</v>
      </c>
      <c r="F1305" s="65" t="s">
        <v>6810</v>
      </c>
      <c r="G1305" s="61"/>
      <c r="I1305" s="78"/>
    </row>
    <row r="1306" spans="1:9" ht="14.25" customHeight="1" x14ac:dyDescent="0.2">
      <c r="A1306" s="65" t="s">
        <v>5907</v>
      </c>
      <c r="B1306" s="76" t="s">
        <v>5906</v>
      </c>
      <c r="C1306" s="65" t="s">
        <v>10353</v>
      </c>
      <c r="D1306" s="66">
        <v>42314</v>
      </c>
      <c r="E1306" s="65" t="s">
        <v>10150</v>
      </c>
      <c r="F1306" s="65" t="s">
        <v>10346</v>
      </c>
      <c r="G1306" s="61"/>
      <c r="I1306" s="78"/>
    </row>
    <row r="1307" spans="1:9" ht="14.25" customHeight="1" x14ac:dyDescent="0.2">
      <c r="A1307" s="65" t="s">
        <v>5927</v>
      </c>
      <c r="B1307" s="76" t="s">
        <v>5926</v>
      </c>
      <c r="C1307" s="65" t="s">
        <v>10354</v>
      </c>
      <c r="D1307" s="66">
        <v>42314</v>
      </c>
      <c r="E1307" s="65" t="s">
        <v>10150</v>
      </c>
      <c r="F1307" s="65" t="s">
        <v>10346</v>
      </c>
      <c r="G1307" s="61"/>
      <c r="I1307" s="78"/>
    </row>
    <row r="1308" spans="1:9" ht="14.25" customHeight="1" x14ac:dyDescent="0.2">
      <c r="A1308" s="65" t="s">
        <v>10355</v>
      </c>
      <c r="B1308" s="76" t="s">
        <v>10356</v>
      </c>
      <c r="C1308" s="65" t="s">
        <v>10357</v>
      </c>
      <c r="D1308" s="66">
        <v>42314</v>
      </c>
      <c r="E1308" s="65" t="s">
        <v>10150</v>
      </c>
      <c r="F1308" s="65" t="s">
        <v>10358</v>
      </c>
      <c r="G1308" s="61"/>
      <c r="I1308" s="78"/>
    </row>
    <row r="1309" spans="1:9" ht="14.25" customHeight="1" x14ac:dyDescent="0.2">
      <c r="A1309" s="65">
        <v>60220110001</v>
      </c>
      <c r="B1309" s="76" t="s">
        <v>6809</v>
      </c>
      <c r="C1309" s="65" t="s">
        <v>10359</v>
      </c>
      <c r="D1309" s="66">
        <v>42333</v>
      </c>
      <c r="E1309" s="65" t="s">
        <v>6809</v>
      </c>
      <c r="F1309" s="65" t="s">
        <v>10192</v>
      </c>
      <c r="G1309" s="61"/>
      <c r="I1309" s="78"/>
    </row>
    <row r="1310" spans="1:9" ht="14.25" customHeight="1" x14ac:dyDescent="0.2">
      <c r="A1310" s="65" t="s">
        <v>10360</v>
      </c>
      <c r="B1310" s="76" t="s">
        <v>10361</v>
      </c>
      <c r="C1310" s="65" t="s">
        <v>10362</v>
      </c>
      <c r="D1310" s="66">
        <v>42314</v>
      </c>
      <c r="E1310" s="65" t="s">
        <v>10150</v>
      </c>
      <c r="F1310" s="65" t="s">
        <v>10363</v>
      </c>
      <c r="G1310" s="61"/>
      <c r="I1310" s="78"/>
    </row>
    <row r="1311" spans="1:9" ht="14.25" customHeight="1" x14ac:dyDescent="0.2">
      <c r="A1311" s="65" t="s">
        <v>10364</v>
      </c>
      <c r="B1311" s="76" t="s">
        <v>10365</v>
      </c>
      <c r="C1311" s="65" t="s">
        <v>10366</v>
      </c>
      <c r="D1311" s="66">
        <v>42314</v>
      </c>
      <c r="E1311" s="65" t="s">
        <v>10150</v>
      </c>
      <c r="F1311" s="65" t="s">
        <v>10367</v>
      </c>
      <c r="G1311" s="61"/>
      <c r="I1311" s="78"/>
    </row>
    <row r="1312" spans="1:9" ht="14.25" customHeight="1" x14ac:dyDescent="0.2">
      <c r="A1312" s="65" t="s">
        <v>10368</v>
      </c>
      <c r="B1312" s="76" t="s">
        <v>10369</v>
      </c>
      <c r="C1312" s="65" t="s">
        <v>10370</v>
      </c>
      <c r="D1312" s="66">
        <v>42314</v>
      </c>
      <c r="E1312" s="65" t="s">
        <v>10150</v>
      </c>
      <c r="F1312" s="65" t="s">
        <v>10371</v>
      </c>
      <c r="G1312" s="61"/>
      <c r="I1312" s="78"/>
    </row>
    <row r="1313" spans="1:9" ht="14.25" customHeight="1" x14ac:dyDescent="0.2">
      <c r="A1313" s="65" t="s">
        <v>10372</v>
      </c>
      <c r="B1313" s="76" t="s">
        <v>10373</v>
      </c>
      <c r="C1313" s="65" t="s">
        <v>10374</v>
      </c>
      <c r="D1313" s="66">
        <v>42314</v>
      </c>
      <c r="E1313" s="65" t="s">
        <v>10150</v>
      </c>
      <c r="F1313" s="65" t="s">
        <v>10375</v>
      </c>
      <c r="G1313" s="61"/>
      <c r="I1313" s="78"/>
    </row>
    <row r="1314" spans="1:9" ht="14.25" customHeight="1" x14ac:dyDescent="0.2">
      <c r="A1314" s="65" t="s">
        <v>10376</v>
      </c>
      <c r="B1314" s="76" t="s">
        <v>10377</v>
      </c>
      <c r="C1314" s="65" t="s">
        <v>10378</v>
      </c>
      <c r="D1314" s="66">
        <v>42314</v>
      </c>
      <c r="E1314" s="65" t="s">
        <v>10150</v>
      </c>
      <c r="F1314" s="65" t="s">
        <v>10379</v>
      </c>
      <c r="G1314" s="61"/>
      <c r="I1314" s="78"/>
    </row>
    <row r="1315" spans="1:9" ht="14.25" customHeight="1" x14ac:dyDescent="0.2">
      <c r="A1315" s="65" t="s">
        <v>10380</v>
      </c>
      <c r="B1315" s="76" t="s">
        <v>10381</v>
      </c>
      <c r="C1315" s="65" t="s">
        <v>10382</v>
      </c>
      <c r="D1315" s="66">
        <v>42314</v>
      </c>
      <c r="E1315" s="65" t="s">
        <v>10150</v>
      </c>
      <c r="F1315" s="65" t="s">
        <v>10383</v>
      </c>
      <c r="G1315" s="61"/>
      <c r="I1315" s="78"/>
    </row>
    <row r="1316" spans="1:9" ht="14.25" customHeight="1" x14ac:dyDescent="0.2">
      <c r="A1316" s="65" t="s">
        <v>10384</v>
      </c>
      <c r="B1316" s="76" t="s">
        <v>10385</v>
      </c>
      <c r="C1316" s="65" t="s">
        <v>10386</v>
      </c>
      <c r="D1316" s="66">
        <v>42314</v>
      </c>
      <c r="E1316" s="65" t="s">
        <v>10150</v>
      </c>
      <c r="F1316" s="65" t="s">
        <v>10387</v>
      </c>
      <c r="G1316" s="61"/>
      <c r="I1316" s="78"/>
    </row>
    <row r="1317" spans="1:9" ht="14.25" customHeight="1" x14ac:dyDescent="0.2">
      <c r="A1317" s="65" t="s">
        <v>10388</v>
      </c>
      <c r="B1317" s="76" t="s">
        <v>10389</v>
      </c>
      <c r="C1317" s="65" t="s">
        <v>10390</v>
      </c>
      <c r="D1317" s="66">
        <v>42314</v>
      </c>
      <c r="E1317" s="65" t="s">
        <v>10150</v>
      </c>
      <c r="F1317" s="65" t="s">
        <v>10391</v>
      </c>
      <c r="G1317" s="61"/>
      <c r="I1317" s="78"/>
    </row>
    <row r="1318" spans="1:9" ht="14.25" customHeight="1" x14ac:dyDescent="0.2">
      <c r="A1318" s="65" t="s">
        <v>10392</v>
      </c>
      <c r="B1318" s="76" t="s">
        <v>10393</v>
      </c>
      <c r="C1318" s="65" t="s">
        <v>10394</v>
      </c>
      <c r="D1318" s="66">
        <v>42314</v>
      </c>
      <c r="E1318" s="65" t="s">
        <v>10150</v>
      </c>
      <c r="F1318" s="65" t="s">
        <v>10395</v>
      </c>
      <c r="G1318" s="61"/>
      <c r="I1318" s="78"/>
    </row>
    <row r="1319" spans="1:9" ht="14.25" customHeight="1" x14ac:dyDescent="0.2">
      <c r="A1319" s="65" t="s">
        <v>10396</v>
      </c>
      <c r="B1319" s="76" t="s">
        <v>10397</v>
      </c>
      <c r="C1319" s="65" t="s">
        <v>10398</v>
      </c>
      <c r="D1319" s="66">
        <v>42314</v>
      </c>
      <c r="E1319" s="65" t="s">
        <v>10150</v>
      </c>
      <c r="F1319" s="65" t="s">
        <v>10399</v>
      </c>
      <c r="G1319" s="61"/>
      <c r="I1319" s="78"/>
    </row>
    <row r="1320" spans="1:9" ht="14.25" customHeight="1" x14ac:dyDescent="0.2">
      <c r="A1320" s="65" t="s">
        <v>10400</v>
      </c>
      <c r="B1320" s="76" t="s">
        <v>10401</v>
      </c>
      <c r="C1320" s="65" t="s">
        <v>10402</v>
      </c>
      <c r="D1320" s="66">
        <v>42314</v>
      </c>
      <c r="E1320" s="65" t="s">
        <v>10150</v>
      </c>
      <c r="F1320" s="65" t="s">
        <v>10346</v>
      </c>
      <c r="G1320" s="61"/>
      <c r="I1320" s="78"/>
    </row>
    <row r="1321" spans="1:9" ht="14.25" customHeight="1" x14ac:dyDescent="0.2">
      <c r="A1321" s="65" t="s">
        <v>8103</v>
      </c>
      <c r="B1321" s="76" t="s">
        <v>8104</v>
      </c>
      <c r="C1321" s="65" t="s">
        <v>10403</v>
      </c>
      <c r="D1321" s="66">
        <v>42314</v>
      </c>
      <c r="E1321" s="65" t="s">
        <v>10150</v>
      </c>
      <c r="F1321" s="65" t="s">
        <v>10346</v>
      </c>
      <c r="G1321" s="61"/>
      <c r="I1321" s="78"/>
    </row>
    <row r="1322" spans="1:9" ht="14.25" customHeight="1" x14ac:dyDescent="0.2">
      <c r="A1322" s="65" t="s">
        <v>10404</v>
      </c>
      <c r="B1322" s="76" t="s">
        <v>10405</v>
      </c>
      <c r="C1322" s="65" t="s">
        <v>10406</v>
      </c>
      <c r="D1322" s="66">
        <v>42314</v>
      </c>
      <c r="E1322" s="65" t="s">
        <v>10150</v>
      </c>
      <c r="F1322" s="65" t="s">
        <v>10346</v>
      </c>
      <c r="G1322" s="61"/>
      <c r="I1322" s="78"/>
    </row>
    <row r="1323" spans="1:9" ht="14.25" customHeight="1" x14ac:dyDescent="0.2">
      <c r="A1323" s="65" t="s">
        <v>8138</v>
      </c>
      <c r="B1323" s="76" t="s">
        <v>8139</v>
      </c>
      <c r="C1323" s="65" t="s">
        <v>10407</v>
      </c>
      <c r="D1323" s="66">
        <v>42314</v>
      </c>
      <c r="E1323" s="65" t="s">
        <v>10150</v>
      </c>
      <c r="F1323" s="65" t="s">
        <v>10346</v>
      </c>
      <c r="G1323" s="61"/>
      <c r="I1323" s="78"/>
    </row>
    <row r="1324" spans="1:9" ht="14.25" customHeight="1" x14ac:dyDescent="0.2">
      <c r="A1324" s="65" t="s">
        <v>10408</v>
      </c>
      <c r="B1324" s="76" t="s">
        <v>10409</v>
      </c>
      <c r="C1324" s="65" t="s">
        <v>10410</v>
      </c>
      <c r="D1324" s="66">
        <v>42314</v>
      </c>
      <c r="E1324" s="65" t="s">
        <v>10150</v>
      </c>
      <c r="F1324" s="65" t="s">
        <v>10411</v>
      </c>
      <c r="G1324" s="61"/>
      <c r="I1324" s="78"/>
    </row>
    <row r="1325" spans="1:9" ht="14.25" customHeight="1" x14ac:dyDescent="0.2">
      <c r="A1325" s="65">
        <v>99120102022</v>
      </c>
      <c r="B1325" s="76" t="s">
        <v>6809</v>
      </c>
      <c r="C1325" s="65" t="s">
        <v>10412</v>
      </c>
      <c r="D1325" s="66">
        <v>42314</v>
      </c>
      <c r="E1325" s="65" t="s">
        <v>6809</v>
      </c>
      <c r="F1325" s="65" t="s">
        <v>10413</v>
      </c>
      <c r="G1325" s="61"/>
      <c r="I1325" s="78"/>
    </row>
    <row r="1326" spans="1:9" ht="14.25" customHeight="1" x14ac:dyDescent="0.2">
      <c r="A1326" s="65" t="s">
        <v>10414</v>
      </c>
      <c r="B1326" s="76" t="s">
        <v>6014</v>
      </c>
      <c r="C1326" s="65" t="s">
        <v>10415</v>
      </c>
      <c r="D1326" s="66">
        <v>42310</v>
      </c>
      <c r="E1326" s="65" t="s">
        <v>6809</v>
      </c>
      <c r="F1326" s="65" t="s">
        <v>10416</v>
      </c>
      <c r="G1326" s="61"/>
      <c r="I1326" s="78"/>
    </row>
    <row r="1327" spans="1:9" ht="14.25" customHeight="1" x14ac:dyDescent="0.2">
      <c r="A1327" s="65" t="s">
        <v>10417</v>
      </c>
      <c r="B1327" s="76" t="s">
        <v>9029</v>
      </c>
      <c r="C1327" s="65" t="s">
        <v>9030</v>
      </c>
      <c r="D1327" s="66">
        <v>42309</v>
      </c>
      <c r="E1327" s="65" t="s">
        <v>6809</v>
      </c>
      <c r="F1327" s="65" t="s">
        <v>10418</v>
      </c>
      <c r="G1327" s="61"/>
      <c r="I1327" s="78"/>
    </row>
    <row r="1328" spans="1:9" ht="14.25" customHeight="1" x14ac:dyDescent="0.2">
      <c r="A1328" s="65">
        <v>99120201016</v>
      </c>
      <c r="B1328" s="76" t="s">
        <v>6809</v>
      </c>
      <c r="C1328" s="65" t="s">
        <v>10419</v>
      </c>
      <c r="D1328" s="66">
        <v>42306</v>
      </c>
      <c r="E1328" s="65" t="s">
        <v>6809</v>
      </c>
      <c r="F1328" s="65" t="s">
        <v>6810</v>
      </c>
      <c r="G1328" s="61"/>
      <c r="I1328" s="78"/>
    </row>
    <row r="1329" spans="1:9" ht="14.25" customHeight="1" x14ac:dyDescent="0.2">
      <c r="A1329" s="65" t="s">
        <v>2707</v>
      </c>
      <c r="B1329" s="76" t="s">
        <v>2706</v>
      </c>
      <c r="C1329" s="65" t="s">
        <v>10420</v>
      </c>
      <c r="D1329" s="66">
        <v>42300</v>
      </c>
      <c r="E1329" s="65" t="s">
        <v>6809</v>
      </c>
      <c r="F1329" s="65" t="s">
        <v>10192</v>
      </c>
      <c r="G1329" s="61"/>
      <c r="I1329" s="78"/>
    </row>
    <row r="1330" spans="1:9" ht="14.25" customHeight="1" x14ac:dyDescent="0.2">
      <c r="A1330" s="65">
        <v>60100181286</v>
      </c>
      <c r="B1330" s="76" t="s">
        <v>6809</v>
      </c>
      <c r="C1330" s="65" t="s">
        <v>10421</v>
      </c>
      <c r="D1330" s="66">
        <v>42300</v>
      </c>
      <c r="E1330" s="65" t="s">
        <v>6809</v>
      </c>
      <c r="F1330" s="65" t="s">
        <v>10192</v>
      </c>
      <c r="G1330" s="61"/>
      <c r="I1330" s="78"/>
    </row>
    <row r="1331" spans="1:9" ht="14.25" customHeight="1" x14ac:dyDescent="0.2">
      <c r="A1331" s="65">
        <v>60100281167</v>
      </c>
      <c r="B1331" s="76" t="s">
        <v>6809</v>
      </c>
      <c r="C1331" s="65" t="s">
        <v>10422</v>
      </c>
      <c r="D1331" s="66">
        <v>42300</v>
      </c>
      <c r="E1331" s="65" t="s">
        <v>6809</v>
      </c>
      <c r="F1331" s="65" t="s">
        <v>10192</v>
      </c>
      <c r="G1331" s="61"/>
      <c r="I1331" s="78"/>
    </row>
    <row r="1332" spans="1:9" ht="14.25" customHeight="1" x14ac:dyDescent="0.2">
      <c r="A1332" s="65" t="s">
        <v>10423</v>
      </c>
      <c r="B1332" s="76" t="s">
        <v>9229</v>
      </c>
      <c r="C1332" s="65" t="s">
        <v>10424</v>
      </c>
      <c r="D1332" s="66">
        <v>42300</v>
      </c>
      <c r="E1332" s="65" t="s">
        <v>6809</v>
      </c>
      <c r="F1332" s="65" t="s">
        <v>10425</v>
      </c>
      <c r="G1332" s="61"/>
      <c r="I1332" s="78"/>
    </row>
    <row r="1333" spans="1:9" ht="14.25" customHeight="1" x14ac:dyDescent="0.2">
      <c r="A1333" s="65" t="s">
        <v>10426</v>
      </c>
      <c r="B1333" s="76" t="s">
        <v>3713</v>
      </c>
      <c r="C1333" s="65" t="s">
        <v>10427</v>
      </c>
      <c r="D1333" s="66">
        <v>42300</v>
      </c>
      <c r="E1333" s="65" t="s">
        <v>6809</v>
      </c>
      <c r="F1333" s="65" t="s">
        <v>10428</v>
      </c>
      <c r="G1333" s="61"/>
      <c r="I1333" s="78"/>
    </row>
    <row r="1334" spans="1:9" ht="14.25" customHeight="1" x14ac:dyDescent="0.2">
      <c r="A1334" s="65" t="s">
        <v>10429</v>
      </c>
      <c r="B1334" s="76" t="s">
        <v>9197</v>
      </c>
      <c r="C1334" s="65" t="s">
        <v>10430</v>
      </c>
      <c r="D1334" s="66">
        <v>42300</v>
      </c>
      <c r="E1334" s="65" t="s">
        <v>6809</v>
      </c>
      <c r="F1334" s="65" t="s">
        <v>10431</v>
      </c>
      <c r="G1334" s="61"/>
    </row>
    <row r="1335" spans="1:9" ht="14.25" customHeight="1" x14ac:dyDescent="0.2">
      <c r="A1335" s="65" t="s">
        <v>10432</v>
      </c>
      <c r="B1335" s="76" t="s">
        <v>10433</v>
      </c>
      <c r="C1335" s="65" t="s">
        <v>10434</v>
      </c>
      <c r="D1335" s="66">
        <v>42300</v>
      </c>
      <c r="E1335" s="65" t="s">
        <v>6809</v>
      </c>
      <c r="F1335" s="65" t="s">
        <v>10435</v>
      </c>
      <c r="G1335" s="61"/>
    </row>
    <row r="1336" spans="1:9" ht="14.25" customHeight="1" x14ac:dyDescent="0.2">
      <c r="A1336" s="65" t="s">
        <v>10436</v>
      </c>
      <c r="B1336" s="76" t="s">
        <v>7181</v>
      </c>
      <c r="C1336" s="65" t="s">
        <v>10437</v>
      </c>
      <c r="D1336" s="66">
        <v>42300</v>
      </c>
      <c r="E1336" s="65" t="s">
        <v>6809</v>
      </c>
      <c r="F1336" s="65" t="s">
        <v>10438</v>
      </c>
      <c r="G1336" s="61"/>
    </row>
    <row r="1337" spans="1:9" ht="14.25" customHeight="1" x14ac:dyDescent="0.2">
      <c r="A1337" s="65" t="s">
        <v>10439</v>
      </c>
      <c r="B1337" s="76" t="s">
        <v>10440</v>
      </c>
      <c r="C1337" s="65" t="s">
        <v>10441</v>
      </c>
      <c r="D1337" s="66">
        <v>42300</v>
      </c>
      <c r="E1337" s="65" t="s">
        <v>6809</v>
      </c>
      <c r="F1337" s="65" t="s">
        <v>10442</v>
      </c>
      <c r="G1337" s="61"/>
    </row>
    <row r="1338" spans="1:9" ht="14.25" customHeight="1" x14ac:dyDescent="0.2">
      <c r="A1338" s="65" t="s">
        <v>10443</v>
      </c>
      <c r="B1338" s="76" t="s">
        <v>7178</v>
      </c>
      <c r="C1338" s="65" t="s">
        <v>10444</v>
      </c>
      <c r="D1338" s="66">
        <v>42300</v>
      </c>
      <c r="E1338" s="65" t="s">
        <v>6809</v>
      </c>
      <c r="F1338" s="65" t="s">
        <v>10445</v>
      </c>
      <c r="G1338" s="61"/>
    </row>
    <row r="1339" spans="1:9" ht="14.25" customHeight="1" x14ac:dyDescent="0.2">
      <c r="A1339" s="65" t="s">
        <v>9366</v>
      </c>
      <c r="B1339" s="76" t="s">
        <v>6809</v>
      </c>
      <c r="C1339" s="65" t="s">
        <v>9368</v>
      </c>
      <c r="D1339" s="66">
        <v>42299</v>
      </c>
      <c r="E1339" s="65" t="s">
        <v>6809</v>
      </c>
      <c r="F1339" s="65" t="s">
        <v>10446</v>
      </c>
      <c r="G1339" s="61"/>
    </row>
    <row r="1340" spans="1:9" ht="14.25" customHeight="1" x14ac:dyDescent="0.2">
      <c r="A1340" s="65" t="s">
        <v>10447</v>
      </c>
      <c r="B1340" s="76" t="s">
        <v>10448</v>
      </c>
      <c r="C1340" s="65" t="s">
        <v>10449</v>
      </c>
      <c r="D1340" s="66">
        <v>42289</v>
      </c>
      <c r="E1340" s="65" t="s">
        <v>6809</v>
      </c>
      <c r="F1340" s="65" t="s">
        <v>10192</v>
      </c>
      <c r="G1340" s="61"/>
    </row>
    <row r="1341" spans="1:9" ht="14.25" customHeight="1" x14ac:dyDescent="0.2">
      <c r="A1341" s="76">
        <v>60030113007</v>
      </c>
      <c r="B1341" s="76" t="s">
        <v>6809</v>
      </c>
      <c r="C1341" s="65" t="s">
        <v>9751</v>
      </c>
      <c r="D1341" s="66">
        <v>42286</v>
      </c>
      <c r="E1341" s="65" t="s">
        <v>6809</v>
      </c>
      <c r="F1341" s="65" t="s">
        <v>10450</v>
      </c>
      <c r="G1341" s="61"/>
    </row>
    <row r="1342" spans="1:9" ht="14.25" customHeight="1" x14ac:dyDescent="0.2">
      <c r="A1342" s="76">
        <v>99120113001</v>
      </c>
      <c r="B1342" s="76" t="s">
        <v>6809</v>
      </c>
      <c r="C1342" s="65" t="s">
        <v>8939</v>
      </c>
      <c r="D1342" s="66">
        <v>42286</v>
      </c>
      <c r="E1342" s="65" t="s">
        <v>6809</v>
      </c>
      <c r="F1342" s="65" t="s">
        <v>10451</v>
      </c>
      <c r="G1342" s="61"/>
    </row>
    <row r="1343" spans="1:9" ht="14.25" customHeight="1" x14ac:dyDescent="0.2">
      <c r="A1343" s="76">
        <v>99120113026</v>
      </c>
      <c r="B1343" s="76" t="s">
        <v>6809</v>
      </c>
      <c r="C1343" s="65" t="s">
        <v>10452</v>
      </c>
      <c r="D1343" s="66">
        <v>42286</v>
      </c>
      <c r="E1343" s="65" t="s">
        <v>6809</v>
      </c>
      <c r="F1343" s="65" t="s">
        <v>10453</v>
      </c>
      <c r="G1343" s="61"/>
    </row>
    <row r="1344" spans="1:9" ht="14.25" customHeight="1" x14ac:dyDescent="0.2">
      <c r="A1344" s="76">
        <v>99120101104</v>
      </c>
      <c r="B1344" s="76" t="s">
        <v>6809</v>
      </c>
      <c r="C1344" s="65" t="s">
        <v>8699</v>
      </c>
      <c r="D1344" s="66">
        <v>42275</v>
      </c>
      <c r="E1344" s="65" t="s">
        <v>6809</v>
      </c>
      <c r="F1344" s="65" t="s">
        <v>10454</v>
      </c>
      <c r="G1344" s="61"/>
    </row>
    <row r="1345" spans="1:7" ht="14.25" customHeight="1" x14ac:dyDescent="0.2">
      <c r="A1345" s="76">
        <v>99120101105</v>
      </c>
      <c r="B1345" s="76" t="s">
        <v>6809</v>
      </c>
      <c r="C1345" s="65" t="s">
        <v>10455</v>
      </c>
      <c r="D1345" s="66">
        <v>42275</v>
      </c>
      <c r="E1345" s="65" t="s">
        <v>6809</v>
      </c>
      <c r="F1345" s="65" t="s">
        <v>10456</v>
      </c>
      <c r="G1345" s="61"/>
    </row>
    <row r="1346" spans="1:7" ht="14.25" customHeight="1" x14ac:dyDescent="0.2">
      <c r="A1346" s="76">
        <v>99801499012</v>
      </c>
      <c r="B1346" s="76" t="s">
        <v>6809</v>
      </c>
      <c r="C1346" s="65" t="s">
        <v>10457</v>
      </c>
      <c r="D1346" s="66">
        <v>42268</v>
      </c>
      <c r="E1346" s="65" t="s">
        <v>6809</v>
      </c>
      <c r="F1346" s="65" t="s">
        <v>6810</v>
      </c>
      <c r="G1346" s="61"/>
    </row>
    <row r="1347" spans="1:7" ht="14.25" customHeight="1" x14ac:dyDescent="0.2">
      <c r="A1347" s="76">
        <v>99801462041</v>
      </c>
      <c r="B1347" s="76" t="s">
        <v>6809</v>
      </c>
      <c r="C1347" s="65" t="s">
        <v>10458</v>
      </c>
      <c r="D1347" s="66">
        <v>42268</v>
      </c>
      <c r="E1347" s="65" t="s">
        <v>6809</v>
      </c>
      <c r="F1347" s="65" t="s">
        <v>6810</v>
      </c>
      <c r="G1347" s="61"/>
    </row>
    <row r="1348" spans="1:7" ht="14.25" customHeight="1" x14ac:dyDescent="0.2">
      <c r="A1348" s="76" t="s">
        <v>10459</v>
      </c>
      <c r="B1348" s="76" t="s">
        <v>6809</v>
      </c>
      <c r="C1348" s="65" t="s">
        <v>10460</v>
      </c>
      <c r="D1348" s="66">
        <v>42268</v>
      </c>
      <c r="E1348" s="65" t="s">
        <v>6809</v>
      </c>
      <c r="F1348" s="65" t="s">
        <v>6814</v>
      </c>
      <c r="G1348" s="61"/>
    </row>
    <row r="1349" spans="1:7" ht="14.25" customHeight="1" x14ac:dyDescent="0.2">
      <c r="A1349" s="76">
        <v>99120204014</v>
      </c>
      <c r="B1349" s="76" t="s">
        <v>6809</v>
      </c>
      <c r="C1349" s="65" t="s">
        <v>10461</v>
      </c>
      <c r="D1349" s="66">
        <v>42268</v>
      </c>
      <c r="E1349" s="65" t="s">
        <v>6809</v>
      </c>
      <c r="F1349" s="65" t="s">
        <v>6814</v>
      </c>
      <c r="G1349" s="61"/>
    </row>
    <row r="1350" spans="1:7" ht="14.25" customHeight="1" x14ac:dyDescent="0.2">
      <c r="A1350" s="76">
        <v>99120202031</v>
      </c>
      <c r="B1350" s="76" t="s">
        <v>6809</v>
      </c>
      <c r="C1350" s="65" t="s">
        <v>10462</v>
      </c>
      <c r="D1350" s="66">
        <v>42268</v>
      </c>
      <c r="E1350" s="65" t="s">
        <v>6809</v>
      </c>
      <c r="F1350" s="65" t="s">
        <v>6810</v>
      </c>
      <c r="G1350" s="61"/>
    </row>
    <row r="1351" spans="1:7" ht="14.25" customHeight="1" x14ac:dyDescent="0.2">
      <c r="A1351" s="76">
        <v>99120101118</v>
      </c>
      <c r="B1351" s="76" t="s">
        <v>6809</v>
      </c>
      <c r="C1351" s="65" t="s">
        <v>10463</v>
      </c>
      <c r="D1351" s="66">
        <v>42268</v>
      </c>
      <c r="E1351" s="65" t="s">
        <v>6809</v>
      </c>
      <c r="F1351" s="65" t="s">
        <v>6814</v>
      </c>
      <c r="G1351" s="61"/>
    </row>
    <row r="1352" spans="1:7" ht="14.25" customHeight="1" x14ac:dyDescent="0.2">
      <c r="A1352" s="76">
        <v>99070208002</v>
      </c>
      <c r="B1352" s="76" t="s">
        <v>6809</v>
      </c>
      <c r="C1352" s="65" t="s">
        <v>10464</v>
      </c>
      <c r="D1352" s="66">
        <v>42268</v>
      </c>
      <c r="E1352" s="65" t="s">
        <v>6809</v>
      </c>
      <c r="F1352" s="65" t="s">
        <v>6814</v>
      </c>
      <c r="G1352" s="61"/>
    </row>
    <row r="1353" spans="1:7" ht="14.25" customHeight="1" x14ac:dyDescent="0.2">
      <c r="A1353" s="76">
        <v>60100181314</v>
      </c>
      <c r="B1353" s="76" t="s">
        <v>6809</v>
      </c>
      <c r="C1353" s="65" t="s">
        <v>10465</v>
      </c>
      <c r="D1353" s="66">
        <v>42265</v>
      </c>
      <c r="E1353" s="65" t="s">
        <v>6809</v>
      </c>
      <c r="F1353" s="65" t="s">
        <v>10192</v>
      </c>
      <c r="G1353" s="61"/>
    </row>
    <row r="1354" spans="1:7" ht="14.25" customHeight="1" x14ac:dyDescent="0.2">
      <c r="A1354" s="76">
        <v>99120201028</v>
      </c>
      <c r="B1354" s="76" t="s">
        <v>6809</v>
      </c>
      <c r="C1354" s="65" t="s">
        <v>10466</v>
      </c>
      <c r="D1354" s="66">
        <v>42258</v>
      </c>
      <c r="E1354" s="65" t="s">
        <v>6809</v>
      </c>
      <c r="F1354" s="65" t="s">
        <v>10467</v>
      </c>
      <c r="G1354" s="61"/>
    </row>
    <row r="1355" spans="1:7" ht="14.25" customHeight="1" x14ac:dyDescent="0.2">
      <c r="A1355" s="76">
        <v>99120201015</v>
      </c>
      <c r="B1355" s="76" t="s">
        <v>6809</v>
      </c>
      <c r="C1355" s="65" t="s">
        <v>10468</v>
      </c>
      <c r="D1355" s="66">
        <v>42258</v>
      </c>
      <c r="E1355" s="65" t="s">
        <v>6809</v>
      </c>
      <c r="F1355" s="65" t="s">
        <v>10469</v>
      </c>
      <c r="G1355" s="61"/>
    </row>
    <row r="1356" spans="1:7" ht="14.25" customHeight="1" x14ac:dyDescent="0.2">
      <c r="A1356" s="76">
        <v>99070201007</v>
      </c>
      <c r="B1356" s="76" t="s">
        <v>6809</v>
      </c>
      <c r="C1356" s="65" t="s">
        <v>10470</v>
      </c>
      <c r="D1356" s="66">
        <v>42258</v>
      </c>
      <c r="E1356" s="65" t="s">
        <v>6809</v>
      </c>
      <c r="F1356" s="65" t="s">
        <v>10471</v>
      </c>
      <c r="G1356" s="61"/>
    </row>
    <row r="1357" spans="1:7" ht="14.25" customHeight="1" x14ac:dyDescent="0.2">
      <c r="A1357" s="76">
        <v>60100281168</v>
      </c>
      <c r="B1357" s="76" t="s">
        <v>6809</v>
      </c>
      <c r="C1357" s="65" t="s">
        <v>10472</v>
      </c>
      <c r="D1357" s="66">
        <v>42258</v>
      </c>
      <c r="E1357" s="65" t="s">
        <v>6809</v>
      </c>
      <c r="F1357" s="65" t="s">
        <v>6814</v>
      </c>
      <c r="G1357" s="61"/>
    </row>
    <row r="1358" spans="1:7" ht="14.25" customHeight="1" x14ac:dyDescent="0.2">
      <c r="A1358" s="76" t="s">
        <v>10473</v>
      </c>
      <c r="B1358" s="76" t="s">
        <v>6809</v>
      </c>
      <c r="C1358" s="65" t="s">
        <v>10474</v>
      </c>
      <c r="D1358" s="66">
        <v>42251</v>
      </c>
      <c r="E1358" s="65" t="s">
        <v>6809</v>
      </c>
      <c r="F1358" s="65" t="s">
        <v>10192</v>
      </c>
      <c r="G1358" s="61"/>
    </row>
    <row r="1359" spans="1:7" ht="14.25" customHeight="1" x14ac:dyDescent="0.2">
      <c r="A1359" s="76">
        <v>60040181112</v>
      </c>
      <c r="B1359" s="76" t="s">
        <v>6809</v>
      </c>
      <c r="C1359" s="65" t="s">
        <v>10475</v>
      </c>
      <c r="D1359" s="66">
        <v>42243</v>
      </c>
      <c r="E1359" s="65" t="s">
        <v>6809</v>
      </c>
      <c r="F1359" s="65" t="s">
        <v>6814</v>
      </c>
      <c r="G1359" s="61"/>
    </row>
    <row r="1360" spans="1:7" ht="14.25" customHeight="1" x14ac:dyDescent="0.2">
      <c r="A1360" s="76">
        <v>99120208009</v>
      </c>
      <c r="B1360" s="76" t="s">
        <v>6809</v>
      </c>
      <c r="C1360" s="65" t="s">
        <v>10476</v>
      </c>
      <c r="D1360" s="66">
        <v>42242</v>
      </c>
      <c r="E1360" s="65" t="s">
        <v>6809</v>
      </c>
      <c r="F1360" s="65" t="s">
        <v>6810</v>
      </c>
      <c r="G1360" s="61"/>
    </row>
    <row r="1361" spans="1:7" ht="14.25" customHeight="1" x14ac:dyDescent="0.2">
      <c r="A1361" s="76">
        <v>99810113019</v>
      </c>
      <c r="B1361" s="76" t="s">
        <v>6809</v>
      </c>
      <c r="C1361" s="65" t="s">
        <v>10477</v>
      </c>
      <c r="D1361" s="66">
        <v>42234</v>
      </c>
      <c r="E1361" s="65" t="s">
        <v>6809</v>
      </c>
      <c r="F1361" s="65" t="s">
        <v>6810</v>
      </c>
      <c r="G1361" s="61"/>
    </row>
    <row r="1362" spans="1:7" ht="14.25" customHeight="1" x14ac:dyDescent="0.2">
      <c r="A1362" s="76">
        <v>99811466003</v>
      </c>
      <c r="B1362" s="76" t="s">
        <v>6809</v>
      </c>
      <c r="C1362" s="65" t="s">
        <v>10478</v>
      </c>
      <c r="D1362" s="66">
        <v>42226</v>
      </c>
      <c r="E1362" s="65" t="s">
        <v>6809</v>
      </c>
      <c r="F1362" s="65" t="s">
        <v>6810</v>
      </c>
      <c r="G1362" s="61"/>
    </row>
    <row r="1363" spans="1:7" ht="14.25" customHeight="1" x14ac:dyDescent="0.2">
      <c r="A1363" s="76">
        <v>99810216003</v>
      </c>
      <c r="B1363" s="76" t="s">
        <v>6809</v>
      </c>
      <c r="C1363" s="65" t="s">
        <v>10479</v>
      </c>
      <c r="D1363" s="66">
        <v>42226</v>
      </c>
      <c r="E1363" s="65" t="s">
        <v>6809</v>
      </c>
      <c r="F1363" s="65" t="s">
        <v>6810</v>
      </c>
      <c r="G1363" s="61"/>
    </row>
    <row r="1364" spans="1:7" ht="14.25" customHeight="1" x14ac:dyDescent="0.2">
      <c r="A1364" s="76">
        <v>99220299044</v>
      </c>
      <c r="B1364" s="76" t="s">
        <v>6809</v>
      </c>
      <c r="C1364" s="65" t="s">
        <v>10480</v>
      </c>
      <c r="D1364" s="66">
        <v>42226</v>
      </c>
      <c r="E1364" s="65" t="s">
        <v>6809</v>
      </c>
      <c r="F1364" s="65" t="s">
        <v>10192</v>
      </c>
      <c r="G1364" s="61"/>
    </row>
    <row r="1365" spans="1:7" ht="14.25" customHeight="1" x14ac:dyDescent="0.2">
      <c r="A1365" s="77">
        <v>9920999904006</v>
      </c>
      <c r="B1365" s="76" t="s">
        <v>6809</v>
      </c>
      <c r="C1365" s="65" t="s">
        <v>10481</v>
      </c>
      <c r="D1365" s="66">
        <v>42226</v>
      </c>
      <c r="E1365" s="65" t="s">
        <v>6809</v>
      </c>
      <c r="F1365" s="65" t="s">
        <v>10192</v>
      </c>
      <c r="G1365" s="61"/>
    </row>
    <row r="1366" spans="1:7" ht="14.25" customHeight="1" x14ac:dyDescent="0.2">
      <c r="A1366" s="76">
        <v>99121463003</v>
      </c>
      <c r="B1366" s="76" t="s">
        <v>6809</v>
      </c>
      <c r="C1366" s="65" t="s">
        <v>10482</v>
      </c>
      <c r="D1366" s="66">
        <v>42226</v>
      </c>
      <c r="E1366" s="65" t="s">
        <v>6809</v>
      </c>
      <c r="F1366" s="65" t="s">
        <v>10483</v>
      </c>
      <c r="G1366" s="61"/>
    </row>
    <row r="1367" spans="1:7" ht="14.25" customHeight="1" x14ac:dyDescent="0.2">
      <c r="A1367" s="76">
        <v>99120299020</v>
      </c>
      <c r="B1367" s="76" t="s">
        <v>6809</v>
      </c>
      <c r="C1367" s="65" t="s">
        <v>10484</v>
      </c>
      <c r="D1367" s="66">
        <v>42226</v>
      </c>
      <c r="E1367" s="65" t="s">
        <v>6809</v>
      </c>
      <c r="F1367" s="65" t="s">
        <v>10192</v>
      </c>
      <c r="G1367" s="61"/>
    </row>
    <row r="1368" spans="1:7" ht="14.25" customHeight="1" x14ac:dyDescent="0.2">
      <c r="A1368" s="76">
        <v>99120212013</v>
      </c>
      <c r="B1368" s="76" t="s">
        <v>6809</v>
      </c>
      <c r="C1368" s="65" t="s">
        <v>10485</v>
      </c>
      <c r="D1368" s="66">
        <v>42226</v>
      </c>
      <c r="E1368" s="65" t="s">
        <v>6809</v>
      </c>
      <c r="F1368" s="65" t="s">
        <v>6814</v>
      </c>
      <c r="G1368" s="61"/>
    </row>
    <row r="1369" spans="1:7" ht="14.25" customHeight="1" x14ac:dyDescent="0.2">
      <c r="A1369" s="76">
        <v>99120201025</v>
      </c>
      <c r="B1369" s="76" t="s">
        <v>6809</v>
      </c>
      <c r="C1369" s="65" t="s">
        <v>10486</v>
      </c>
      <c r="D1369" s="66">
        <v>42226</v>
      </c>
      <c r="E1369" s="65" t="s">
        <v>6809</v>
      </c>
      <c r="F1369" s="65" t="s">
        <v>10487</v>
      </c>
      <c r="G1369" s="61"/>
    </row>
    <row r="1370" spans="1:7" ht="14.25" customHeight="1" x14ac:dyDescent="0.2">
      <c r="A1370" s="76">
        <v>99120201024</v>
      </c>
      <c r="B1370" s="76" t="s">
        <v>6809</v>
      </c>
      <c r="C1370" s="65" t="s">
        <v>10488</v>
      </c>
      <c r="D1370" s="66">
        <v>42226</v>
      </c>
      <c r="E1370" s="65" t="s">
        <v>6809</v>
      </c>
      <c r="F1370" s="65" t="s">
        <v>10489</v>
      </c>
      <c r="G1370" s="61"/>
    </row>
    <row r="1371" spans="1:7" ht="14.25" customHeight="1" x14ac:dyDescent="0.2">
      <c r="A1371" s="76">
        <v>99120201020</v>
      </c>
      <c r="B1371" s="76" t="s">
        <v>6809</v>
      </c>
      <c r="C1371" s="65" t="s">
        <v>10490</v>
      </c>
      <c r="D1371" s="66">
        <v>42226</v>
      </c>
      <c r="E1371" s="65" t="s">
        <v>6809</v>
      </c>
      <c r="F1371" s="65" t="s">
        <v>10491</v>
      </c>
      <c r="G1371" s="61"/>
    </row>
    <row r="1372" spans="1:7" ht="14.25" customHeight="1" x14ac:dyDescent="0.2">
      <c r="A1372" s="76">
        <v>99120104039</v>
      </c>
      <c r="B1372" s="76" t="s">
        <v>6809</v>
      </c>
      <c r="C1372" s="65" t="s">
        <v>10492</v>
      </c>
      <c r="D1372" s="66">
        <v>42226</v>
      </c>
      <c r="E1372" s="65" t="s">
        <v>6809</v>
      </c>
      <c r="F1372" s="65" t="s">
        <v>10192</v>
      </c>
      <c r="G1372" s="61"/>
    </row>
    <row r="1373" spans="1:7" ht="14.25" customHeight="1" x14ac:dyDescent="0.2">
      <c r="A1373" s="76">
        <v>99070202001</v>
      </c>
      <c r="B1373" s="76" t="s">
        <v>6809</v>
      </c>
      <c r="C1373" s="65" t="s">
        <v>10493</v>
      </c>
      <c r="D1373" s="66">
        <v>42226</v>
      </c>
      <c r="E1373" s="65" t="s">
        <v>6809</v>
      </c>
      <c r="F1373" s="65" t="s">
        <v>10494</v>
      </c>
      <c r="G1373" s="61"/>
    </row>
    <row r="1374" spans="1:7" ht="14.25" customHeight="1" x14ac:dyDescent="0.2">
      <c r="A1374" s="76">
        <v>99070201006</v>
      </c>
      <c r="B1374" s="76" t="s">
        <v>6809</v>
      </c>
      <c r="C1374" s="65" t="s">
        <v>10495</v>
      </c>
      <c r="D1374" s="66">
        <v>42226</v>
      </c>
      <c r="E1374" s="65" t="s">
        <v>6809</v>
      </c>
      <c r="F1374" s="65" t="s">
        <v>10496</v>
      </c>
      <c r="G1374" s="61"/>
    </row>
    <row r="1375" spans="1:7" ht="14.25" customHeight="1" x14ac:dyDescent="0.2">
      <c r="A1375" s="76">
        <v>60100181279</v>
      </c>
      <c r="B1375" s="76" t="s">
        <v>6809</v>
      </c>
      <c r="C1375" s="65" t="s">
        <v>10497</v>
      </c>
      <c r="D1375" s="66">
        <v>42226</v>
      </c>
      <c r="E1375" s="65" t="s">
        <v>6809</v>
      </c>
      <c r="F1375" s="65" t="s">
        <v>6814</v>
      </c>
      <c r="G1375" s="61"/>
    </row>
    <row r="1376" spans="1:7" ht="14.25" customHeight="1" x14ac:dyDescent="0.2">
      <c r="A1376" s="76">
        <v>60010199010</v>
      </c>
      <c r="B1376" s="76" t="s">
        <v>6809</v>
      </c>
      <c r="C1376" s="65" t="s">
        <v>10498</v>
      </c>
      <c r="D1376" s="66">
        <v>42226</v>
      </c>
      <c r="E1376" s="65" t="s">
        <v>6809</v>
      </c>
      <c r="F1376" s="65" t="s">
        <v>6814</v>
      </c>
      <c r="G1376" s="61"/>
    </row>
    <row r="1377" spans="1:7" ht="14.25" customHeight="1" x14ac:dyDescent="0.2">
      <c r="A1377" s="65" t="s">
        <v>10499</v>
      </c>
      <c r="B1377" s="76" t="s">
        <v>10500</v>
      </c>
      <c r="C1377" s="65" t="s">
        <v>10501</v>
      </c>
      <c r="D1377" s="66">
        <v>42219</v>
      </c>
      <c r="E1377" s="65" t="s">
        <v>6809</v>
      </c>
      <c r="F1377" s="65" t="s">
        <v>6810</v>
      </c>
      <c r="G1377" s="61"/>
    </row>
    <row r="1378" spans="1:7" ht="14.25" customHeight="1" x14ac:dyDescent="0.2">
      <c r="A1378" s="65" t="s">
        <v>10502</v>
      </c>
      <c r="B1378" s="76" t="s">
        <v>10503</v>
      </c>
      <c r="C1378" s="65" t="s">
        <v>10504</v>
      </c>
      <c r="D1378" s="66">
        <v>42219</v>
      </c>
      <c r="E1378" s="65" t="s">
        <v>6809</v>
      </c>
      <c r="F1378" s="65" t="s">
        <v>6814</v>
      </c>
      <c r="G1378" s="61"/>
    </row>
    <row r="1379" spans="1:7" ht="14.25" customHeight="1" x14ac:dyDescent="0.2">
      <c r="A1379" s="65" t="s">
        <v>10505</v>
      </c>
      <c r="B1379" s="76" t="s">
        <v>10506</v>
      </c>
      <c r="C1379" s="65" t="s">
        <v>10507</v>
      </c>
      <c r="D1379" s="66">
        <v>42219</v>
      </c>
      <c r="E1379" s="65" t="s">
        <v>6809</v>
      </c>
      <c r="F1379" s="65" t="s">
        <v>6814</v>
      </c>
      <c r="G1379" s="61"/>
    </row>
    <row r="1380" spans="1:7" ht="14.25" customHeight="1" x14ac:dyDescent="0.2">
      <c r="A1380" s="65" t="s">
        <v>10508</v>
      </c>
      <c r="B1380" s="76" t="s">
        <v>10509</v>
      </c>
      <c r="C1380" s="65" t="s">
        <v>10510</v>
      </c>
      <c r="D1380" s="66">
        <v>42219</v>
      </c>
      <c r="E1380" s="65" t="s">
        <v>6809</v>
      </c>
      <c r="F1380" s="65" t="s">
        <v>6814</v>
      </c>
      <c r="G1380" s="61"/>
    </row>
    <row r="1381" spans="1:7" ht="14.25" customHeight="1" x14ac:dyDescent="0.2">
      <c r="A1381" s="65" t="s">
        <v>10511</v>
      </c>
      <c r="B1381" s="76" t="s">
        <v>10512</v>
      </c>
      <c r="C1381" s="65" t="s">
        <v>10513</v>
      </c>
      <c r="D1381" s="66">
        <v>42219</v>
      </c>
      <c r="E1381" s="65" t="s">
        <v>6809</v>
      </c>
      <c r="F1381" s="65" t="s">
        <v>6814</v>
      </c>
      <c r="G1381" s="61"/>
    </row>
    <row r="1382" spans="1:7" ht="14.25" customHeight="1" x14ac:dyDescent="0.2">
      <c r="A1382" s="65" t="s">
        <v>10514</v>
      </c>
      <c r="B1382" s="76" t="s">
        <v>10515</v>
      </c>
      <c r="C1382" s="65" t="s">
        <v>10516</v>
      </c>
      <c r="D1382" s="66">
        <v>42219</v>
      </c>
      <c r="E1382" s="65" t="s">
        <v>6809</v>
      </c>
      <c r="F1382" s="65" t="s">
        <v>6814</v>
      </c>
      <c r="G1382" s="61"/>
    </row>
    <row r="1383" spans="1:7" ht="14.25" customHeight="1" x14ac:dyDescent="0.2">
      <c r="A1383" s="65" t="s">
        <v>10517</v>
      </c>
      <c r="B1383" s="76" t="s">
        <v>10518</v>
      </c>
      <c r="C1383" s="65" t="s">
        <v>10519</v>
      </c>
      <c r="D1383" s="66">
        <v>42219</v>
      </c>
      <c r="E1383" s="65" t="s">
        <v>6809</v>
      </c>
      <c r="F1383" s="65" t="s">
        <v>6814</v>
      </c>
      <c r="G1383" s="61"/>
    </row>
    <row r="1384" spans="1:7" ht="14.25" customHeight="1" x14ac:dyDescent="0.2">
      <c r="A1384" s="65" t="s">
        <v>10520</v>
      </c>
      <c r="B1384" s="76" t="s">
        <v>10521</v>
      </c>
      <c r="C1384" s="65" t="s">
        <v>10522</v>
      </c>
      <c r="D1384" s="66">
        <v>42219</v>
      </c>
      <c r="E1384" s="65" t="s">
        <v>6809</v>
      </c>
      <c r="F1384" s="65" t="s">
        <v>6814</v>
      </c>
      <c r="G1384" s="61"/>
    </row>
    <row r="1385" spans="1:7" ht="14.25" customHeight="1" x14ac:dyDescent="0.2">
      <c r="A1385" s="65">
        <v>60680181071</v>
      </c>
      <c r="B1385" s="76" t="s">
        <v>6809</v>
      </c>
      <c r="C1385" s="65" t="s">
        <v>10523</v>
      </c>
      <c r="D1385" s="66">
        <v>42219</v>
      </c>
      <c r="E1385" s="65" t="s">
        <v>6809</v>
      </c>
      <c r="F1385" s="65" t="s">
        <v>6810</v>
      </c>
      <c r="G1385" s="61"/>
    </row>
    <row r="1386" spans="1:7" ht="14.25" customHeight="1" x14ac:dyDescent="0.2">
      <c r="A1386" s="65">
        <v>60680181073</v>
      </c>
      <c r="B1386" s="76" t="s">
        <v>6809</v>
      </c>
      <c r="C1386" s="65" t="s">
        <v>10524</v>
      </c>
      <c r="D1386" s="66">
        <v>42219</v>
      </c>
      <c r="E1386" s="65" t="s">
        <v>6809</v>
      </c>
      <c r="F1386" s="65" t="s">
        <v>6810</v>
      </c>
      <c r="G1386" s="61"/>
    </row>
    <row r="1387" spans="1:7" ht="14.25" customHeight="1" x14ac:dyDescent="0.2">
      <c r="A1387" s="65">
        <v>99120206010</v>
      </c>
      <c r="B1387" s="76" t="s">
        <v>6809</v>
      </c>
      <c r="C1387" s="65" t="s">
        <v>10525</v>
      </c>
      <c r="D1387" s="66">
        <v>42216</v>
      </c>
      <c r="E1387" s="65" t="s">
        <v>6809</v>
      </c>
      <c r="F1387" s="65" t="s">
        <v>10526</v>
      </c>
      <c r="G1387" s="61"/>
    </row>
    <row r="1388" spans="1:7" ht="14.25" customHeight="1" x14ac:dyDescent="0.2">
      <c r="A1388" s="65">
        <v>99070201003</v>
      </c>
      <c r="B1388" s="76" t="s">
        <v>6809</v>
      </c>
      <c r="C1388" s="65" t="s">
        <v>10527</v>
      </c>
      <c r="D1388" s="66">
        <v>42216</v>
      </c>
      <c r="E1388" s="65" t="s">
        <v>6809</v>
      </c>
      <c r="F1388" s="65" t="s">
        <v>10491</v>
      </c>
      <c r="G1388" s="61"/>
    </row>
    <row r="1389" spans="1:7" ht="14.25" customHeight="1" x14ac:dyDescent="0.2">
      <c r="A1389" s="65">
        <v>99120206013</v>
      </c>
      <c r="B1389" s="76" t="s">
        <v>6809</v>
      </c>
      <c r="C1389" s="65" t="s">
        <v>10528</v>
      </c>
      <c r="D1389" s="66">
        <v>42216</v>
      </c>
      <c r="E1389" s="65" t="s">
        <v>6809</v>
      </c>
      <c r="F1389" s="65" t="s">
        <v>10529</v>
      </c>
      <c r="G1389" s="61"/>
    </row>
    <row r="1390" spans="1:7" ht="14.25" customHeight="1" x14ac:dyDescent="0.2">
      <c r="A1390" s="65" t="s">
        <v>273</v>
      </c>
      <c r="B1390" s="76" t="s">
        <v>272</v>
      </c>
      <c r="C1390" s="65" t="s">
        <v>10530</v>
      </c>
      <c r="D1390" s="66">
        <v>42214</v>
      </c>
      <c r="E1390" s="65" t="s">
        <v>6809</v>
      </c>
      <c r="F1390" s="65" t="s">
        <v>6810</v>
      </c>
      <c r="G1390" s="61"/>
    </row>
    <row r="1391" spans="1:7" ht="14.25" customHeight="1" x14ac:dyDescent="0.2">
      <c r="A1391" s="65" t="s">
        <v>1099</v>
      </c>
      <c r="B1391" s="76" t="s">
        <v>1098</v>
      </c>
      <c r="C1391" s="65" t="s">
        <v>10531</v>
      </c>
      <c r="D1391" s="66">
        <v>42214</v>
      </c>
      <c r="E1391" s="65" t="s">
        <v>6809</v>
      </c>
      <c r="F1391" s="65" t="s">
        <v>6810</v>
      </c>
      <c r="G1391" s="61"/>
    </row>
    <row r="1392" spans="1:7" ht="14.25" customHeight="1" x14ac:dyDescent="0.2">
      <c r="A1392" s="65" t="s">
        <v>1123</v>
      </c>
      <c r="B1392" s="76" t="s">
        <v>1122</v>
      </c>
      <c r="C1392" s="65" t="s">
        <v>10532</v>
      </c>
      <c r="D1392" s="66">
        <v>42214</v>
      </c>
      <c r="E1392" s="65" t="s">
        <v>6809</v>
      </c>
      <c r="F1392" s="65" t="s">
        <v>6810</v>
      </c>
      <c r="G1392" s="61"/>
    </row>
    <row r="1393" spans="1:7" ht="14.25" customHeight="1" x14ac:dyDescent="0.2">
      <c r="A1393" s="65">
        <v>99070101015</v>
      </c>
      <c r="B1393" s="76" t="s">
        <v>6809</v>
      </c>
      <c r="C1393" s="65" t="s">
        <v>10533</v>
      </c>
      <c r="D1393" s="66">
        <v>42214</v>
      </c>
      <c r="E1393" s="65" t="s">
        <v>6809</v>
      </c>
      <c r="F1393" s="65" t="s">
        <v>6814</v>
      </c>
      <c r="G1393" s="61"/>
    </row>
    <row r="1394" spans="1:7" ht="14.25" customHeight="1" x14ac:dyDescent="0.2">
      <c r="A1394" s="65">
        <v>99801462040</v>
      </c>
      <c r="B1394" s="76" t="s">
        <v>6809</v>
      </c>
      <c r="C1394" s="65" t="s">
        <v>10534</v>
      </c>
      <c r="D1394" s="66">
        <v>42214</v>
      </c>
      <c r="E1394" s="65" t="s">
        <v>6809</v>
      </c>
      <c r="F1394" s="65" t="s">
        <v>6810</v>
      </c>
      <c r="G1394" s="61"/>
    </row>
    <row r="1395" spans="1:7" ht="14.25" customHeight="1" x14ac:dyDescent="0.2">
      <c r="A1395" s="65">
        <v>60040181119</v>
      </c>
      <c r="B1395" s="76" t="s">
        <v>6809</v>
      </c>
      <c r="C1395" s="65" t="s">
        <v>10535</v>
      </c>
      <c r="D1395" s="66">
        <v>42207</v>
      </c>
      <c r="E1395" s="65" t="s">
        <v>6809</v>
      </c>
      <c r="F1395" s="65" t="s">
        <v>6810</v>
      </c>
      <c r="G1395" s="61"/>
    </row>
    <row r="1396" spans="1:7" ht="14.25" customHeight="1" x14ac:dyDescent="0.2">
      <c r="A1396" s="65">
        <v>60100181308</v>
      </c>
      <c r="B1396" s="76" t="s">
        <v>6809</v>
      </c>
      <c r="C1396" s="65" t="s">
        <v>10536</v>
      </c>
      <c r="D1396" s="66">
        <v>42207</v>
      </c>
      <c r="E1396" s="65" t="s">
        <v>6809</v>
      </c>
      <c r="F1396" s="65" t="s">
        <v>6810</v>
      </c>
      <c r="G1396" s="61"/>
    </row>
    <row r="1397" spans="1:7" ht="14.25" customHeight="1" x14ac:dyDescent="0.2">
      <c r="A1397" s="65">
        <v>60100281159</v>
      </c>
      <c r="B1397" s="76" t="s">
        <v>6809</v>
      </c>
      <c r="C1397" s="65" t="s">
        <v>10537</v>
      </c>
      <c r="D1397" s="66">
        <v>42207</v>
      </c>
      <c r="E1397" s="65" t="s">
        <v>6809</v>
      </c>
      <c r="F1397" s="65" t="s">
        <v>6810</v>
      </c>
      <c r="G1397" s="61"/>
    </row>
    <row r="1398" spans="1:7" ht="14.25" customHeight="1" x14ac:dyDescent="0.2">
      <c r="A1398" s="65">
        <v>60100281165</v>
      </c>
      <c r="B1398" s="76" t="s">
        <v>6809</v>
      </c>
      <c r="C1398" s="65" t="s">
        <v>10538</v>
      </c>
      <c r="D1398" s="66">
        <v>42207</v>
      </c>
      <c r="E1398" s="65" t="s">
        <v>6809</v>
      </c>
      <c r="F1398" s="65" t="s">
        <v>6810</v>
      </c>
      <c r="G1398" s="61"/>
    </row>
    <row r="1399" spans="1:7" ht="14.25" customHeight="1" x14ac:dyDescent="0.2">
      <c r="A1399" s="65">
        <v>60100281166</v>
      </c>
      <c r="B1399" s="76" t="s">
        <v>6809</v>
      </c>
      <c r="C1399" s="65" t="s">
        <v>10539</v>
      </c>
      <c r="D1399" s="66">
        <v>42207</v>
      </c>
      <c r="E1399" s="65" t="s">
        <v>6809</v>
      </c>
      <c r="F1399" s="65" t="s">
        <v>10540</v>
      </c>
      <c r="G1399" s="61"/>
    </row>
    <row r="1400" spans="1:7" ht="14.25" customHeight="1" x14ac:dyDescent="0.2">
      <c r="A1400" s="65">
        <v>99120103037</v>
      </c>
      <c r="B1400" s="76" t="s">
        <v>6809</v>
      </c>
      <c r="C1400" s="65" t="s">
        <v>10541</v>
      </c>
      <c r="D1400" s="66">
        <v>42207</v>
      </c>
      <c r="E1400" s="65" t="s">
        <v>6809</v>
      </c>
      <c r="F1400" s="65" t="s">
        <v>10540</v>
      </c>
      <c r="G1400" s="61"/>
    </row>
    <row r="1401" spans="1:7" ht="14.25" customHeight="1" x14ac:dyDescent="0.2">
      <c r="A1401" s="65">
        <v>99120204010</v>
      </c>
      <c r="B1401" s="76" t="s">
        <v>6809</v>
      </c>
      <c r="C1401" s="65" t="s">
        <v>10542</v>
      </c>
      <c r="D1401" s="66">
        <v>42205</v>
      </c>
      <c r="E1401" s="65" t="s">
        <v>6809</v>
      </c>
      <c r="F1401" s="75" t="s">
        <v>10491</v>
      </c>
      <c r="G1401" s="61"/>
    </row>
    <row r="1402" spans="1:7" ht="14.25" customHeight="1" x14ac:dyDescent="0.2">
      <c r="A1402" s="65">
        <v>60100281164</v>
      </c>
      <c r="B1402" s="76" t="s">
        <v>6809</v>
      </c>
      <c r="C1402" s="65" t="s">
        <v>10543</v>
      </c>
      <c r="D1402" s="66">
        <v>42200</v>
      </c>
      <c r="E1402" s="65" t="s">
        <v>6809</v>
      </c>
      <c r="F1402" s="65" t="s">
        <v>10540</v>
      </c>
      <c r="G1402" s="61"/>
    </row>
    <row r="1403" spans="1:7" ht="14.25" customHeight="1" x14ac:dyDescent="0.2">
      <c r="A1403" s="65" t="s">
        <v>9202</v>
      </c>
      <c r="B1403" s="76" t="s">
        <v>9203</v>
      </c>
      <c r="C1403" s="65" t="s">
        <v>10544</v>
      </c>
      <c r="D1403" s="66">
        <v>42195</v>
      </c>
      <c r="E1403" s="65" t="s">
        <v>10123</v>
      </c>
      <c r="F1403" s="65" t="s">
        <v>6810</v>
      </c>
      <c r="G1403" s="61"/>
    </row>
    <row r="1404" spans="1:7" ht="14.25" customHeight="1" x14ac:dyDescent="0.2">
      <c r="A1404" s="65" t="s">
        <v>10545</v>
      </c>
      <c r="B1404" s="76" t="s">
        <v>3292</v>
      </c>
      <c r="C1404" s="65" t="s">
        <v>10546</v>
      </c>
      <c r="D1404" s="66">
        <v>42194</v>
      </c>
      <c r="E1404" s="65" t="s">
        <v>10123</v>
      </c>
      <c r="F1404" s="75" t="s">
        <v>10547</v>
      </c>
      <c r="G1404" s="61"/>
    </row>
    <row r="1405" spans="1:7" ht="14.25" customHeight="1" x14ac:dyDescent="0.2">
      <c r="A1405" s="65">
        <v>99229999041</v>
      </c>
      <c r="B1405" s="76" t="s">
        <v>6809</v>
      </c>
      <c r="C1405" s="65" t="s">
        <v>10548</v>
      </c>
      <c r="D1405" s="66">
        <v>42194</v>
      </c>
      <c r="E1405" s="65" t="s">
        <v>6809</v>
      </c>
      <c r="F1405" s="65" t="s">
        <v>6810</v>
      </c>
      <c r="G1405" s="61"/>
    </row>
    <row r="1406" spans="1:7" ht="14.25" customHeight="1" x14ac:dyDescent="0.2">
      <c r="A1406" s="65" t="s">
        <v>10549</v>
      </c>
      <c r="B1406" s="76" t="s">
        <v>1439</v>
      </c>
      <c r="C1406" s="65" t="s">
        <v>10550</v>
      </c>
      <c r="D1406" s="66">
        <v>42187</v>
      </c>
      <c r="E1406" s="65" t="s">
        <v>10123</v>
      </c>
      <c r="F1406" s="65" t="s">
        <v>10551</v>
      </c>
      <c r="G1406" s="61"/>
    </row>
    <row r="1407" spans="1:7" ht="14.25" customHeight="1" x14ac:dyDescent="0.2">
      <c r="A1407" s="65" t="s">
        <v>10552</v>
      </c>
      <c r="B1407" s="76" t="s">
        <v>4677</v>
      </c>
      <c r="C1407" s="65" t="s">
        <v>10553</v>
      </c>
      <c r="D1407" s="66">
        <v>42181</v>
      </c>
      <c r="E1407" s="65" t="s">
        <v>6809</v>
      </c>
      <c r="F1407" s="65" t="s">
        <v>10554</v>
      </c>
      <c r="G1407" s="61"/>
    </row>
    <row r="1408" spans="1:7" ht="14.25" customHeight="1" x14ac:dyDescent="0.2">
      <c r="A1408" s="65">
        <v>60100181244</v>
      </c>
      <c r="B1408" s="76" t="s">
        <v>6809</v>
      </c>
      <c r="C1408" s="65" t="s">
        <v>10555</v>
      </c>
      <c r="D1408" s="66">
        <v>42180</v>
      </c>
      <c r="E1408" s="65" t="s">
        <v>6809</v>
      </c>
      <c r="F1408" s="65" t="s">
        <v>10446</v>
      </c>
      <c r="G1408" s="61"/>
    </row>
    <row r="1409" spans="1:7" ht="14.25" customHeight="1" x14ac:dyDescent="0.2">
      <c r="A1409" s="65">
        <v>60040281024</v>
      </c>
      <c r="B1409" s="76" t="s">
        <v>6809</v>
      </c>
      <c r="C1409" s="65" t="s">
        <v>10556</v>
      </c>
      <c r="D1409" s="66">
        <v>42180</v>
      </c>
      <c r="E1409" s="65" t="s">
        <v>6809</v>
      </c>
      <c r="F1409" s="65" t="s">
        <v>10446</v>
      </c>
      <c r="G1409" s="61"/>
    </row>
    <row r="1410" spans="1:7" ht="14.25" customHeight="1" x14ac:dyDescent="0.2">
      <c r="A1410" s="65">
        <v>60040181136</v>
      </c>
      <c r="B1410" s="76" t="s">
        <v>6809</v>
      </c>
      <c r="C1410" s="65" t="s">
        <v>10557</v>
      </c>
      <c r="D1410" s="66">
        <v>42180</v>
      </c>
      <c r="E1410" s="65" t="s">
        <v>6809</v>
      </c>
      <c r="F1410" s="65" t="s">
        <v>10446</v>
      </c>
      <c r="G1410" s="61"/>
    </row>
    <row r="1411" spans="1:7" ht="14.25" customHeight="1" x14ac:dyDescent="0.2">
      <c r="A1411" s="65" t="s">
        <v>10558</v>
      </c>
      <c r="B1411" s="76" t="s">
        <v>6809</v>
      </c>
      <c r="C1411" s="65" t="s">
        <v>10559</v>
      </c>
      <c r="D1411" s="66">
        <v>42177</v>
      </c>
      <c r="E1411" s="65" t="s">
        <v>10560</v>
      </c>
      <c r="F1411" s="65" t="s">
        <v>10540</v>
      </c>
      <c r="G1411" s="61"/>
    </row>
    <row r="1412" spans="1:7" ht="14.25" customHeight="1" x14ac:dyDescent="0.2">
      <c r="A1412" s="65">
        <v>60030203001</v>
      </c>
      <c r="B1412" s="76" t="s">
        <v>6809</v>
      </c>
      <c r="C1412" s="65" t="s">
        <v>10561</v>
      </c>
      <c r="D1412" s="66">
        <v>42177</v>
      </c>
      <c r="E1412" s="65" t="s">
        <v>6809</v>
      </c>
      <c r="F1412" s="65" t="s">
        <v>10540</v>
      </c>
      <c r="G1412" s="61"/>
    </row>
    <row r="1413" spans="1:7" ht="14.25" customHeight="1" x14ac:dyDescent="0.2">
      <c r="A1413" s="65" t="s">
        <v>10562</v>
      </c>
      <c r="B1413" s="76" t="s">
        <v>6809</v>
      </c>
      <c r="C1413" s="65" t="s">
        <v>10563</v>
      </c>
      <c r="D1413" s="66">
        <v>42177</v>
      </c>
      <c r="E1413" s="65" t="s">
        <v>10123</v>
      </c>
      <c r="F1413" s="65" t="s">
        <v>10540</v>
      </c>
      <c r="G1413" s="61"/>
    </row>
    <row r="1414" spans="1:7" ht="14.25" customHeight="1" x14ac:dyDescent="0.2">
      <c r="A1414" s="65">
        <v>60030208004</v>
      </c>
      <c r="B1414" s="76" t="s">
        <v>6809</v>
      </c>
      <c r="C1414" s="65" t="s">
        <v>10564</v>
      </c>
      <c r="D1414" s="66">
        <v>42177</v>
      </c>
      <c r="E1414" s="65" t="s">
        <v>10123</v>
      </c>
      <c r="F1414" s="65" t="s">
        <v>10540</v>
      </c>
      <c r="G1414" s="61"/>
    </row>
    <row r="1415" spans="1:7" ht="14.25" customHeight="1" x14ac:dyDescent="0.2">
      <c r="A1415" s="65" t="s">
        <v>10565</v>
      </c>
      <c r="B1415" s="76" t="s">
        <v>6809</v>
      </c>
      <c r="C1415" s="65" t="s">
        <v>10566</v>
      </c>
      <c r="D1415" s="66">
        <v>42177</v>
      </c>
      <c r="E1415" s="65" t="s">
        <v>6809</v>
      </c>
      <c r="F1415" s="65" t="s">
        <v>10540</v>
      </c>
      <c r="G1415" s="61"/>
    </row>
    <row r="1416" spans="1:7" ht="14.25" customHeight="1" x14ac:dyDescent="0.2">
      <c r="A1416" s="65">
        <v>60030210005</v>
      </c>
      <c r="B1416" s="76" t="s">
        <v>6809</v>
      </c>
      <c r="C1416" s="65" t="s">
        <v>10567</v>
      </c>
      <c r="D1416" s="66">
        <v>42177</v>
      </c>
      <c r="E1416" s="65" t="s">
        <v>10123</v>
      </c>
      <c r="F1416" s="65" t="s">
        <v>10540</v>
      </c>
      <c r="G1416" s="61"/>
    </row>
    <row r="1417" spans="1:7" ht="14.25" customHeight="1" x14ac:dyDescent="0.2">
      <c r="A1417" s="65" t="s">
        <v>10568</v>
      </c>
      <c r="B1417" s="76" t="s">
        <v>6809</v>
      </c>
      <c r="C1417" s="65" t="s">
        <v>10569</v>
      </c>
      <c r="D1417" s="66">
        <v>42177</v>
      </c>
      <c r="E1417" s="65" t="s">
        <v>6809</v>
      </c>
      <c r="F1417" s="65" t="s">
        <v>10540</v>
      </c>
      <c r="G1417" s="61"/>
    </row>
    <row r="1418" spans="1:7" ht="14.25" customHeight="1" x14ac:dyDescent="0.2">
      <c r="A1418" s="65">
        <v>60030213002</v>
      </c>
      <c r="B1418" s="76" t="s">
        <v>6809</v>
      </c>
      <c r="C1418" s="65" t="s">
        <v>10570</v>
      </c>
      <c r="D1418" s="66">
        <v>42177</v>
      </c>
      <c r="E1418" s="65" t="s">
        <v>6809</v>
      </c>
      <c r="F1418" s="65" t="s">
        <v>10540</v>
      </c>
      <c r="G1418" s="61"/>
    </row>
    <row r="1419" spans="1:7" ht="14.25" customHeight="1" x14ac:dyDescent="0.2">
      <c r="A1419" s="65" t="s">
        <v>10571</v>
      </c>
      <c r="B1419" s="76" t="s">
        <v>6809</v>
      </c>
      <c r="C1419" s="65" t="s">
        <v>10572</v>
      </c>
      <c r="D1419" s="66">
        <v>42177</v>
      </c>
      <c r="E1419" s="65" t="s">
        <v>6809</v>
      </c>
      <c r="F1419" s="65" t="s">
        <v>10540</v>
      </c>
      <c r="G1419" s="61"/>
    </row>
    <row r="1420" spans="1:7" ht="14.25" customHeight="1" x14ac:dyDescent="0.2">
      <c r="A1420" s="65">
        <v>60030216001</v>
      </c>
      <c r="B1420" s="76" t="s">
        <v>6809</v>
      </c>
      <c r="C1420" s="65" t="s">
        <v>10573</v>
      </c>
      <c r="D1420" s="66">
        <v>42177</v>
      </c>
      <c r="E1420" s="65" t="s">
        <v>6809</v>
      </c>
      <c r="F1420" s="65" t="s">
        <v>10540</v>
      </c>
      <c r="G1420" s="61"/>
    </row>
    <row r="1421" spans="1:7" ht="14.25" customHeight="1" x14ac:dyDescent="0.2">
      <c r="A1421" s="65">
        <v>60030299002</v>
      </c>
      <c r="B1421" s="76" t="s">
        <v>6809</v>
      </c>
      <c r="C1421" s="65" t="s">
        <v>10574</v>
      </c>
      <c r="D1421" s="66">
        <v>42177</v>
      </c>
      <c r="E1421" s="65" t="s">
        <v>6809</v>
      </c>
      <c r="F1421" s="65" t="s">
        <v>10540</v>
      </c>
      <c r="G1421" s="61"/>
    </row>
    <row r="1422" spans="1:7" ht="14.25" customHeight="1" x14ac:dyDescent="0.2">
      <c r="A1422" s="65">
        <v>60040181134</v>
      </c>
      <c r="B1422" s="76" t="s">
        <v>6809</v>
      </c>
      <c r="C1422" s="65" t="s">
        <v>10575</v>
      </c>
      <c r="D1422" s="66">
        <v>42177</v>
      </c>
      <c r="E1422" s="65" t="s">
        <v>6809</v>
      </c>
      <c r="F1422" s="65" t="s">
        <v>10540</v>
      </c>
      <c r="G1422" s="61"/>
    </row>
    <row r="1423" spans="1:7" ht="14.25" customHeight="1" x14ac:dyDescent="0.2">
      <c r="A1423" s="65" t="s">
        <v>10576</v>
      </c>
      <c r="B1423" s="76" t="s">
        <v>6809</v>
      </c>
      <c r="C1423" s="65" t="s">
        <v>10577</v>
      </c>
      <c r="D1423" s="66">
        <v>42177</v>
      </c>
      <c r="E1423" s="65" t="s">
        <v>6809</v>
      </c>
      <c r="F1423" s="65" t="s">
        <v>10540</v>
      </c>
      <c r="G1423" s="61"/>
    </row>
    <row r="1424" spans="1:7" ht="14.25" customHeight="1" x14ac:dyDescent="0.2">
      <c r="A1424" s="65">
        <v>60040212005</v>
      </c>
      <c r="B1424" s="76" t="s">
        <v>6809</v>
      </c>
      <c r="C1424" s="65" t="s">
        <v>10578</v>
      </c>
      <c r="D1424" s="66">
        <v>42177</v>
      </c>
      <c r="E1424" s="65" t="s">
        <v>6809</v>
      </c>
      <c r="F1424" s="65" t="s">
        <v>10540</v>
      </c>
      <c r="G1424" s="61"/>
    </row>
    <row r="1425" spans="1:7" ht="14.25" customHeight="1" x14ac:dyDescent="0.2">
      <c r="A1425" s="65">
        <v>60040299031</v>
      </c>
      <c r="B1425" s="76" t="s">
        <v>6809</v>
      </c>
      <c r="C1425" s="65" t="s">
        <v>10579</v>
      </c>
      <c r="D1425" s="66">
        <v>42177</v>
      </c>
      <c r="E1425" s="65" t="s">
        <v>10560</v>
      </c>
      <c r="F1425" s="65" t="s">
        <v>10540</v>
      </c>
      <c r="G1425" s="61"/>
    </row>
    <row r="1426" spans="1:7" ht="14.25" customHeight="1" x14ac:dyDescent="0.2">
      <c r="A1426" s="65">
        <v>60040299034</v>
      </c>
      <c r="B1426" s="76" t="s">
        <v>6809</v>
      </c>
      <c r="C1426" s="65" t="s">
        <v>10580</v>
      </c>
      <c r="D1426" s="66">
        <v>42177</v>
      </c>
      <c r="E1426" s="65" t="s">
        <v>6809</v>
      </c>
      <c r="F1426" s="65" t="s">
        <v>10540</v>
      </c>
      <c r="G1426" s="61"/>
    </row>
    <row r="1427" spans="1:7" ht="14.25" customHeight="1" x14ac:dyDescent="0.2">
      <c r="A1427" s="65">
        <v>60040299042</v>
      </c>
      <c r="B1427" s="76" t="s">
        <v>6809</v>
      </c>
      <c r="C1427" s="65" t="s">
        <v>10581</v>
      </c>
      <c r="D1427" s="66">
        <v>42177</v>
      </c>
      <c r="E1427" s="65" t="s">
        <v>6809</v>
      </c>
      <c r="F1427" s="65" t="s">
        <v>10540</v>
      </c>
      <c r="G1427" s="61"/>
    </row>
    <row r="1428" spans="1:7" ht="14.25" customHeight="1" x14ac:dyDescent="0.2">
      <c r="A1428" s="65">
        <v>60220299005</v>
      </c>
      <c r="B1428" s="76" t="s">
        <v>6809</v>
      </c>
      <c r="C1428" s="65" t="s">
        <v>10582</v>
      </c>
      <c r="D1428" s="66">
        <v>42177</v>
      </c>
      <c r="E1428" s="65" t="s">
        <v>6809</v>
      </c>
      <c r="F1428" s="65" t="s">
        <v>10540</v>
      </c>
      <c r="G1428" s="61"/>
    </row>
    <row r="1429" spans="1:7" ht="14.25" customHeight="1" x14ac:dyDescent="0.2">
      <c r="A1429" s="65" t="s">
        <v>10583</v>
      </c>
      <c r="B1429" s="76" t="s">
        <v>6809</v>
      </c>
      <c r="C1429" s="65" t="s">
        <v>10584</v>
      </c>
      <c r="D1429" s="66">
        <v>42177</v>
      </c>
      <c r="E1429" s="65" t="s">
        <v>10150</v>
      </c>
      <c r="F1429" s="69" t="s">
        <v>9499</v>
      </c>
      <c r="G1429" s="61"/>
    </row>
    <row r="1430" spans="1:7" ht="14.25" customHeight="1" x14ac:dyDescent="0.2">
      <c r="A1430" s="65" t="s">
        <v>10585</v>
      </c>
      <c r="B1430" s="76" t="s">
        <v>8550</v>
      </c>
      <c r="C1430" s="65" t="s">
        <v>10586</v>
      </c>
      <c r="D1430" s="66">
        <v>42177</v>
      </c>
      <c r="E1430" s="65" t="s">
        <v>6809</v>
      </c>
      <c r="F1430" s="69" t="s">
        <v>9499</v>
      </c>
      <c r="G1430" s="61"/>
    </row>
    <row r="1431" spans="1:7" ht="14.25" customHeight="1" x14ac:dyDescent="0.2">
      <c r="A1431" s="65">
        <v>99229999069</v>
      </c>
      <c r="B1431" s="76" t="s">
        <v>6809</v>
      </c>
      <c r="C1431" s="65" t="s">
        <v>10587</v>
      </c>
      <c r="D1431" s="66">
        <v>42177</v>
      </c>
      <c r="E1431" s="65" t="s">
        <v>10150</v>
      </c>
      <c r="F1431" s="65" t="s">
        <v>10540</v>
      </c>
      <c r="G1431" s="61"/>
    </row>
    <row r="1432" spans="1:7" ht="14.25" customHeight="1" x14ac:dyDescent="0.2">
      <c r="A1432" s="65" t="s">
        <v>10588</v>
      </c>
      <c r="B1432" s="76" t="s">
        <v>6809</v>
      </c>
      <c r="C1432" s="65" t="s">
        <v>10589</v>
      </c>
      <c r="D1432" s="66">
        <v>42177</v>
      </c>
      <c r="E1432" s="65" t="s">
        <v>10150</v>
      </c>
      <c r="F1432" s="65" t="s">
        <v>10540</v>
      </c>
      <c r="G1432" s="61"/>
    </row>
    <row r="1433" spans="1:7" ht="14.25" customHeight="1" x14ac:dyDescent="0.2">
      <c r="A1433" s="65">
        <v>99120208006</v>
      </c>
      <c r="B1433" s="76" t="s">
        <v>6809</v>
      </c>
      <c r="C1433" s="65" t="s">
        <v>10590</v>
      </c>
      <c r="D1433" s="66">
        <v>42177</v>
      </c>
      <c r="E1433" s="65" t="s">
        <v>6809</v>
      </c>
      <c r="F1433" s="65" t="s">
        <v>10540</v>
      </c>
      <c r="G1433" s="61"/>
    </row>
    <row r="1434" spans="1:7" ht="14.25" customHeight="1" x14ac:dyDescent="0.2">
      <c r="A1434" s="65" t="s">
        <v>10591</v>
      </c>
      <c r="B1434" s="76" t="s">
        <v>6809</v>
      </c>
      <c r="C1434" s="65" t="s">
        <v>10592</v>
      </c>
      <c r="D1434" s="66">
        <v>42177</v>
      </c>
      <c r="E1434" s="65" t="s">
        <v>6809</v>
      </c>
      <c r="F1434" s="65" t="s">
        <v>10540</v>
      </c>
      <c r="G1434" s="61"/>
    </row>
    <row r="1435" spans="1:7" ht="14.25" customHeight="1" x14ac:dyDescent="0.2">
      <c r="A1435" s="65" t="s">
        <v>10593</v>
      </c>
      <c r="B1435" s="76" t="s">
        <v>6809</v>
      </c>
      <c r="C1435" s="65" t="s">
        <v>10594</v>
      </c>
      <c r="D1435" s="66">
        <v>42177</v>
      </c>
      <c r="E1435" s="65" t="s">
        <v>6809</v>
      </c>
      <c r="F1435" s="65" t="s">
        <v>10595</v>
      </c>
      <c r="G1435" s="61"/>
    </row>
    <row r="1436" spans="1:7" ht="14.25" customHeight="1" x14ac:dyDescent="0.2">
      <c r="A1436" s="65">
        <v>99120101103</v>
      </c>
      <c r="B1436" s="76" t="s">
        <v>6809</v>
      </c>
      <c r="C1436" s="65" t="s">
        <v>8960</v>
      </c>
      <c r="D1436" s="66">
        <v>42177</v>
      </c>
      <c r="E1436" s="65" t="s">
        <v>6809</v>
      </c>
      <c r="F1436" s="65" t="s">
        <v>10596</v>
      </c>
      <c r="G1436" s="61"/>
    </row>
    <row r="1437" spans="1:7" ht="14.25" customHeight="1" x14ac:dyDescent="0.2">
      <c r="A1437" s="65">
        <v>60030201009</v>
      </c>
      <c r="B1437" s="76" t="s">
        <v>6809</v>
      </c>
      <c r="C1437" s="65" t="s">
        <v>10597</v>
      </c>
      <c r="D1437" s="66">
        <v>42177</v>
      </c>
      <c r="E1437" s="65" t="s">
        <v>10123</v>
      </c>
      <c r="F1437" s="65" t="s">
        <v>10540</v>
      </c>
      <c r="G1437" s="61"/>
    </row>
    <row r="1438" spans="1:7" ht="14.25" customHeight="1" x14ac:dyDescent="0.2">
      <c r="A1438" s="65" t="s">
        <v>10598</v>
      </c>
      <c r="B1438" s="76" t="s">
        <v>6809</v>
      </c>
      <c r="C1438" s="65" t="s">
        <v>10599</v>
      </c>
      <c r="D1438" s="66">
        <v>42177</v>
      </c>
      <c r="E1438" s="65" t="s">
        <v>6809</v>
      </c>
      <c r="F1438" s="65" t="s">
        <v>10540</v>
      </c>
      <c r="G1438" s="61"/>
    </row>
    <row r="1439" spans="1:7" ht="14.25" customHeight="1" x14ac:dyDescent="0.2">
      <c r="A1439" s="65" t="s">
        <v>10600</v>
      </c>
      <c r="B1439" s="76" t="s">
        <v>6809</v>
      </c>
      <c r="C1439" s="65" t="s">
        <v>10601</v>
      </c>
      <c r="D1439" s="66">
        <v>42177</v>
      </c>
      <c r="E1439" s="65" t="s">
        <v>10123</v>
      </c>
      <c r="F1439" s="65" t="s">
        <v>10540</v>
      </c>
      <c r="G1439" s="61"/>
    </row>
    <row r="1440" spans="1:7" ht="14.25" customHeight="1" x14ac:dyDescent="0.2">
      <c r="A1440" s="65" t="s">
        <v>10602</v>
      </c>
      <c r="B1440" s="76" t="s">
        <v>10603</v>
      </c>
      <c r="C1440" s="65" t="s">
        <v>10604</v>
      </c>
      <c r="D1440" s="66">
        <v>42177</v>
      </c>
      <c r="E1440" s="65" t="s">
        <v>10123</v>
      </c>
      <c r="F1440" s="65" t="s">
        <v>10540</v>
      </c>
      <c r="G1440" s="61"/>
    </row>
    <row r="1441" spans="1:7" ht="14.25" customHeight="1" x14ac:dyDescent="0.2">
      <c r="A1441" s="65" t="s">
        <v>10605</v>
      </c>
      <c r="B1441" s="76" t="s">
        <v>6809</v>
      </c>
      <c r="C1441" s="65" t="s">
        <v>10606</v>
      </c>
      <c r="D1441" s="66">
        <v>42177</v>
      </c>
      <c r="E1441" s="65" t="s">
        <v>6809</v>
      </c>
      <c r="F1441" s="65" t="s">
        <v>10540</v>
      </c>
      <c r="G1441" s="61"/>
    </row>
    <row r="1442" spans="1:7" ht="14.25" customHeight="1" x14ac:dyDescent="0.2">
      <c r="A1442" s="65">
        <v>60040201005</v>
      </c>
      <c r="B1442" s="76" t="s">
        <v>6809</v>
      </c>
      <c r="C1442" s="65" t="s">
        <v>10607</v>
      </c>
      <c r="D1442" s="66">
        <v>42177</v>
      </c>
      <c r="E1442" s="65" t="s">
        <v>6809</v>
      </c>
      <c r="F1442" s="65" t="s">
        <v>10540</v>
      </c>
      <c r="G1442" s="61"/>
    </row>
    <row r="1443" spans="1:7" ht="14.25" customHeight="1" x14ac:dyDescent="0.2">
      <c r="A1443" s="65" t="s">
        <v>10608</v>
      </c>
      <c r="B1443" s="76" t="s">
        <v>6809</v>
      </c>
      <c r="C1443" s="65" t="s">
        <v>10609</v>
      </c>
      <c r="D1443" s="66">
        <v>42177</v>
      </c>
      <c r="E1443" s="65" t="s">
        <v>6809</v>
      </c>
      <c r="F1443" s="65" t="s">
        <v>10540</v>
      </c>
      <c r="G1443" s="61"/>
    </row>
    <row r="1444" spans="1:7" ht="14.25" customHeight="1" x14ac:dyDescent="0.2">
      <c r="A1444" s="65" t="s">
        <v>10610</v>
      </c>
      <c r="B1444" s="76" t="s">
        <v>6809</v>
      </c>
      <c r="C1444" s="65" t="s">
        <v>10611</v>
      </c>
      <c r="D1444" s="66">
        <v>42177</v>
      </c>
      <c r="E1444" s="65" t="s">
        <v>6809</v>
      </c>
      <c r="F1444" s="65" t="s">
        <v>10540</v>
      </c>
      <c r="G1444" s="61"/>
    </row>
    <row r="1445" spans="1:7" ht="14.25" customHeight="1" x14ac:dyDescent="0.2">
      <c r="A1445" s="65" t="s">
        <v>10612</v>
      </c>
      <c r="B1445" s="76" t="s">
        <v>6809</v>
      </c>
      <c r="C1445" s="65" t="s">
        <v>10613</v>
      </c>
      <c r="D1445" s="66">
        <v>42177</v>
      </c>
      <c r="E1445" s="65" t="s">
        <v>6809</v>
      </c>
      <c r="F1445" s="65" t="s">
        <v>10540</v>
      </c>
      <c r="G1445" s="61"/>
    </row>
    <row r="1446" spans="1:7" ht="14.25" customHeight="1" x14ac:dyDescent="0.2">
      <c r="A1446" s="65">
        <v>60220215002</v>
      </c>
      <c r="B1446" s="76" t="s">
        <v>6809</v>
      </c>
      <c r="C1446" s="65" t="s">
        <v>10614</v>
      </c>
      <c r="D1446" s="66">
        <v>42177</v>
      </c>
      <c r="E1446" s="65" t="s">
        <v>6809</v>
      </c>
      <c r="F1446" s="65" t="s">
        <v>10540</v>
      </c>
      <c r="G1446" s="61"/>
    </row>
    <row r="1447" spans="1:7" ht="14.25" customHeight="1" x14ac:dyDescent="0.2">
      <c r="A1447" s="65" t="s">
        <v>10615</v>
      </c>
      <c r="B1447" s="76" t="s">
        <v>1102</v>
      </c>
      <c r="C1447" s="65" t="s">
        <v>10616</v>
      </c>
      <c r="D1447" s="66">
        <v>42170</v>
      </c>
      <c r="E1447" s="65" t="s">
        <v>10123</v>
      </c>
      <c r="F1447" s="65" t="s">
        <v>10617</v>
      </c>
      <c r="G1447" s="61"/>
    </row>
    <row r="1448" spans="1:7" ht="14.25" customHeight="1" x14ac:dyDescent="0.2">
      <c r="A1448" s="65" t="s">
        <v>10618</v>
      </c>
      <c r="B1448" s="76" t="s">
        <v>8552</v>
      </c>
      <c r="C1448" s="65" t="s">
        <v>10619</v>
      </c>
      <c r="D1448" s="66">
        <v>42160</v>
      </c>
      <c r="E1448" s="65" t="s">
        <v>6809</v>
      </c>
      <c r="F1448" s="65" t="s">
        <v>6810</v>
      </c>
      <c r="G1448" s="61"/>
    </row>
    <row r="1449" spans="1:7" ht="14.25" customHeight="1" x14ac:dyDescent="0.2">
      <c r="A1449" s="65">
        <v>60040281025</v>
      </c>
      <c r="B1449" s="76" t="s">
        <v>6809</v>
      </c>
      <c r="C1449" s="65" t="s">
        <v>10620</v>
      </c>
      <c r="D1449" s="66">
        <v>42160</v>
      </c>
      <c r="E1449" s="65" t="s">
        <v>6809</v>
      </c>
      <c r="F1449" s="65" t="s">
        <v>10621</v>
      </c>
      <c r="G1449" s="61"/>
    </row>
    <row r="1450" spans="1:7" ht="14.25" customHeight="1" x14ac:dyDescent="0.2">
      <c r="A1450" s="65" t="s">
        <v>10622</v>
      </c>
      <c r="B1450" s="76" t="s">
        <v>1266</v>
      </c>
      <c r="C1450" s="65" t="s">
        <v>8353</v>
      </c>
      <c r="D1450" s="66">
        <v>42159</v>
      </c>
      <c r="E1450" s="65" t="s">
        <v>6809</v>
      </c>
      <c r="F1450" s="65" t="s">
        <v>6810</v>
      </c>
      <c r="G1450" s="61"/>
    </row>
    <row r="1451" spans="1:7" ht="14.25" customHeight="1" x14ac:dyDescent="0.2">
      <c r="A1451" s="65">
        <v>99179999009</v>
      </c>
      <c r="B1451" s="76" t="s">
        <v>6809</v>
      </c>
      <c r="C1451" s="65" t="s">
        <v>10324</v>
      </c>
      <c r="D1451" s="66">
        <v>42157</v>
      </c>
      <c r="E1451" s="65" t="s">
        <v>6809</v>
      </c>
      <c r="F1451" s="65" t="s">
        <v>6810</v>
      </c>
      <c r="G1451" s="61"/>
    </row>
    <row r="1452" spans="1:7" ht="14.25" customHeight="1" x14ac:dyDescent="0.2">
      <c r="A1452" s="65" t="s">
        <v>10623</v>
      </c>
      <c r="B1452" s="76" t="s">
        <v>7374</v>
      </c>
      <c r="C1452" s="65" t="s">
        <v>10624</v>
      </c>
      <c r="D1452" s="66">
        <v>42153</v>
      </c>
      <c r="E1452" s="65" t="s">
        <v>10560</v>
      </c>
      <c r="F1452" s="65" t="s">
        <v>10625</v>
      </c>
      <c r="G1452" s="61"/>
    </row>
    <row r="1453" spans="1:7" ht="14.25" customHeight="1" x14ac:dyDescent="0.2">
      <c r="A1453" s="65">
        <v>99120101053</v>
      </c>
      <c r="B1453" s="76" t="s">
        <v>6809</v>
      </c>
      <c r="C1453" s="65" t="s">
        <v>10626</v>
      </c>
      <c r="D1453" s="66">
        <v>42153</v>
      </c>
      <c r="E1453" s="65" t="s">
        <v>10560</v>
      </c>
      <c r="F1453" s="65" t="s">
        <v>10627</v>
      </c>
      <c r="G1453" s="61"/>
    </row>
    <row r="1454" spans="1:7" ht="14.25" customHeight="1" x14ac:dyDescent="0.2">
      <c r="A1454" s="65">
        <v>99120299023</v>
      </c>
      <c r="B1454" s="76" t="s">
        <v>6809</v>
      </c>
      <c r="C1454" s="65" t="s">
        <v>10628</v>
      </c>
      <c r="D1454" s="66">
        <v>42153</v>
      </c>
      <c r="E1454" s="65" t="s">
        <v>10123</v>
      </c>
      <c r="F1454" s="65" t="s">
        <v>10629</v>
      </c>
      <c r="G1454" s="61"/>
    </row>
    <row r="1455" spans="1:7" ht="14.25" customHeight="1" x14ac:dyDescent="0.2">
      <c r="A1455" s="65">
        <v>99121462004</v>
      </c>
      <c r="B1455" s="76" t="s">
        <v>6809</v>
      </c>
      <c r="C1455" s="65" t="s">
        <v>10630</v>
      </c>
      <c r="D1455" s="66">
        <v>42153</v>
      </c>
      <c r="E1455" s="65" t="s">
        <v>6809</v>
      </c>
      <c r="F1455" s="65" t="s">
        <v>6810</v>
      </c>
      <c r="G1455" s="61"/>
    </row>
    <row r="1456" spans="1:7" ht="14.25" customHeight="1" x14ac:dyDescent="0.2">
      <c r="A1456" s="65">
        <v>99121499006</v>
      </c>
      <c r="B1456" s="76" t="s">
        <v>6809</v>
      </c>
      <c r="C1456" s="65" t="s">
        <v>10631</v>
      </c>
      <c r="D1456" s="66">
        <v>42153</v>
      </c>
      <c r="E1456" s="65" t="s">
        <v>6809</v>
      </c>
      <c r="F1456" s="65" t="s">
        <v>6810</v>
      </c>
      <c r="G1456" s="61"/>
    </row>
    <row r="1457" spans="1:7" ht="14.25" customHeight="1" x14ac:dyDescent="0.2">
      <c r="A1457" s="65">
        <v>99179999020</v>
      </c>
      <c r="B1457" s="76" t="s">
        <v>6809</v>
      </c>
      <c r="C1457" s="65" t="s">
        <v>10632</v>
      </c>
      <c r="D1457" s="66">
        <v>42153</v>
      </c>
      <c r="E1457" s="65" t="s">
        <v>6809</v>
      </c>
      <c r="F1457" s="65" t="s">
        <v>10621</v>
      </c>
      <c r="G1457" s="61"/>
    </row>
    <row r="1458" spans="1:7" ht="14.25" customHeight="1" x14ac:dyDescent="0.2">
      <c r="A1458" s="65">
        <v>60030103006</v>
      </c>
      <c r="B1458" s="76" t="s">
        <v>6809</v>
      </c>
      <c r="C1458" s="65" t="s">
        <v>10633</v>
      </c>
      <c r="D1458" s="66">
        <v>42153</v>
      </c>
      <c r="E1458" s="65" t="s">
        <v>6809</v>
      </c>
      <c r="F1458" s="65" t="s">
        <v>10621</v>
      </c>
      <c r="G1458" s="61"/>
    </row>
    <row r="1459" spans="1:7" ht="14.25" customHeight="1" x14ac:dyDescent="0.2">
      <c r="A1459" s="65">
        <v>99209999037</v>
      </c>
      <c r="B1459" s="76" t="s">
        <v>6809</v>
      </c>
      <c r="C1459" s="65" t="s">
        <v>10634</v>
      </c>
      <c r="D1459" s="66">
        <v>42153</v>
      </c>
      <c r="E1459" s="65" t="s">
        <v>6809</v>
      </c>
      <c r="F1459" s="65" t="s">
        <v>6814</v>
      </c>
      <c r="G1459" s="61"/>
    </row>
    <row r="1460" spans="1:7" ht="14.25" customHeight="1" x14ac:dyDescent="0.2">
      <c r="A1460" s="65">
        <v>99209999039</v>
      </c>
      <c r="B1460" s="76" t="s">
        <v>6809</v>
      </c>
      <c r="C1460" s="65" t="s">
        <v>10635</v>
      </c>
      <c r="D1460" s="66">
        <v>42153</v>
      </c>
      <c r="E1460" s="65" t="s">
        <v>6809</v>
      </c>
      <c r="F1460" s="65" t="s">
        <v>6814</v>
      </c>
      <c r="G1460" s="61"/>
    </row>
    <row r="1461" spans="1:7" ht="14.25" customHeight="1" x14ac:dyDescent="0.2">
      <c r="A1461" s="65">
        <v>99801463015</v>
      </c>
      <c r="B1461" s="76" t="s">
        <v>6809</v>
      </c>
      <c r="C1461" s="65" t="s">
        <v>10636</v>
      </c>
      <c r="D1461" s="66">
        <v>42153</v>
      </c>
      <c r="E1461" s="65" t="s">
        <v>6809</v>
      </c>
      <c r="F1461" s="65" t="s">
        <v>6810</v>
      </c>
      <c r="G1461" s="61"/>
    </row>
    <row r="1462" spans="1:7" ht="14.25" customHeight="1" x14ac:dyDescent="0.2">
      <c r="A1462" s="65">
        <v>99801499025</v>
      </c>
      <c r="B1462" s="76" t="s">
        <v>6809</v>
      </c>
      <c r="C1462" s="65" t="s">
        <v>10637</v>
      </c>
      <c r="D1462" s="66">
        <v>42153</v>
      </c>
      <c r="E1462" s="65" t="s">
        <v>6809</v>
      </c>
      <c r="F1462" s="65" t="s">
        <v>6810</v>
      </c>
      <c r="G1462" s="61"/>
    </row>
    <row r="1463" spans="1:7" ht="14.25" customHeight="1" x14ac:dyDescent="0.2">
      <c r="A1463" s="65">
        <v>99179950001</v>
      </c>
      <c r="B1463" s="76" t="s">
        <v>6809</v>
      </c>
      <c r="C1463" s="65" t="s">
        <v>10638</v>
      </c>
      <c r="D1463" s="66">
        <v>42152</v>
      </c>
      <c r="E1463" s="65" t="s">
        <v>10560</v>
      </c>
      <c r="F1463" s="65" t="s">
        <v>10639</v>
      </c>
      <c r="G1463" s="61"/>
    </row>
    <row r="1464" spans="1:7" ht="14.25" customHeight="1" x14ac:dyDescent="0.2">
      <c r="A1464" s="65">
        <v>99179951001</v>
      </c>
      <c r="B1464" s="76" t="s">
        <v>6809</v>
      </c>
      <c r="C1464" s="65" t="s">
        <v>10640</v>
      </c>
      <c r="D1464" s="66">
        <v>42152</v>
      </c>
      <c r="E1464" s="65" t="s">
        <v>6809</v>
      </c>
      <c r="F1464" s="65" t="s">
        <v>10641</v>
      </c>
      <c r="G1464" s="61"/>
    </row>
    <row r="1465" spans="1:7" ht="14.25" customHeight="1" x14ac:dyDescent="0.2">
      <c r="A1465" s="65" t="s">
        <v>10642</v>
      </c>
      <c r="B1465" s="76" t="s">
        <v>10643</v>
      </c>
      <c r="C1465" s="65" t="s">
        <v>10644</v>
      </c>
      <c r="D1465" s="66">
        <v>42150</v>
      </c>
      <c r="E1465" s="65" t="s">
        <v>10123</v>
      </c>
      <c r="F1465" s="65" t="s">
        <v>10645</v>
      </c>
      <c r="G1465" s="61"/>
    </row>
    <row r="1466" spans="1:7" ht="14.25" customHeight="1" x14ac:dyDescent="0.2">
      <c r="A1466" s="65" t="s">
        <v>10646</v>
      </c>
      <c r="B1466" s="76" t="s">
        <v>4668</v>
      </c>
      <c r="C1466" s="65" t="s">
        <v>10647</v>
      </c>
      <c r="D1466" s="66">
        <v>42148</v>
      </c>
      <c r="E1466" s="65" t="s">
        <v>10560</v>
      </c>
      <c r="F1466" s="65" t="s">
        <v>10648</v>
      </c>
      <c r="G1466" s="61"/>
    </row>
    <row r="1467" spans="1:7" ht="14.25" customHeight="1" x14ac:dyDescent="0.2">
      <c r="A1467" s="65" t="s">
        <v>10552</v>
      </c>
      <c r="B1467" s="76" t="s">
        <v>4677</v>
      </c>
      <c r="C1467" s="65" t="s">
        <v>10553</v>
      </c>
      <c r="D1467" s="66">
        <v>42148</v>
      </c>
      <c r="E1467" s="65" t="s">
        <v>10560</v>
      </c>
      <c r="F1467" s="65" t="s">
        <v>10649</v>
      </c>
      <c r="G1467" s="61"/>
    </row>
    <row r="1468" spans="1:7" ht="14.25" customHeight="1" x14ac:dyDescent="0.2">
      <c r="A1468" s="65">
        <v>99120101034</v>
      </c>
      <c r="B1468" s="76" t="s">
        <v>6809</v>
      </c>
      <c r="C1468" s="65" t="s">
        <v>10650</v>
      </c>
      <c r="D1468" s="66">
        <v>42148</v>
      </c>
      <c r="E1468" s="65" t="s">
        <v>10560</v>
      </c>
      <c r="F1468" s="65" t="s">
        <v>10651</v>
      </c>
      <c r="G1468" s="61"/>
    </row>
    <row r="1469" spans="1:7" ht="14.25" customHeight="1" x14ac:dyDescent="0.2">
      <c r="A1469" s="65">
        <v>60040181081</v>
      </c>
      <c r="B1469" s="76" t="s">
        <v>6809</v>
      </c>
      <c r="C1469" s="65" t="s">
        <v>10652</v>
      </c>
      <c r="D1469" s="66">
        <v>42144</v>
      </c>
      <c r="E1469" s="65" t="s">
        <v>6809</v>
      </c>
      <c r="F1469" s="65" t="s">
        <v>10621</v>
      </c>
      <c r="G1469" s="61"/>
    </row>
    <row r="1470" spans="1:7" ht="14.25" customHeight="1" x14ac:dyDescent="0.2">
      <c r="A1470" s="65">
        <v>60040181133</v>
      </c>
      <c r="B1470" s="76" t="s">
        <v>6809</v>
      </c>
      <c r="C1470" s="65" t="s">
        <v>10653</v>
      </c>
      <c r="D1470" s="66">
        <v>42144</v>
      </c>
      <c r="E1470" s="65" t="s">
        <v>6809</v>
      </c>
      <c r="F1470" s="65" t="s">
        <v>10621</v>
      </c>
      <c r="G1470" s="61"/>
    </row>
    <row r="1471" spans="1:7" ht="14.25" customHeight="1" x14ac:dyDescent="0.2">
      <c r="A1471" s="65">
        <v>60100181276</v>
      </c>
      <c r="B1471" s="76" t="s">
        <v>6809</v>
      </c>
      <c r="C1471" s="65" t="s">
        <v>10654</v>
      </c>
      <c r="D1471" s="66">
        <v>42144</v>
      </c>
      <c r="E1471" s="65" t="s">
        <v>6809</v>
      </c>
      <c r="F1471" s="65" t="s">
        <v>10621</v>
      </c>
      <c r="G1471" s="61"/>
    </row>
    <row r="1472" spans="1:7" ht="14.25" customHeight="1" x14ac:dyDescent="0.2">
      <c r="A1472" s="65" t="s">
        <v>10655</v>
      </c>
      <c r="B1472" s="76" t="s">
        <v>4685</v>
      </c>
      <c r="C1472" s="65" t="s">
        <v>10656</v>
      </c>
      <c r="D1472" s="66">
        <v>42139</v>
      </c>
      <c r="E1472" s="65" t="s">
        <v>6809</v>
      </c>
      <c r="F1472" s="65" t="s">
        <v>10657</v>
      </c>
      <c r="G1472" s="61"/>
    </row>
    <row r="1473" spans="1:7" ht="14.25" customHeight="1" x14ac:dyDescent="0.2">
      <c r="A1473" s="65" t="s">
        <v>10658</v>
      </c>
      <c r="B1473" s="76" t="s">
        <v>2086</v>
      </c>
      <c r="C1473" s="65" t="s">
        <v>10659</v>
      </c>
      <c r="D1473" s="66">
        <v>42135</v>
      </c>
      <c r="E1473" s="65" t="s">
        <v>6809</v>
      </c>
      <c r="F1473" s="65" t="s">
        <v>6814</v>
      </c>
      <c r="G1473" s="61"/>
    </row>
    <row r="1474" spans="1:7" ht="14.25" customHeight="1" x14ac:dyDescent="0.2">
      <c r="A1474" s="65" t="s">
        <v>10660</v>
      </c>
      <c r="B1474" s="76" t="s">
        <v>10661</v>
      </c>
      <c r="C1474" s="65" t="s">
        <v>10662</v>
      </c>
      <c r="D1474" s="66">
        <v>42135</v>
      </c>
      <c r="E1474" s="65" t="s">
        <v>6809</v>
      </c>
      <c r="F1474" s="65" t="s">
        <v>6810</v>
      </c>
      <c r="G1474" s="61"/>
    </row>
    <row r="1475" spans="1:7" ht="14.25" customHeight="1" x14ac:dyDescent="0.2">
      <c r="A1475" s="65" t="s">
        <v>10663</v>
      </c>
      <c r="B1475" s="76" t="s">
        <v>4689</v>
      </c>
      <c r="C1475" s="65" t="s">
        <v>10664</v>
      </c>
      <c r="D1475" s="66">
        <v>42135</v>
      </c>
      <c r="E1475" s="65" t="s">
        <v>6809</v>
      </c>
      <c r="F1475" s="65" t="s">
        <v>6814</v>
      </c>
      <c r="G1475" s="61"/>
    </row>
    <row r="1476" spans="1:7" ht="14.25" customHeight="1" x14ac:dyDescent="0.2">
      <c r="A1476" s="65" t="s">
        <v>10665</v>
      </c>
      <c r="B1476" s="76" t="s">
        <v>8498</v>
      </c>
      <c r="C1476" s="65" t="s">
        <v>10666</v>
      </c>
      <c r="D1476" s="66">
        <v>42135</v>
      </c>
      <c r="E1476" s="65" t="s">
        <v>6809</v>
      </c>
      <c r="F1476" s="65" t="s">
        <v>6814</v>
      </c>
      <c r="G1476" s="61"/>
    </row>
    <row r="1477" spans="1:7" ht="14.25" customHeight="1" x14ac:dyDescent="0.2">
      <c r="A1477" s="65" t="s">
        <v>10667</v>
      </c>
      <c r="B1477" s="76" t="s">
        <v>10668</v>
      </c>
      <c r="C1477" s="65" t="s">
        <v>10669</v>
      </c>
      <c r="D1477" s="66">
        <v>42135</v>
      </c>
      <c r="E1477" s="65" t="s">
        <v>6809</v>
      </c>
      <c r="F1477" s="65" t="s">
        <v>6814</v>
      </c>
      <c r="G1477" s="61"/>
    </row>
    <row r="1478" spans="1:7" ht="14.25" customHeight="1" x14ac:dyDescent="0.2">
      <c r="A1478" s="65" t="s">
        <v>10670</v>
      </c>
      <c r="B1478" s="76" t="s">
        <v>8548</v>
      </c>
      <c r="C1478" s="65" t="s">
        <v>10671</v>
      </c>
      <c r="D1478" s="66">
        <v>42135</v>
      </c>
      <c r="E1478" s="65" t="s">
        <v>6809</v>
      </c>
      <c r="F1478" s="65" t="s">
        <v>6814</v>
      </c>
      <c r="G1478" s="61"/>
    </row>
    <row r="1479" spans="1:7" ht="14.25" customHeight="1" x14ac:dyDescent="0.2">
      <c r="A1479" s="65" t="s">
        <v>10672</v>
      </c>
      <c r="B1479" s="76">
        <v>0</v>
      </c>
      <c r="C1479" s="65" t="s">
        <v>10673</v>
      </c>
      <c r="D1479" s="66">
        <v>42131</v>
      </c>
      <c r="E1479" s="65" t="s">
        <v>6809</v>
      </c>
      <c r="F1479" s="65" t="s">
        <v>10621</v>
      </c>
      <c r="G1479" s="61"/>
    </row>
    <row r="1480" spans="1:7" ht="14.25" customHeight="1" x14ac:dyDescent="0.2">
      <c r="A1480" s="65">
        <v>99449999270</v>
      </c>
      <c r="B1480" s="76" t="s">
        <v>6809</v>
      </c>
      <c r="C1480" s="65" t="s">
        <v>10674</v>
      </c>
      <c r="D1480" s="66">
        <v>42131</v>
      </c>
      <c r="E1480" s="65" t="s">
        <v>6809</v>
      </c>
      <c r="F1480" s="65" t="s">
        <v>10621</v>
      </c>
      <c r="G1480" s="61"/>
    </row>
    <row r="1481" spans="1:7" ht="14.25" customHeight="1" x14ac:dyDescent="0.2">
      <c r="A1481" s="65" t="s">
        <v>10675</v>
      </c>
      <c r="B1481" s="76">
        <v>0</v>
      </c>
      <c r="C1481" s="65" t="s">
        <v>10676</v>
      </c>
      <c r="D1481" s="66">
        <v>42124</v>
      </c>
      <c r="E1481" s="65" t="s">
        <v>6809</v>
      </c>
      <c r="F1481" s="65" t="s">
        <v>10621</v>
      </c>
      <c r="G1481" s="61"/>
    </row>
    <row r="1482" spans="1:7" ht="14.25" customHeight="1" x14ac:dyDescent="0.2">
      <c r="A1482" s="65" t="s">
        <v>10677</v>
      </c>
      <c r="B1482" s="76" t="s">
        <v>10678</v>
      </c>
      <c r="C1482" s="65" t="s">
        <v>10679</v>
      </c>
      <c r="D1482" s="66">
        <v>42120</v>
      </c>
      <c r="E1482" s="65" t="s">
        <v>10150</v>
      </c>
      <c r="F1482" s="65" t="s">
        <v>10346</v>
      </c>
      <c r="G1482" s="61"/>
    </row>
    <row r="1483" spans="1:7" ht="14.25" customHeight="1" x14ac:dyDescent="0.2">
      <c r="A1483" s="65" t="s">
        <v>10680</v>
      </c>
      <c r="B1483" s="76" t="s">
        <v>10681</v>
      </c>
      <c r="C1483" s="65" t="s">
        <v>10682</v>
      </c>
      <c r="D1483" s="66">
        <v>42120</v>
      </c>
      <c r="E1483" s="65" t="s">
        <v>10150</v>
      </c>
      <c r="F1483" s="65" t="s">
        <v>10346</v>
      </c>
      <c r="G1483" s="61"/>
    </row>
    <row r="1484" spans="1:7" ht="14.25" customHeight="1" x14ac:dyDescent="0.2">
      <c r="A1484" s="65" t="s">
        <v>10683</v>
      </c>
      <c r="B1484" s="76" t="s">
        <v>10684</v>
      </c>
      <c r="C1484" s="65" t="s">
        <v>10685</v>
      </c>
      <c r="D1484" s="66">
        <v>42120</v>
      </c>
      <c r="E1484" s="65" t="s">
        <v>10150</v>
      </c>
      <c r="F1484" s="65" t="s">
        <v>10346</v>
      </c>
      <c r="G1484" s="61"/>
    </row>
    <row r="1485" spans="1:7" ht="14.25" customHeight="1" x14ac:dyDescent="0.2">
      <c r="A1485" s="65" t="s">
        <v>10686</v>
      </c>
      <c r="B1485" s="76" t="s">
        <v>10687</v>
      </c>
      <c r="C1485" s="65" t="s">
        <v>10688</v>
      </c>
      <c r="D1485" s="66">
        <v>42120</v>
      </c>
      <c r="E1485" s="65" t="s">
        <v>10150</v>
      </c>
      <c r="F1485" s="65" t="s">
        <v>10346</v>
      </c>
      <c r="G1485" s="61"/>
    </row>
    <row r="1486" spans="1:7" ht="14.25" customHeight="1" x14ac:dyDescent="0.2">
      <c r="A1486" s="65" t="s">
        <v>10689</v>
      </c>
      <c r="B1486" s="76" t="s">
        <v>10690</v>
      </c>
      <c r="C1486" s="65" t="s">
        <v>10691</v>
      </c>
      <c r="D1486" s="66">
        <v>42120</v>
      </c>
      <c r="E1486" s="65" t="s">
        <v>10150</v>
      </c>
      <c r="F1486" s="65" t="s">
        <v>10346</v>
      </c>
      <c r="G1486" s="61"/>
    </row>
    <row r="1487" spans="1:7" ht="14.25" customHeight="1" x14ac:dyDescent="0.2">
      <c r="A1487" s="65" t="s">
        <v>10692</v>
      </c>
      <c r="B1487" s="76" t="s">
        <v>10693</v>
      </c>
      <c r="C1487" s="65" t="s">
        <v>10694</v>
      </c>
      <c r="D1487" s="66">
        <v>42120</v>
      </c>
      <c r="E1487" s="65" t="s">
        <v>10150</v>
      </c>
      <c r="F1487" s="65" t="s">
        <v>10346</v>
      </c>
      <c r="G1487" s="61"/>
    </row>
    <row r="1488" spans="1:7" ht="14.25" customHeight="1" x14ac:dyDescent="0.2">
      <c r="A1488" s="65" t="s">
        <v>10695</v>
      </c>
      <c r="B1488" s="76" t="s">
        <v>10696</v>
      </c>
      <c r="C1488" s="65" t="s">
        <v>10697</v>
      </c>
      <c r="D1488" s="66">
        <v>42120</v>
      </c>
      <c r="E1488" s="65" t="s">
        <v>10150</v>
      </c>
      <c r="F1488" s="65" t="s">
        <v>10346</v>
      </c>
      <c r="G1488" s="61"/>
    </row>
    <row r="1489" spans="1:7" ht="14.25" customHeight="1" x14ac:dyDescent="0.2">
      <c r="A1489" s="65" t="s">
        <v>10698</v>
      </c>
      <c r="B1489" s="76" t="s">
        <v>10699</v>
      </c>
      <c r="C1489" s="65" t="s">
        <v>10700</v>
      </c>
      <c r="D1489" s="66">
        <v>42120</v>
      </c>
      <c r="E1489" s="65" t="s">
        <v>10150</v>
      </c>
      <c r="F1489" s="65" t="s">
        <v>10346</v>
      </c>
      <c r="G1489" s="61"/>
    </row>
    <row r="1490" spans="1:7" ht="14.25" customHeight="1" x14ac:dyDescent="0.2">
      <c r="A1490" s="65">
        <v>60100181309</v>
      </c>
      <c r="B1490" s="76" t="s">
        <v>6809</v>
      </c>
      <c r="C1490" s="65" t="s">
        <v>10701</v>
      </c>
      <c r="D1490" s="66">
        <v>42120</v>
      </c>
      <c r="E1490" s="65" t="s">
        <v>6809</v>
      </c>
      <c r="F1490" s="65" t="s">
        <v>10621</v>
      </c>
      <c r="G1490" s="61"/>
    </row>
    <row r="1491" spans="1:7" ht="14.25" customHeight="1" x14ac:dyDescent="0.2">
      <c r="A1491" s="65">
        <v>60030108006</v>
      </c>
      <c r="B1491" s="76" t="s">
        <v>6809</v>
      </c>
      <c r="C1491" s="65" t="s">
        <v>10702</v>
      </c>
      <c r="D1491" s="66">
        <v>42120</v>
      </c>
      <c r="E1491" s="65" t="s">
        <v>6809</v>
      </c>
      <c r="F1491" s="65" t="s">
        <v>10540</v>
      </c>
      <c r="G1491" s="61"/>
    </row>
    <row r="1492" spans="1:7" ht="14.25" customHeight="1" x14ac:dyDescent="0.2">
      <c r="A1492" s="65">
        <v>99120199033</v>
      </c>
      <c r="B1492" s="76" t="s">
        <v>6809</v>
      </c>
      <c r="C1492" s="65" t="s">
        <v>10703</v>
      </c>
      <c r="D1492" s="66">
        <v>42118</v>
      </c>
      <c r="E1492" s="65" t="s">
        <v>6809</v>
      </c>
      <c r="F1492" s="65" t="s">
        <v>10621</v>
      </c>
      <c r="G1492" s="61"/>
    </row>
    <row r="1493" spans="1:7" ht="14.25" customHeight="1" x14ac:dyDescent="0.2">
      <c r="A1493" s="65">
        <v>60030207006</v>
      </c>
      <c r="B1493" s="76" t="s">
        <v>6809</v>
      </c>
      <c r="C1493" s="65" t="s">
        <v>10704</v>
      </c>
      <c r="D1493" s="66">
        <v>42118</v>
      </c>
      <c r="E1493" s="65" t="s">
        <v>10123</v>
      </c>
      <c r="F1493" s="65" t="s">
        <v>10705</v>
      </c>
      <c r="G1493" s="61"/>
    </row>
    <row r="1494" spans="1:7" ht="14.25" customHeight="1" x14ac:dyDescent="0.2">
      <c r="A1494" s="65" t="s">
        <v>10706</v>
      </c>
      <c r="B1494" s="76" t="s">
        <v>10707</v>
      </c>
      <c r="C1494" s="65" t="s">
        <v>10708</v>
      </c>
      <c r="D1494" s="66">
        <v>42114</v>
      </c>
      <c r="E1494" s="65" t="s">
        <v>6809</v>
      </c>
      <c r="F1494" s="65" t="s">
        <v>10709</v>
      </c>
      <c r="G1494" s="61"/>
    </row>
    <row r="1495" spans="1:7" ht="14.25" customHeight="1" x14ac:dyDescent="0.2">
      <c r="A1495" s="65">
        <v>60040181053</v>
      </c>
      <c r="B1495" s="76" t="s">
        <v>6809</v>
      </c>
      <c r="C1495" s="65" t="s">
        <v>10710</v>
      </c>
      <c r="D1495" s="66">
        <v>42111</v>
      </c>
      <c r="E1495" s="65" t="s">
        <v>6809</v>
      </c>
      <c r="F1495" s="65" t="s">
        <v>10709</v>
      </c>
      <c r="G1495" s="61"/>
    </row>
    <row r="1496" spans="1:7" ht="14.25" customHeight="1" x14ac:dyDescent="0.2">
      <c r="A1496" s="65">
        <v>60100281162</v>
      </c>
      <c r="B1496" s="76" t="s">
        <v>6809</v>
      </c>
      <c r="C1496" s="65" t="s">
        <v>10711</v>
      </c>
      <c r="D1496" s="66">
        <v>42111</v>
      </c>
      <c r="E1496" s="65" t="s">
        <v>6809</v>
      </c>
      <c r="F1496" s="65" t="s">
        <v>10709</v>
      </c>
      <c r="G1496" s="61"/>
    </row>
    <row r="1497" spans="1:7" ht="14.25" customHeight="1" x14ac:dyDescent="0.2">
      <c r="A1497" s="65">
        <v>60100281163</v>
      </c>
      <c r="B1497" s="76" t="s">
        <v>6809</v>
      </c>
      <c r="C1497" s="65" t="s">
        <v>10712</v>
      </c>
      <c r="D1497" s="66">
        <v>42111</v>
      </c>
      <c r="E1497" s="65" t="s">
        <v>6809</v>
      </c>
      <c r="F1497" s="65" t="s">
        <v>10709</v>
      </c>
      <c r="G1497" s="61"/>
    </row>
    <row r="1498" spans="1:7" ht="14.25" customHeight="1" x14ac:dyDescent="0.2">
      <c r="A1498" s="65">
        <v>99120204011</v>
      </c>
      <c r="B1498" s="76" t="s">
        <v>6809</v>
      </c>
      <c r="C1498" s="65" t="s">
        <v>10713</v>
      </c>
      <c r="D1498" s="66">
        <v>42111</v>
      </c>
      <c r="E1498" s="65" t="s">
        <v>6809</v>
      </c>
      <c r="F1498" s="65" t="s">
        <v>10709</v>
      </c>
      <c r="G1498" s="61"/>
    </row>
    <row r="1499" spans="1:7" ht="14.25" customHeight="1" x14ac:dyDescent="0.2">
      <c r="A1499" s="65" t="s">
        <v>10714</v>
      </c>
      <c r="B1499" s="76" t="s">
        <v>4697</v>
      </c>
      <c r="C1499" s="65" t="s">
        <v>10715</v>
      </c>
      <c r="D1499" s="67">
        <v>42108</v>
      </c>
      <c r="E1499" s="65" t="s">
        <v>6809</v>
      </c>
      <c r="F1499" s="65" t="s">
        <v>6814</v>
      </c>
      <c r="G1499" s="61"/>
    </row>
    <row r="1500" spans="1:7" ht="14.25" customHeight="1" x14ac:dyDescent="0.2">
      <c r="A1500" s="65" t="s">
        <v>10716</v>
      </c>
      <c r="B1500" s="76" t="s">
        <v>10717</v>
      </c>
      <c r="C1500" s="65" t="s">
        <v>10718</v>
      </c>
      <c r="D1500" s="66">
        <v>42108</v>
      </c>
      <c r="E1500" s="65" t="s">
        <v>10150</v>
      </c>
      <c r="F1500" s="65" t="s">
        <v>10346</v>
      </c>
      <c r="G1500" s="61"/>
    </row>
    <row r="1501" spans="1:7" ht="14.25" customHeight="1" x14ac:dyDescent="0.2">
      <c r="A1501" s="65">
        <v>99129915019</v>
      </c>
      <c r="B1501" s="76" t="s">
        <v>6809</v>
      </c>
      <c r="C1501" s="65" t="s">
        <v>10719</v>
      </c>
      <c r="D1501" s="66">
        <v>42108</v>
      </c>
      <c r="E1501" s="65" t="s">
        <v>6809</v>
      </c>
      <c r="F1501" s="65" t="s">
        <v>6814</v>
      </c>
      <c r="G1501" s="61"/>
    </row>
    <row r="1502" spans="1:7" ht="14.25" customHeight="1" x14ac:dyDescent="0.2">
      <c r="A1502" s="65">
        <v>99121465004</v>
      </c>
      <c r="B1502" s="76" t="s">
        <v>6809</v>
      </c>
      <c r="C1502" s="65" t="s">
        <v>10720</v>
      </c>
      <c r="D1502" s="66">
        <v>42108</v>
      </c>
      <c r="E1502" s="65" t="s">
        <v>6809</v>
      </c>
      <c r="F1502" s="65" t="s">
        <v>6810</v>
      </c>
      <c r="G1502" s="61"/>
    </row>
    <row r="1503" spans="1:7" ht="14.25" customHeight="1" x14ac:dyDescent="0.2">
      <c r="A1503" s="65">
        <v>99120112022</v>
      </c>
      <c r="B1503" s="76" t="s">
        <v>6809</v>
      </c>
      <c r="C1503" s="65" t="s">
        <v>10721</v>
      </c>
      <c r="D1503" s="66">
        <v>42108</v>
      </c>
      <c r="E1503" s="65" t="s">
        <v>6809</v>
      </c>
      <c r="F1503" s="65" t="s">
        <v>10709</v>
      </c>
      <c r="G1503" s="61"/>
    </row>
    <row r="1504" spans="1:7" ht="14.25" customHeight="1" x14ac:dyDescent="0.2">
      <c r="A1504" s="65" t="s">
        <v>10722</v>
      </c>
      <c r="B1504" s="76" t="s">
        <v>6809</v>
      </c>
      <c r="C1504" s="65" t="s">
        <v>9045</v>
      </c>
      <c r="D1504" s="66">
        <v>42108</v>
      </c>
      <c r="E1504" s="65" t="s">
        <v>6809</v>
      </c>
      <c r="F1504" s="65" t="s">
        <v>10709</v>
      </c>
      <c r="G1504" s="61"/>
    </row>
    <row r="1505" spans="1:7" ht="14.25" customHeight="1" x14ac:dyDescent="0.2">
      <c r="A1505" s="65">
        <v>99120104037</v>
      </c>
      <c r="B1505" s="76" t="s">
        <v>6809</v>
      </c>
      <c r="C1505" s="65" t="s">
        <v>9353</v>
      </c>
      <c r="D1505" s="66">
        <v>42108</v>
      </c>
      <c r="E1505" s="65" t="s">
        <v>6809</v>
      </c>
      <c r="F1505" s="65" t="s">
        <v>10723</v>
      </c>
      <c r="G1505" s="61"/>
    </row>
    <row r="1506" spans="1:7" ht="14.25" customHeight="1" x14ac:dyDescent="0.2">
      <c r="A1506" s="65">
        <v>99120102054</v>
      </c>
      <c r="B1506" s="76" t="s">
        <v>6809</v>
      </c>
      <c r="C1506" s="65" t="s">
        <v>10724</v>
      </c>
      <c r="D1506" s="66">
        <v>42108</v>
      </c>
      <c r="E1506" s="65" t="s">
        <v>6809</v>
      </c>
      <c r="F1506" s="65" t="s">
        <v>6814</v>
      </c>
      <c r="G1506" s="61"/>
    </row>
    <row r="1507" spans="1:7" ht="14.25" customHeight="1" x14ac:dyDescent="0.2">
      <c r="A1507" s="65">
        <v>99120102048</v>
      </c>
      <c r="B1507" s="76" t="s">
        <v>6809</v>
      </c>
      <c r="C1507" s="65" t="s">
        <v>10725</v>
      </c>
      <c r="D1507" s="66">
        <v>42108</v>
      </c>
      <c r="E1507" s="65" t="s">
        <v>6809</v>
      </c>
      <c r="F1507" s="65" t="s">
        <v>6814</v>
      </c>
      <c r="G1507" s="61"/>
    </row>
    <row r="1508" spans="1:7" ht="14.25" customHeight="1" x14ac:dyDescent="0.2">
      <c r="A1508" s="65">
        <v>99120101119</v>
      </c>
      <c r="B1508" s="76" t="s">
        <v>6809</v>
      </c>
      <c r="C1508" s="65" t="s">
        <v>10726</v>
      </c>
      <c r="D1508" s="66">
        <v>42108</v>
      </c>
      <c r="E1508" s="65" t="s">
        <v>6809</v>
      </c>
      <c r="F1508" s="65" t="s">
        <v>6814</v>
      </c>
      <c r="G1508" s="61"/>
    </row>
    <row r="1509" spans="1:7" ht="14.25" customHeight="1" x14ac:dyDescent="0.2">
      <c r="A1509" s="65" t="s">
        <v>10727</v>
      </c>
      <c r="B1509" s="76" t="s">
        <v>10728</v>
      </c>
      <c r="C1509" s="65" t="s">
        <v>10729</v>
      </c>
      <c r="D1509" s="66">
        <v>42108</v>
      </c>
      <c r="E1509" s="65" t="s">
        <v>6809</v>
      </c>
      <c r="F1509" s="65" t="s">
        <v>10709</v>
      </c>
      <c r="G1509" s="61"/>
    </row>
    <row r="1510" spans="1:7" ht="14.25" customHeight="1" x14ac:dyDescent="0.2">
      <c r="A1510" s="65" t="s">
        <v>10730</v>
      </c>
      <c r="B1510" s="76" t="s">
        <v>10731</v>
      </c>
      <c r="C1510" s="65" t="s">
        <v>10732</v>
      </c>
      <c r="D1510" s="66">
        <v>42108</v>
      </c>
      <c r="E1510" s="65" t="s">
        <v>6809</v>
      </c>
      <c r="F1510" s="65" t="s">
        <v>10709</v>
      </c>
      <c r="G1510" s="61"/>
    </row>
    <row r="1511" spans="1:7" ht="14.25" customHeight="1" x14ac:dyDescent="0.2">
      <c r="A1511" s="65" t="s">
        <v>10733</v>
      </c>
      <c r="B1511" s="76" t="s">
        <v>10734</v>
      </c>
      <c r="C1511" s="65" t="s">
        <v>10735</v>
      </c>
      <c r="D1511" s="66">
        <v>42108</v>
      </c>
      <c r="E1511" s="65" t="s">
        <v>6809</v>
      </c>
      <c r="F1511" s="65" t="s">
        <v>10709</v>
      </c>
      <c r="G1511" s="61"/>
    </row>
    <row r="1512" spans="1:7" ht="14.25" customHeight="1" x14ac:dyDescent="0.2">
      <c r="A1512" s="65" t="s">
        <v>10736</v>
      </c>
      <c r="B1512" s="76" t="s">
        <v>10737</v>
      </c>
      <c r="C1512" s="65" t="s">
        <v>10738</v>
      </c>
      <c r="D1512" s="66">
        <v>42108</v>
      </c>
      <c r="E1512" s="65" t="s">
        <v>6809</v>
      </c>
      <c r="F1512" s="65" t="s">
        <v>10709</v>
      </c>
      <c r="G1512" s="61"/>
    </row>
    <row r="1513" spans="1:7" ht="14.25" customHeight="1" x14ac:dyDescent="0.2">
      <c r="A1513" s="65">
        <v>60220104001</v>
      </c>
      <c r="B1513" s="76" t="s">
        <v>6809</v>
      </c>
      <c r="C1513" s="65" t="s">
        <v>10739</v>
      </c>
      <c r="D1513" s="66">
        <v>42106</v>
      </c>
      <c r="E1513" s="65" t="s">
        <v>6809</v>
      </c>
      <c r="F1513" s="65" t="s">
        <v>10709</v>
      </c>
      <c r="G1513" s="61"/>
    </row>
    <row r="1514" spans="1:7" ht="14.25" customHeight="1" x14ac:dyDescent="0.2">
      <c r="A1514" s="65" t="s">
        <v>10740</v>
      </c>
      <c r="B1514" s="76" t="s">
        <v>10741</v>
      </c>
      <c r="C1514" s="65" t="s">
        <v>10742</v>
      </c>
      <c r="D1514" s="66">
        <v>42106</v>
      </c>
      <c r="E1514" s="65" t="s">
        <v>10123</v>
      </c>
      <c r="F1514" s="65" t="s">
        <v>10743</v>
      </c>
      <c r="G1514" s="61"/>
    </row>
    <row r="1515" spans="1:7" ht="14.25" customHeight="1" x14ac:dyDescent="0.2">
      <c r="A1515" s="65" t="s">
        <v>10744</v>
      </c>
      <c r="B1515" s="76" t="s">
        <v>10643</v>
      </c>
      <c r="C1515" s="65" t="s">
        <v>10745</v>
      </c>
      <c r="D1515" s="66">
        <v>42106</v>
      </c>
      <c r="E1515" s="65" t="s">
        <v>10123</v>
      </c>
      <c r="F1515" s="65" t="s">
        <v>10746</v>
      </c>
      <c r="G1515" s="61"/>
    </row>
    <row r="1516" spans="1:7" ht="14.25" customHeight="1" x14ac:dyDescent="0.2">
      <c r="A1516" s="65" t="s">
        <v>10747</v>
      </c>
      <c r="B1516" s="76" t="s">
        <v>10748</v>
      </c>
      <c r="C1516" s="65" t="s">
        <v>10749</v>
      </c>
      <c r="D1516" s="66">
        <v>42102</v>
      </c>
      <c r="E1516" s="65" t="s">
        <v>6809</v>
      </c>
      <c r="F1516" s="65" t="s">
        <v>6814</v>
      </c>
      <c r="G1516" s="61"/>
    </row>
    <row r="1517" spans="1:7" ht="14.25" customHeight="1" x14ac:dyDescent="0.2">
      <c r="A1517" s="65">
        <v>60030205005</v>
      </c>
      <c r="B1517" s="76" t="s">
        <v>6809</v>
      </c>
      <c r="C1517" s="65" t="s">
        <v>10750</v>
      </c>
      <c r="D1517" s="66">
        <v>42102</v>
      </c>
      <c r="E1517" s="65" t="s">
        <v>10123</v>
      </c>
      <c r="F1517" s="65" t="s">
        <v>10751</v>
      </c>
      <c r="G1517" s="61"/>
    </row>
    <row r="1518" spans="1:7" ht="14.25" customHeight="1" x14ac:dyDescent="0.2">
      <c r="A1518" s="65" t="s">
        <v>10752</v>
      </c>
      <c r="B1518" s="76" t="s">
        <v>10753</v>
      </c>
      <c r="C1518" s="65" t="s">
        <v>10754</v>
      </c>
      <c r="D1518" s="66">
        <v>42102</v>
      </c>
      <c r="E1518" s="65" t="s">
        <v>10150</v>
      </c>
      <c r="F1518" s="65" t="s">
        <v>10346</v>
      </c>
      <c r="G1518" s="61"/>
    </row>
    <row r="1519" spans="1:7" ht="14.25" customHeight="1" x14ac:dyDescent="0.2">
      <c r="A1519" s="65" t="s">
        <v>10755</v>
      </c>
      <c r="B1519" s="76" t="s">
        <v>10756</v>
      </c>
      <c r="C1519" s="65" t="s">
        <v>10757</v>
      </c>
      <c r="D1519" s="66">
        <v>42102</v>
      </c>
      <c r="E1519" s="65" t="s">
        <v>6809</v>
      </c>
      <c r="F1519" s="65" t="s">
        <v>10709</v>
      </c>
      <c r="G1519" s="61"/>
    </row>
    <row r="1520" spans="1:7" ht="14.25" customHeight="1" x14ac:dyDescent="0.2">
      <c r="A1520" s="65">
        <v>60040199033</v>
      </c>
      <c r="B1520" s="76" t="s">
        <v>6809</v>
      </c>
      <c r="C1520" s="65" t="s">
        <v>10758</v>
      </c>
      <c r="D1520" s="66">
        <v>42102</v>
      </c>
      <c r="E1520" s="65" t="s">
        <v>6809</v>
      </c>
      <c r="F1520" s="65" t="s">
        <v>10709</v>
      </c>
      <c r="G1520" s="61"/>
    </row>
    <row r="1521" spans="1:7" ht="14.25" customHeight="1" x14ac:dyDescent="0.2">
      <c r="A1521" s="65">
        <v>99120101124</v>
      </c>
      <c r="B1521" s="76" t="s">
        <v>6809</v>
      </c>
      <c r="C1521" s="65" t="s">
        <v>10759</v>
      </c>
      <c r="D1521" s="66">
        <v>42100</v>
      </c>
      <c r="E1521" s="65" t="s">
        <v>6809</v>
      </c>
      <c r="F1521" s="65" t="s">
        <v>6814</v>
      </c>
      <c r="G1521" s="61"/>
    </row>
    <row r="1522" spans="1:7" ht="14.25" customHeight="1" x14ac:dyDescent="0.2">
      <c r="A1522" s="65">
        <v>99121499024</v>
      </c>
      <c r="B1522" s="76" t="s">
        <v>6809</v>
      </c>
      <c r="C1522" s="65" t="s">
        <v>10760</v>
      </c>
      <c r="D1522" s="66">
        <v>42100</v>
      </c>
      <c r="E1522" s="65" t="s">
        <v>6809</v>
      </c>
      <c r="F1522" s="65" t="s">
        <v>6810</v>
      </c>
      <c r="G1522" s="61"/>
    </row>
    <row r="1523" spans="1:7" ht="14.25" customHeight="1" x14ac:dyDescent="0.2">
      <c r="A1523" s="65" t="s">
        <v>10761</v>
      </c>
      <c r="B1523" s="76" t="s">
        <v>10762</v>
      </c>
      <c r="C1523" s="65" t="s">
        <v>10763</v>
      </c>
      <c r="D1523" s="66">
        <v>42097</v>
      </c>
      <c r="E1523" s="65" t="s">
        <v>6809</v>
      </c>
      <c r="F1523" s="65" t="s">
        <v>6810</v>
      </c>
      <c r="G1523" s="61"/>
    </row>
    <row r="1524" spans="1:7" ht="14.25" customHeight="1" x14ac:dyDescent="0.2">
      <c r="A1524" s="65">
        <v>99801499020</v>
      </c>
      <c r="B1524" s="76" t="s">
        <v>6809</v>
      </c>
      <c r="C1524" s="65" t="s">
        <v>10764</v>
      </c>
      <c r="D1524" s="66">
        <v>42097</v>
      </c>
      <c r="E1524" s="65" t="s">
        <v>6809</v>
      </c>
      <c r="F1524" s="65" t="s">
        <v>6810</v>
      </c>
      <c r="G1524" s="61"/>
    </row>
    <row r="1525" spans="1:7" ht="14.25" customHeight="1" x14ac:dyDescent="0.2">
      <c r="A1525" s="65">
        <v>60040181131</v>
      </c>
      <c r="B1525" s="76" t="s">
        <v>6809</v>
      </c>
      <c r="C1525" s="65" t="s">
        <v>10765</v>
      </c>
      <c r="D1525" s="66">
        <v>42096</v>
      </c>
      <c r="E1525" s="65" t="s">
        <v>6809</v>
      </c>
      <c r="F1525" s="65" t="s">
        <v>6814</v>
      </c>
      <c r="G1525" s="61"/>
    </row>
    <row r="1526" spans="1:7" ht="14.25" customHeight="1" x14ac:dyDescent="0.2">
      <c r="A1526" s="65">
        <v>60100281142</v>
      </c>
      <c r="B1526" s="76" t="s">
        <v>6809</v>
      </c>
      <c r="C1526" s="65" t="s">
        <v>10766</v>
      </c>
      <c r="D1526" s="66">
        <v>42096</v>
      </c>
      <c r="E1526" s="65" t="s">
        <v>6809</v>
      </c>
      <c r="F1526" s="65" t="s">
        <v>10709</v>
      </c>
      <c r="G1526" s="61"/>
    </row>
    <row r="1527" spans="1:7" ht="14.25" customHeight="1" x14ac:dyDescent="0.2">
      <c r="A1527" s="65">
        <v>60030104005</v>
      </c>
      <c r="B1527" s="76" t="s">
        <v>6809</v>
      </c>
      <c r="C1527" s="65" t="s">
        <v>10767</v>
      </c>
      <c r="D1527" s="66">
        <v>42090</v>
      </c>
      <c r="E1527" s="65" t="s">
        <v>10123</v>
      </c>
      <c r="F1527" s="65" t="s">
        <v>10768</v>
      </c>
      <c r="G1527" s="61"/>
    </row>
    <row r="1528" spans="1:7" ht="14.25" customHeight="1" x14ac:dyDescent="0.2">
      <c r="A1528" s="65" t="s">
        <v>10769</v>
      </c>
      <c r="B1528" s="76" t="s">
        <v>10770</v>
      </c>
      <c r="C1528" s="65" t="s">
        <v>10771</v>
      </c>
      <c r="D1528" s="66">
        <v>42090</v>
      </c>
      <c r="E1528" s="65" t="s">
        <v>10123</v>
      </c>
      <c r="F1528" s="65" t="s">
        <v>10772</v>
      </c>
      <c r="G1528" s="61"/>
    </row>
    <row r="1529" spans="1:7" ht="14.25" customHeight="1" x14ac:dyDescent="0.2">
      <c r="A1529" s="65">
        <v>60040111002</v>
      </c>
      <c r="B1529" s="76" t="s">
        <v>6809</v>
      </c>
      <c r="C1529" s="65" t="s">
        <v>10773</v>
      </c>
      <c r="D1529" s="66">
        <v>42090</v>
      </c>
      <c r="E1529" s="65" t="s">
        <v>6809</v>
      </c>
      <c r="F1529" s="65" t="s">
        <v>6814</v>
      </c>
      <c r="G1529" s="61"/>
    </row>
    <row r="1530" spans="1:7" ht="14.25" customHeight="1" x14ac:dyDescent="0.2">
      <c r="A1530" s="65">
        <v>60220101002</v>
      </c>
      <c r="B1530" s="76" t="s">
        <v>6809</v>
      </c>
      <c r="C1530" s="65" t="s">
        <v>10774</v>
      </c>
      <c r="D1530" s="66">
        <v>42090</v>
      </c>
      <c r="E1530" s="65" t="s">
        <v>6809</v>
      </c>
      <c r="F1530" s="65" t="s">
        <v>6814</v>
      </c>
      <c r="G1530" s="61"/>
    </row>
    <row r="1531" spans="1:7" ht="14.25" customHeight="1" x14ac:dyDescent="0.2">
      <c r="A1531" s="65">
        <v>99120112023</v>
      </c>
      <c r="B1531" s="76" t="s">
        <v>6809</v>
      </c>
      <c r="C1531" s="65" t="s">
        <v>10775</v>
      </c>
      <c r="D1531" s="66">
        <v>42090</v>
      </c>
      <c r="E1531" s="65" t="s">
        <v>6809</v>
      </c>
      <c r="F1531" s="65" t="s">
        <v>6810</v>
      </c>
      <c r="G1531" s="61"/>
    </row>
    <row r="1532" spans="1:7" ht="14.25" customHeight="1" x14ac:dyDescent="0.2">
      <c r="A1532" s="65">
        <v>99120216006</v>
      </c>
      <c r="B1532" s="76" t="s">
        <v>6809</v>
      </c>
      <c r="C1532" s="65" t="s">
        <v>10776</v>
      </c>
      <c r="D1532" s="66">
        <v>42090</v>
      </c>
      <c r="E1532" s="65" t="s">
        <v>6809</v>
      </c>
      <c r="F1532" s="65" t="s">
        <v>6810</v>
      </c>
      <c r="G1532" s="61"/>
    </row>
    <row r="1533" spans="1:7" ht="14.25" customHeight="1" x14ac:dyDescent="0.2">
      <c r="A1533" s="65">
        <v>99120107010</v>
      </c>
      <c r="B1533" s="76" t="s">
        <v>6809</v>
      </c>
      <c r="C1533" s="65" t="s">
        <v>10777</v>
      </c>
      <c r="D1533" s="66">
        <v>42090</v>
      </c>
      <c r="E1533" s="65" t="s">
        <v>6809</v>
      </c>
      <c r="F1533" s="65" t="s">
        <v>10192</v>
      </c>
      <c r="G1533" s="61"/>
    </row>
    <row r="1534" spans="1:7" ht="14.25" customHeight="1" x14ac:dyDescent="0.2">
      <c r="A1534" s="65">
        <v>99120113034</v>
      </c>
      <c r="B1534" s="76" t="s">
        <v>6809</v>
      </c>
      <c r="C1534" s="65" t="s">
        <v>10778</v>
      </c>
      <c r="D1534" s="66">
        <v>42090</v>
      </c>
      <c r="E1534" s="65" t="s">
        <v>6809</v>
      </c>
      <c r="F1534" s="65" t="s">
        <v>10779</v>
      </c>
      <c r="G1534" s="61"/>
    </row>
    <row r="1535" spans="1:7" ht="14.25" customHeight="1" x14ac:dyDescent="0.2">
      <c r="A1535" s="65" t="s">
        <v>10780</v>
      </c>
      <c r="B1535" s="76" t="s">
        <v>10781</v>
      </c>
      <c r="C1535" s="65" t="s">
        <v>10782</v>
      </c>
      <c r="D1535" s="66">
        <v>42090</v>
      </c>
      <c r="E1535" s="65" t="s">
        <v>6809</v>
      </c>
      <c r="F1535" s="65" t="s">
        <v>6814</v>
      </c>
      <c r="G1535" s="61"/>
    </row>
    <row r="1536" spans="1:7" ht="14.25" customHeight="1" x14ac:dyDescent="0.2">
      <c r="A1536" s="65">
        <v>99120104035</v>
      </c>
      <c r="B1536" s="76" t="s">
        <v>6809</v>
      </c>
      <c r="C1536" s="65" t="s">
        <v>10783</v>
      </c>
      <c r="D1536" s="66">
        <v>42088</v>
      </c>
      <c r="E1536" s="65" t="s">
        <v>10123</v>
      </c>
      <c r="F1536" s="65" t="s">
        <v>10784</v>
      </c>
      <c r="G1536" s="61"/>
    </row>
    <row r="1537" spans="1:7" ht="14.25" customHeight="1" x14ac:dyDescent="0.2">
      <c r="A1537" s="65" t="s">
        <v>10785</v>
      </c>
      <c r="B1537" s="76" t="s">
        <v>10786</v>
      </c>
      <c r="C1537" s="65" t="s">
        <v>10787</v>
      </c>
      <c r="D1537" s="66">
        <v>42088</v>
      </c>
      <c r="E1537" s="65" t="s">
        <v>6809</v>
      </c>
      <c r="F1537" s="65" t="s">
        <v>6814</v>
      </c>
      <c r="G1537" s="61"/>
    </row>
    <row r="1538" spans="1:7" ht="14.25" customHeight="1" x14ac:dyDescent="0.2">
      <c r="A1538" s="65">
        <v>60100181298</v>
      </c>
      <c r="B1538" s="76" t="s">
        <v>6809</v>
      </c>
      <c r="C1538" s="65" t="s">
        <v>10788</v>
      </c>
      <c r="D1538" s="66">
        <v>42087</v>
      </c>
      <c r="E1538" s="65" t="s">
        <v>6809</v>
      </c>
      <c r="F1538" s="65" t="s">
        <v>10192</v>
      </c>
      <c r="G1538" s="61"/>
    </row>
    <row r="1539" spans="1:7" ht="14.25" customHeight="1" x14ac:dyDescent="0.2">
      <c r="A1539" s="65">
        <v>99230199010</v>
      </c>
      <c r="B1539" s="76" t="s">
        <v>6809</v>
      </c>
      <c r="C1539" s="65" t="s">
        <v>10789</v>
      </c>
      <c r="D1539" s="66">
        <v>42086</v>
      </c>
      <c r="E1539" s="65" t="s">
        <v>6809</v>
      </c>
      <c r="F1539" s="65" t="s">
        <v>10540</v>
      </c>
      <c r="G1539" s="61"/>
    </row>
    <row r="1540" spans="1:7" ht="14.25" customHeight="1" x14ac:dyDescent="0.2">
      <c r="A1540" s="65">
        <v>99239999007</v>
      </c>
      <c r="B1540" s="76" t="s">
        <v>6809</v>
      </c>
      <c r="C1540" s="65" t="s">
        <v>10790</v>
      </c>
      <c r="D1540" s="66">
        <v>42086</v>
      </c>
      <c r="E1540" s="65" t="s">
        <v>6809</v>
      </c>
      <c r="F1540" s="65" t="s">
        <v>10540</v>
      </c>
      <c r="G1540" s="61"/>
    </row>
    <row r="1541" spans="1:7" ht="14.25" customHeight="1" x14ac:dyDescent="0.2">
      <c r="A1541" s="65">
        <v>60030113004</v>
      </c>
      <c r="B1541" s="76" t="s">
        <v>6809</v>
      </c>
      <c r="C1541" s="65" t="s">
        <v>9751</v>
      </c>
      <c r="D1541" s="66">
        <v>42083</v>
      </c>
      <c r="E1541" s="65" t="s">
        <v>10123</v>
      </c>
      <c r="F1541" s="65" t="s">
        <v>10791</v>
      </c>
      <c r="G1541" s="61"/>
    </row>
    <row r="1542" spans="1:7" ht="14.25" customHeight="1" x14ac:dyDescent="0.2">
      <c r="A1542" s="65">
        <v>60040181060</v>
      </c>
      <c r="B1542" s="76" t="s">
        <v>6809</v>
      </c>
      <c r="C1542" s="65" t="s">
        <v>10792</v>
      </c>
      <c r="D1542" s="66">
        <v>42082</v>
      </c>
      <c r="E1542" s="65" t="s">
        <v>6809</v>
      </c>
      <c r="F1542" s="65" t="s">
        <v>10192</v>
      </c>
      <c r="G1542" s="61"/>
    </row>
    <row r="1543" spans="1:7" ht="14.25" customHeight="1" x14ac:dyDescent="0.2">
      <c r="A1543" s="65">
        <v>60040281026</v>
      </c>
      <c r="B1543" s="76" t="s">
        <v>6809</v>
      </c>
      <c r="C1543" s="65" t="s">
        <v>10793</v>
      </c>
      <c r="D1543" s="66">
        <v>42079</v>
      </c>
      <c r="E1543" s="65" t="s">
        <v>6809</v>
      </c>
      <c r="F1543" s="65" t="s">
        <v>6814</v>
      </c>
      <c r="G1543" s="61"/>
    </row>
    <row r="1544" spans="1:7" ht="14.25" customHeight="1" x14ac:dyDescent="0.2">
      <c r="A1544" s="65" t="s">
        <v>10794</v>
      </c>
      <c r="B1544" s="76" t="s">
        <v>6809</v>
      </c>
      <c r="C1544" s="65" t="s">
        <v>10795</v>
      </c>
      <c r="D1544" s="66">
        <v>42076</v>
      </c>
      <c r="E1544" s="65" t="s">
        <v>6809</v>
      </c>
      <c r="F1544" s="65" t="s">
        <v>10796</v>
      </c>
      <c r="G1544" s="61"/>
    </row>
    <row r="1545" spans="1:7" ht="14.25" customHeight="1" x14ac:dyDescent="0.2">
      <c r="A1545" s="65">
        <v>99120112022</v>
      </c>
      <c r="B1545" s="76" t="s">
        <v>6809</v>
      </c>
      <c r="C1545" s="65" t="s">
        <v>10721</v>
      </c>
      <c r="D1545" s="66">
        <v>42076</v>
      </c>
      <c r="E1545" s="65" t="s">
        <v>6809</v>
      </c>
      <c r="F1545" s="65" t="s">
        <v>6814</v>
      </c>
      <c r="G1545" s="61"/>
    </row>
    <row r="1546" spans="1:7" ht="14.25" customHeight="1" x14ac:dyDescent="0.2">
      <c r="A1546" s="65">
        <v>60030201007</v>
      </c>
      <c r="B1546" s="76" t="s">
        <v>6809</v>
      </c>
      <c r="C1546" s="65" t="s">
        <v>10797</v>
      </c>
      <c r="D1546" s="66">
        <v>42075</v>
      </c>
      <c r="E1546" s="65" t="s">
        <v>10123</v>
      </c>
      <c r="F1546" s="65" t="s">
        <v>10798</v>
      </c>
      <c r="G1546" s="61"/>
    </row>
    <row r="1547" spans="1:7" ht="14.25" customHeight="1" x14ac:dyDescent="0.2">
      <c r="A1547" s="65">
        <v>60100181266</v>
      </c>
      <c r="B1547" s="76" t="s">
        <v>6809</v>
      </c>
      <c r="C1547" s="65" t="s">
        <v>10799</v>
      </c>
      <c r="D1547" s="66">
        <v>42069</v>
      </c>
      <c r="E1547" s="65" t="s">
        <v>6809</v>
      </c>
      <c r="F1547" s="65" t="s">
        <v>10192</v>
      </c>
      <c r="G1547" s="61"/>
    </row>
    <row r="1548" spans="1:7" ht="14.25" customHeight="1" x14ac:dyDescent="0.2">
      <c r="A1548" s="65">
        <v>60100181277</v>
      </c>
      <c r="B1548" s="76" t="s">
        <v>6809</v>
      </c>
      <c r="C1548" s="65" t="s">
        <v>10800</v>
      </c>
      <c r="D1548" s="66">
        <v>42069</v>
      </c>
      <c r="E1548" s="65" t="s">
        <v>6809</v>
      </c>
      <c r="F1548" s="65" t="s">
        <v>10192</v>
      </c>
      <c r="G1548" s="61"/>
    </row>
    <row r="1549" spans="1:7" ht="14.25" customHeight="1" x14ac:dyDescent="0.2">
      <c r="A1549" s="65">
        <v>60040181087</v>
      </c>
      <c r="B1549" s="76" t="s">
        <v>6809</v>
      </c>
      <c r="C1549" s="65" t="s">
        <v>10801</v>
      </c>
      <c r="D1549" s="66">
        <v>42068</v>
      </c>
      <c r="E1549" s="65" t="s">
        <v>6809</v>
      </c>
      <c r="F1549" s="65" t="s">
        <v>10192</v>
      </c>
      <c r="G1549" s="61"/>
    </row>
    <row r="1550" spans="1:7" ht="14.25" customHeight="1" x14ac:dyDescent="0.2">
      <c r="A1550" s="65">
        <v>60040181076</v>
      </c>
      <c r="B1550" s="76" t="s">
        <v>6809</v>
      </c>
      <c r="C1550" s="65" t="s">
        <v>10802</v>
      </c>
      <c r="D1550" s="66">
        <v>42068</v>
      </c>
      <c r="E1550" s="65" t="s">
        <v>6809</v>
      </c>
      <c r="F1550" s="65" t="s">
        <v>10192</v>
      </c>
      <c r="G1550" s="61"/>
    </row>
    <row r="1551" spans="1:7" ht="14.25" customHeight="1" x14ac:dyDescent="0.2">
      <c r="A1551" s="65">
        <v>60040281016</v>
      </c>
      <c r="B1551" s="76" t="s">
        <v>6809</v>
      </c>
      <c r="C1551" s="65" t="s">
        <v>10803</v>
      </c>
      <c r="D1551" s="66">
        <v>42054</v>
      </c>
      <c r="E1551" s="65" t="s">
        <v>6809</v>
      </c>
      <c r="F1551" s="65" t="s">
        <v>10192</v>
      </c>
      <c r="G1551" s="61"/>
    </row>
    <row r="1552" spans="1:7" ht="14.25" customHeight="1" x14ac:dyDescent="0.2">
      <c r="A1552" s="65">
        <v>60100181140</v>
      </c>
      <c r="B1552" s="76" t="s">
        <v>6809</v>
      </c>
      <c r="C1552" s="65" t="s">
        <v>10804</v>
      </c>
      <c r="D1552" s="66">
        <v>42054</v>
      </c>
      <c r="E1552" s="65" t="s">
        <v>6809</v>
      </c>
      <c r="F1552" s="65" t="s">
        <v>10192</v>
      </c>
      <c r="G1552" s="61"/>
    </row>
    <row r="1553" spans="1:7" ht="14.25" customHeight="1" x14ac:dyDescent="0.2">
      <c r="A1553" s="65" t="s">
        <v>10805</v>
      </c>
      <c r="B1553" s="76" t="s">
        <v>10806</v>
      </c>
      <c r="C1553" s="65" t="s">
        <v>10807</v>
      </c>
      <c r="D1553" s="66">
        <v>42048</v>
      </c>
      <c r="E1553" s="65" t="s">
        <v>6809</v>
      </c>
      <c r="F1553" s="65" t="s">
        <v>10192</v>
      </c>
      <c r="G1553" s="61"/>
    </row>
    <row r="1554" spans="1:7" ht="14.25" customHeight="1" x14ac:dyDescent="0.2">
      <c r="A1554" s="65">
        <v>60030101022</v>
      </c>
      <c r="B1554" s="76" t="s">
        <v>6809</v>
      </c>
      <c r="C1554" s="65" t="s">
        <v>10808</v>
      </c>
      <c r="D1554" s="66">
        <v>42048</v>
      </c>
      <c r="E1554" s="65" t="s">
        <v>6809</v>
      </c>
      <c r="F1554" s="65" t="s">
        <v>10192</v>
      </c>
      <c r="G1554" s="61"/>
    </row>
    <row r="1555" spans="1:7" ht="14.25" customHeight="1" x14ac:dyDescent="0.2">
      <c r="A1555" s="65">
        <v>60030105006</v>
      </c>
      <c r="B1555" s="76" t="s">
        <v>6809</v>
      </c>
      <c r="C1555" s="65" t="s">
        <v>10809</v>
      </c>
      <c r="D1555" s="66">
        <v>42048</v>
      </c>
      <c r="E1555" s="65" t="s">
        <v>10123</v>
      </c>
      <c r="F1555" s="65" t="s">
        <v>10810</v>
      </c>
      <c r="G1555" s="61"/>
    </row>
    <row r="1556" spans="1:7" ht="14.25" customHeight="1" x14ac:dyDescent="0.2">
      <c r="A1556" s="65">
        <v>99120216003</v>
      </c>
      <c r="B1556" s="76" t="s">
        <v>6809</v>
      </c>
      <c r="C1556" s="65" t="s">
        <v>10811</v>
      </c>
      <c r="D1556" s="66">
        <v>42048</v>
      </c>
      <c r="E1556" s="65" t="s">
        <v>6809</v>
      </c>
      <c r="F1556" s="65" t="s">
        <v>6810</v>
      </c>
      <c r="G1556" s="61"/>
    </row>
    <row r="1557" spans="1:7" ht="14.25" customHeight="1" x14ac:dyDescent="0.2">
      <c r="A1557" s="65">
        <v>99120299025</v>
      </c>
      <c r="B1557" s="76" t="s">
        <v>6809</v>
      </c>
      <c r="C1557" s="65" t="s">
        <v>10812</v>
      </c>
      <c r="D1557" s="66">
        <v>42047</v>
      </c>
      <c r="E1557" s="65" t="s">
        <v>6809</v>
      </c>
      <c r="F1557" s="65" t="s">
        <v>10192</v>
      </c>
      <c r="G1557" s="61"/>
    </row>
    <row r="1558" spans="1:7" ht="14.25" customHeight="1" x14ac:dyDescent="0.2">
      <c r="A1558" s="65" t="s">
        <v>10813</v>
      </c>
      <c r="B1558" s="76" t="s">
        <v>10814</v>
      </c>
      <c r="C1558" s="65" t="s">
        <v>10815</v>
      </c>
      <c r="D1558" s="66">
        <v>42041</v>
      </c>
      <c r="E1558" s="65" t="s">
        <v>6809</v>
      </c>
      <c r="F1558" s="65" t="s">
        <v>10816</v>
      </c>
      <c r="G1558" s="61"/>
    </row>
    <row r="1559" spans="1:7" ht="14.25" customHeight="1" x14ac:dyDescent="0.2">
      <c r="A1559" s="65" t="s">
        <v>10817</v>
      </c>
      <c r="B1559" s="76" t="s">
        <v>10818</v>
      </c>
      <c r="C1559" s="65" t="s">
        <v>10819</v>
      </c>
      <c r="D1559" s="66">
        <v>42041</v>
      </c>
      <c r="E1559" s="65" t="s">
        <v>6809</v>
      </c>
      <c r="F1559" s="65" t="s">
        <v>10820</v>
      </c>
      <c r="G1559" s="61"/>
    </row>
    <row r="1560" spans="1:7" ht="14.25" customHeight="1" x14ac:dyDescent="0.2">
      <c r="A1560" s="65">
        <v>60040181130</v>
      </c>
      <c r="B1560" s="76" t="s">
        <v>6809</v>
      </c>
      <c r="C1560" s="65" t="s">
        <v>10821</v>
      </c>
      <c r="D1560" s="66">
        <v>42041</v>
      </c>
      <c r="E1560" s="65" t="s">
        <v>6809</v>
      </c>
      <c r="F1560" s="65" t="s">
        <v>6814</v>
      </c>
      <c r="G1560" s="61"/>
    </row>
    <row r="1561" spans="1:7" ht="14.25" customHeight="1" x14ac:dyDescent="0.2">
      <c r="A1561" s="65">
        <v>60680181033</v>
      </c>
      <c r="B1561" s="76" t="s">
        <v>6809</v>
      </c>
      <c r="C1561" s="65" t="s">
        <v>10822</v>
      </c>
      <c r="D1561" s="66">
        <v>42039</v>
      </c>
      <c r="E1561" s="65" t="s">
        <v>6809</v>
      </c>
      <c r="F1561" s="65" t="s">
        <v>6814</v>
      </c>
      <c r="G1561" s="61"/>
    </row>
    <row r="1562" spans="1:7" ht="14.25" customHeight="1" x14ac:dyDescent="0.2">
      <c r="A1562" s="65">
        <v>99120110031</v>
      </c>
      <c r="B1562" s="76" t="s">
        <v>6809</v>
      </c>
      <c r="C1562" s="65" t="s">
        <v>10823</v>
      </c>
      <c r="D1562" s="66">
        <v>42038</v>
      </c>
      <c r="E1562" s="65" t="s">
        <v>6809</v>
      </c>
      <c r="F1562" s="65" t="s">
        <v>6814</v>
      </c>
      <c r="G1562" s="61"/>
    </row>
    <row r="1563" spans="1:7" ht="14.25" customHeight="1" x14ac:dyDescent="0.2">
      <c r="A1563" s="65">
        <v>99121462005</v>
      </c>
      <c r="B1563" s="76" t="s">
        <v>6809</v>
      </c>
      <c r="C1563" s="65" t="s">
        <v>10824</v>
      </c>
      <c r="D1563" s="66">
        <v>42038</v>
      </c>
      <c r="E1563" s="65" t="s">
        <v>6809</v>
      </c>
      <c r="F1563" s="65" t="s">
        <v>6810</v>
      </c>
      <c r="G1563" s="61"/>
    </row>
    <row r="1564" spans="1:7" ht="14.25" customHeight="1" x14ac:dyDescent="0.2">
      <c r="A1564" s="65">
        <v>99121464002</v>
      </c>
      <c r="B1564" s="76" t="s">
        <v>6809</v>
      </c>
      <c r="C1564" s="65" t="s">
        <v>10825</v>
      </c>
      <c r="D1564" s="66">
        <v>42038</v>
      </c>
      <c r="E1564" s="65" t="s">
        <v>6809</v>
      </c>
      <c r="F1564" s="65" t="s">
        <v>6810</v>
      </c>
      <c r="G1564" s="61"/>
    </row>
    <row r="1565" spans="1:7" ht="14.25" customHeight="1" x14ac:dyDescent="0.2">
      <c r="A1565" s="65">
        <v>99239999030</v>
      </c>
      <c r="B1565" s="76" t="s">
        <v>6809</v>
      </c>
      <c r="C1565" s="65" t="s">
        <v>10826</v>
      </c>
      <c r="D1565" s="66">
        <v>42038</v>
      </c>
      <c r="E1565" s="65" t="s">
        <v>6809</v>
      </c>
      <c r="F1565" s="65" t="s">
        <v>10540</v>
      </c>
      <c r="G1565" s="61"/>
    </row>
    <row r="1566" spans="1:7" ht="14.25" customHeight="1" x14ac:dyDescent="0.2">
      <c r="A1566" s="65">
        <v>99801463014</v>
      </c>
      <c r="B1566" s="76" t="s">
        <v>6809</v>
      </c>
      <c r="C1566" s="65" t="s">
        <v>10827</v>
      </c>
      <c r="D1566" s="66">
        <v>42038</v>
      </c>
      <c r="E1566" s="65" t="s">
        <v>6809</v>
      </c>
      <c r="F1566" s="65" t="s">
        <v>6810</v>
      </c>
      <c r="G1566" s="61"/>
    </row>
    <row r="1567" spans="1:7" ht="14.25" customHeight="1" x14ac:dyDescent="0.2">
      <c r="A1567" s="65">
        <v>99801463018</v>
      </c>
      <c r="B1567" s="76" t="s">
        <v>6809</v>
      </c>
      <c r="C1567" s="65" t="s">
        <v>10828</v>
      </c>
      <c r="D1567" s="66">
        <v>42038</v>
      </c>
      <c r="E1567" s="65" t="s">
        <v>6809</v>
      </c>
      <c r="F1567" s="65" t="s">
        <v>6810</v>
      </c>
      <c r="G1567" s="61"/>
    </row>
    <row r="1568" spans="1:7" ht="14.25" customHeight="1" x14ac:dyDescent="0.2">
      <c r="A1568" s="65" t="s">
        <v>10829</v>
      </c>
      <c r="B1568" s="76" t="s">
        <v>10830</v>
      </c>
      <c r="C1568" s="65" t="s">
        <v>10831</v>
      </c>
      <c r="D1568" s="66">
        <v>42027</v>
      </c>
      <c r="E1568" s="65" t="s">
        <v>6809</v>
      </c>
      <c r="F1568" s="65" t="s">
        <v>6814</v>
      </c>
      <c r="G1568" s="61"/>
    </row>
    <row r="1569" spans="1:7" ht="14.25" customHeight="1" x14ac:dyDescent="0.2">
      <c r="A1569" s="65" t="s">
        <v>10832</v>
      </c>
      <c r="B1569" s="76" t="s">
        <v>10833</v>
      </c>
      <c r="C1569" s="65" t="s">
        <v>10834</v>
      </c>
      <c r="D1569" s="66">
        <v>42027</v>
      </c>
      <c r="E1569" s="65" t="s">
        <v>6809</v>
      </c>
      <c r="F1569" s="65" t="s">
        <v>6810</v>
      </c>
      <c r="G1569" s="61"/>
    </row>
    <row r="1570" spans="1:7" ht="14.25" customHeight="1" x14ac:dyDescent="0.2">
      <c r="A1570" s="65">
        <v>99121499020</v>
      </c>
      <c r="B1570" s="76" t="s">
        <v>6809</v>
      </c>
      <c r="C1570" s="65" t="s">
        <v>10835</v>
      </c>
      <c r="D1570" s="66">
        <v>42023</v>
      </c>
      <c r="E1570" s="65" t="s">
        <v>6809</v>
      </c>
      <c r="F1570" s="65" t="s">
        <v>6810</v>
      </c>
      <c r="G1570" s="61"/>
    </row>
    <row r="1571" spans="1:7" ht="14.25" customHeight="1" x14ac:dyDescent="0.2">
      <c r="A1571" s="65" t="s">
        <v>10836</v>
      </c>
      <c r="B1571" s="76" t="s">
        <v>10837</v>
      </c>
      <c r="C1571" s="65" t="s">
        <v>10838</v>
      </c>
      <c r="D1571" s="66">
        <v>42022</v>
      </c>
      <c r="E1571" s="65" t="s">
        <v>10123</v>
      </c>
      <c r="F1571" s="65" t="s">
        <v>10839</v>
      </c>
      <c r="G1571" s="61"/>
    </row>
    <row r="1572" spans="1:7" ht="14.25" customHeight="1" x14ac:dyDescent="0.2">
      <c r="A1572" s="65" t="s">
        <v>10840</v>
      </c>
      <c r="B1572" s="76" t="s">
        <v>9879</v>
      </c>
      <c r="C1572" s="65" t="s">
        <v>10841</v>
      </c>
      <c r="D1572" s="66">
        <v>42022</v>
      </c>
      <c r="E1572" s="65" t="s">
        <v>10123</v>
      </c>
      <c r="F1572" s="65" t="s">
        <v>10842</v>
      </c>
      <c r="G1572" s="61"/>
    </row>
    <row r="1573" spans="1:7" ht="14.25" customHeight="1" x14ac:dyDescent="0.2">
      <c r="A1573" s="65">
        <v>99230299010</v>
      </c>
      <c r="B1573" s="76" t="s">
        <v>6809</v>
      </c>
      <c r="C1573" s="65" t="s">
        <v>10843</v>
      </c>
      <c r="D1573" s="66">
        <v>42018</v>
      </c>
      <c r="E1573" s="65" t="s">
        <v>6809</v>
      </c>
      <c r="F1573" s="65" t="s">
        <v>10540</v>
      </c>
      <c r="G1573" s="61"/>
    </row>
    <row r="1574" spans="1:7" ht="14.25" customHeight="1" x14ac:dyDescent="0.2">
      <c r="A1574" s="65">
        <v>99801462031</v>
      </c>
      <c r="B1574" s="76" t="s">
        <v>6809</v>
      </c>
      <c r="C1574" s="65" t="s">
        <v>10844</v>
      </c>
      <c r="D1574" s="66">
        <v>42018</v>
      </c>
      <c r="E1574" s="65" t="s">
        <v>6809</v>
      </c>
      <c r="F1574" s="65" t="s">
        <v>6810</v>
      </c>
      <c r="G1574" s="61"/>
    </row>
    <row r="1575" spans="1:7" ht="14.25" customHeight="1" x14ac:dyDescent="0.2">
      <c r="A1575" s="65">
        <v>99810104013</v>
      </c>
      <c r="B1575" s="76" t="s">
        <v>6809</v>
      </c>
      <c r="C1575" s="65" t="s">
        <v>9254</v>
      </c>
      <c r="D1575" s="66">
        <v>42018</v>
      </c>
      <c r="E1575" s="65" t="s">
        <v>6809</v>
      </c>
      <c r="F1575" s="65" t="s">
        <v>6814</v>
      </c>
      <c r="G1575" s="61"/>
    </row>
    <row r="1576" spans="1:7" ht="14.25" customHeight="1" x14ac:dyDescent="0.2">
      <c r="A1576" s="65" t="s">
        <v>10845</v>
      </c>
      <c r="B1576" s="76" t="s">
        <v>8017</v>
      </c>
      <c r="C1576" s="65" t="s">
        <v>10846</v>
      </c>
      <c r="D1576" s="66">
        <v>42018</v>
      </c>
      <c r="E1576" s="65" t="s">
        <v>6809</v>
      </c>
      <c r="F1576" s="65" t="s">
        <v>6814</v>
      </c>
      <c r="G1576" s="61"/>
    </row>
    <row r="1577" spans="1:7" ht="14.25" customHeight="1" x14ac:dyDescent="0.2">
      <c r="A1577" s="65">
        <v>60100181282</v>
      </c>
      <c r="B1577" s="76" t="s">
        <v>6809</v>
      </c>
      <c r="C1577" s="65" t="s">
        <v>10847</v>
      </c>
      <c r="D1577" s="66">
        <v>42017</v>
      </c>
      <c r="E1577" s="65" t="s">
        <v>6809</v>
      </c>
      <c r="F1577" s="65" t="s">
        <v>6814</v>
      </c>
      <c r="G1577" s="61"/>
    </row>
    <row r="1578" spans="1:7" ht="14.25" customHeight="1" x14ac:dyDescent="0.2">
      <c r="A1578" s="65">
        <v>60680181038</v>
      </c>
      <c r="B1578" s="76" t="s">
        <v>6809</v>
      </c>
      <c r="C1578" s="65" t="s">
        <v>10848</v>
      </c>
      <c r="D1578" s="66">
        <v>42017</v>
      </c>
      <c r="E1578" s="65" t="s">
        <v>6809</v>
      </c>
      <c r="F1578" s="65" t="s">
        <v>6814</v>
      </c>
      <c r="G1578" s="61"/>
    </row>
    <row r="1579" spans="1:7" ht="14.25" customHeight="1" x14ac:dyDescent="0.2">
      <c r="A1579" s="65">
        <v>99220206001</v>
      </c>
      <c r="B1579" s="76" t="s">
        <v>6809</v>
      </c>
      <c r="C1579" s="65" t="s">
        <v>10849</v>
      </c>
      <c r="D1579" s="66">
        <v>42017</v>
      </c>
      <c r="E1579" s="65" t="s">
        <v>6809</v>
      </c>
      <c r="F1579" s="65" t="s">
        <v>10192</v>
      </c>
      <c r="G1579" s="61"/>
    </row>
    <row r="1580" spans="1:7" ht="14.25" customHeight="1" x14ac:dyDescent="0.2">
      <c r="A1580" s="65">
        <v>60040181092</v>
      </c>
      <c r="B1580" s="76" t="s">
        <v>6809</v>
      </c>
      <c r="C1580" s="65" t="s">
        <v>10850</v>
      </c>
      <c r="D1580" s="66">
        <v>42011</v>
      </c>
      <c r="E1580" s="65" t="s">
        <v>6809</v>
      </c>
      <c r="F1580" s="65" t="s">
        <v>6814</v>
      </c>
      <c r="G1580" s="61"/>
    </row>
    <row r="1581" spans="1:7" ht="14.25" customHeight="1" x14ac:dyDescent="0.2">
      <c r="A1581" s="65">
        <v>60100181252</v>
      </c>
      <c r="B1581" s="76" t="s">
        <v>6809</v>
      </c>
      <c r="C1581" s="65" t="s">
        <v>10851</v>
      </c>
      <c r="D1581" s="66">
        <v>42011</v>
      </c>
      <c r="E1581" s="65" t="s">
        <v>6809</v>
      </c>
      <c r="F1581" s="65" t="s">
        <v>6814</v>
      </c>
      <c r="G1581" s="61"/>
    </row>
    <row r="1582" spans="1:7" ht="14.25" customHeight="1" x14ac:dyDescent="0.2">
      <c r="A1582" s="65">
        <v>60100281135</v>
      </c>
      <c r="B1582" s="76" t="s">
        <v>6809</v>
      </c>
      <c r="C1582" s="65" t="s">
        <v>10852</v>
      </c>
      <c r="D1582" s="66">
        <v>42011</v>
      </c>
      <c r="E1582" s="65" t="s">
        <v>6809</v>
      </c>
      <c r="F1582" s="65" t="s">
        <v>6814</v>
      </c>
      <c r="G1582" s="61"/>
    </row>
    <row r="1583" spans="1:7" ht="14.25" customHeight="1" x14ac:dyDescent="0.2">
      <c r="A1583" s="65" t="s">
        <v>10853</v>
      </c>
      <c r="B1583" s="76" t="s">
        <v>10854</v>
      </c>
      <c r="C1583" s="65" t="s">
        <v>10855</v>
      </c>
      <c r="D1583" s="66">
        <v>42006</v>
      </c>
      <c r="E1583" s="65" t="s">
        <v>6809</v>
      </c>
      <c r="F1583" s="65" t="s">
        <v>6814</v>
      </c>
      <c r="G1583" s="61"/>
    </row>
    <row r="1584" spans="1:7" ht="14.25" customHeight="1" x14ac:dyDescent="0.2">
      <c r="A1584" s="65">
        <v>99120105059</v>
      </c>
      <c r="B1584" s="76" t="s">
        <v>6809</v>
      </c>
      <c r="C1584" s="65" t="s">
        <v>10856</v>
      </c>
      <c r="D1584" s="66">
        <v>42006</v>
      </c>
      <c r="E1584" s="65" t="s">
        <v>6809</v>
      </c>
      <c r="F1584" s="65" t="s">
        <v>10540</v>
      </c>
      <c r="G1584" s="61"/>
    </row>
    <row r="1585" spans="1:7" ht="14.25" customHeight="1" x14ac:dyDescent="0.2">
      <c r="A1585" s="65">
        <v>99121464011</v>
      </c>
      <c r="B1585" s="76" t="s">
        <v>6809</v>
      </c>
      <c r="C1585" s="65" t="s">
        <v>10857</v>
      </c>
      <c r="D1585" s="66">
        <v>42006</v>
      </c>
      <c r="E1585" s="65" t="s">
        <v>6809</v>
      </c>
      <c r="F1585" s="65" t="s">
        <v>6810</v>
      </c>
      <c r="G1585" s="61"/>
    </row>
    <row r="1586" spans="1:7" ht="14.25" customHeight="1" x14ac:dyDescent="0.2">
      <c r="A1586" s="65">
        <v>99120108004</v>
      </c>
      <c r="B1586" s="76" t="s">
        <v>6809</v>
      </c>
      <c r="C1586" s="65" t="s">
        <v>9008</v>
      </c>
      <c r="D1586" s="66">
        <v>41997</v>
      </c>
      <c r="E1586" s="65" t="s">
        <v>6809</v>
      </c>
      <c r="F1586" s="65" t="s">
        <v>10858</v>
      </c>
      <c r="G1586" s="61"/>
    </row>
    <row r="1587" spans="1:7" ht="14.25" customHeight="1" x14ac:dyDescent="0.2">
      <c r="A1587" s="65">
        <v>99120209027</v>
      </c>
      <c r="B1587" s="76" t="s">
        <v>6809</v>
      </c>
      <c r="C1587" s="65" t="s">
        <v>10859</v>
      </c>
      <c r="D1587" s="66">
        <v>41997</v>
      </c>
      <c r="E1587" s="65" t="s">
        <v>6809</v>
      </c>
      <c r="F1587" s="65" t="s">
        <v>6814</v>
      </c>
      <c r="G1587" s="61"/>
    </row>
    <row r="1588" spans="1:7" ht="14.25" customHeight="1" x14ac:dyDescent="0.2">
      <c r="A1588" s="65">
        <v>99120299019</v>
      </c>
      <c r="B1588" s="76" t="s">
        <v>6809</v>
      </c>
      <c r="C1588" s="65" t="s">
        <v>10860</v>
      </c>
      <c r="D1588" s="66">
        <v>41997</v>
      </c>
      <c r="E1588" s="65" t="s">
        <v>6809</v>
      </c>
      <c r="F1588" s="65" t="s">
        <v>10540</v>
      </c>
      <c r="G1588" s="61"/>
    </row>
    <row r="1589" spans="1:7" ht="14.25" customHeight="1" x14ac:dyDescent="0.2">
      <c r="A1589" s="65">
        <v>99121462006</v>
      </c>
      <c r="B1589" s="76" t="s">
        <v>6809</v>
      </c>
      <c r="C1589" s="65" t="s">
        <v>10861</v>
      </c>
      <c r="D1589" s="66">
        <v>41997</v>
      </c>
      <c r="E1589" s="65" t="s">
        <v>6809</v>
      </c>
      <c r="F1589" s="65" t="s">
        <v>6810</v>
      </c>
      <c r="G1589" s="61"/>
    </row>
    <row r="1590" spans="1:7" ht="14.25" customHeight="1" x14ac:dyDescent="0.2">
      <c r="A1590" s="65">
        <v>99220101001</v>
      </c>
      <c r="B1590" s="76" t="s">
        <v>6809</v>
      </c>
      <c r="C1590" s="65" t="s">
        <v>8514</v>
      </c>
      <c r="D1590" s="66">
        <v>41997</v>
      </c>
      <c r="E1590" s="65" t="s">
        <v>6809</v>
      </c>
      <c r="F1590" s="65" t="s">
        <v>10540</v>
      </c>
      <c r="G1590" s="61"/>
    </row>
    <row r="1591" spans="1:7" ht="14.25" customHeight="1" x14ac:dyDescent="0.2">
      <c r="A1591" s="65">
        <v>99801462029</v>
      </c>
      <c r="B1591" s="76" t="s">
        <v>6809</v>
      </c>
      <c r="C1591" s="65" t="s">
        <v>10862</v>
      </c>
      <c r="D1591" s="66">
        <v>41997</v>
      </c>
      <c r="E1591" s="65" t="s">
        <v>6809</v>
      </c>
      <c r="F1591" s="65" t="s">
        <v>6810</v>
      </c>
      <c r="G1591" s="61"/>
    </row>
    <row r="1592" spans="1:7" ht="14.25" customHeight="1" x14ac:dyDescent="0.2">
      <c r="A1592" s="65">
        <v>99801462030</v>
      </c>
      <c r="B1592" s="76" t="s">
        <v>6809</v>
      </c>
      <c r="C1592" s="65" t="s">
        <v>10863</v>
      </c>
      <c r="D1592" s="66">
        <v>41997</v>
      </c>
      <c r="E1592" s="65" t="s">
        <v>6809</v>
      </c>
      <c r="F1592" s="65" t="s">
        <v>6810</v>
      </c>
      <c r="G1592" s="61"/>
    </row>
    <row r="1593" spans="1:7" ht="14.25" customHeight="1" x14ac:dyDescent="0.2">
      <c r="A1593" s="65">
        <v>99801463016</v>
      </c>
      <c r="B1593" s="76" t="s">
        <v>6809</v>
      </c>
      <c r="C1593" s="65" t="s">
        <v>10864</v>
      </c>
      <c r="D1593" s="66">
        <v>41997</v>
      </c>
      <c r="E1593" s="65" t="s">
        <v>6809</v>
      </c>
      <c r="F1593" s="65" t="s">
        <v>6810</v>
      </c>
      <c r="G1593" s="61"/>
    </row>
    <row r="1594" spans="1:7" ht="14.25" customHeight="1" x14ac:dyDescent="0.2">
      <c r="A1594" s="65">
        <v>99801464018</v>
      </c>
      <c r="B1594" s="76" t="s">
        <v>6809</v>
      </c>
      <c r="C1594" s="65" t="s">
        <v>10865</v>
      </c>
      <c r="D1594" s="66">
        <v>41997</v>
      </c>
      <c r="E1594" s="65" t="s">
        <v>6809</v>
      </c>
      <c r="F1594" s="65" t="s">
        <v>6810</v>
      </c>
      <c r="G1594" s="61"/>
    </row>
    <row r="1595" spans="1:7" ht="14.25" customHeight="1" x14ac:dyDescent="0.2">
      <c r="A1595" s="65">
        <v>60100181241</v>
      </c>
      <c r="B1595" s="76" t="s">
        <v>6809</v>
      </c>
      <c r="C1595" s="65" t="s">
        <v>10866</v>
      </c>
      <c r="D1595" s="66">
        <v>41996</v>
      </c>
      <c r="E1595" s="65" t="s">
        <v>6809</v>
      </c>
      <c r="F1595" s="65" t="s">
        <v>6814</v>
      </c>
      <c r="G1595" s="61"/>
    </row>
    <row r="1596" spans="1:7" ht="14.25" customHeight="1" x14ac:dyDescent="0.2">
      <c r="A1596" s="65">
        <v>60100181283</v>
      </c>
      <c r="B1596" s="76" t="s">
        <v>6809</v>
      </c>
      <c r="C1596" s="65" t="s">
        <v>10867</v>
      </c>
      <c r="D1596" s="66">
        <v>41996</v>
      </c>
      <c r="E1596" s="65" t="s">
        <v>6809</v>
      </c>
      <c r="F1596" s="65" t="s">
        <v>6814</v>
      </c>
      <c r="G1596" s="61"/>
    </row>
    <row r="1597" spans="1:7" ht="14.25" customHeight="1" x14ac:dyDescent="0.2">
      <c r="A1597" s="65">
        <v>60040181079</v>
      </c>
      <c r="B1597" s="76" t="s">
        <v>6809</v>
      </c>
      <c r="C1597" s="65" t="s">
        <v>10868</v>
      </c>
      <c r="D1597" s="66">
        <v>41990</v>
      </c>
      <c r="E1597" s="65" t="s">
        <v>6809</v>
      </c>
      <c r="F1597" s="65" t="s">
        <v>6814</v>
      </c>
      <c r="G1597" s="61"/>
    </row>
    <row r="1598" spans="1:7" ht="14.25" customHeight="1" x14ac:dyDescent="0.2">
      <c r="A1598" s="65">
        <v>60100181133</v>
      </c>
      <c r="B1598" s="76" t="s">
        <v>6809</v>
      </c>
      <c r="C1598" s="65" t="s">
        <v>10869</v>
      </c>
      <c r="D1598" s="66">
        <v>41990</v>
      </c>
      <c r="E1598" s="65" t="s">
        <v>6809</v>
      </c>
      <c r="F1598" s="65" t="s">
        <v>6814</v>
      </c>
      <c r="G1598" s="61"/>
    </row>
    <row r="1599" spans="1:7" ht="14.25" customHeight="1" x14ac:dyDescent="0.2">
      <c r="A1599" s="65">
        <v>60100181272</v>
      </c>
      <c r="B1599" s="76" t="s">
        <v>6809</v>
      </c>
      <c r="C1599" s="65" t="s">
        <v>10870</v>
      </c>
      <c r="D1599" s="66">
        <v>41990</v>
      </c>
      <c r="E1599" s="65" t="s">
        <v>6809</v>
      </c>
      <c r="F1599" s="65" t="s">
        <v>6814</v>
      </c>
      <c r="G1599" s="61"/>
    </row>
    <row r="1600" spans="1:7" ht="14.25" customHeight="1" x14ac:dyDescent="0.2">
      <c r="A1600" s="65">
        <v>99121464005</v>
      </c>
      <c r="B1600" s="76" t="s">
        <v>6809</v>
      </c>
      <c r="C1600" s="65" t="s">
        <v>10871</v>
      </c>
      <c r="D1600" s="66">
        <v>41985</v>
      </c>
      <c r="E1600" s="65" t="s">
        <v>6809</v>
      </c>
      <c r="F1600" s="65" t="s">
        <v>6810</v>
      </c>
      <c r="G1600" s="61"/>
    </row>
    <row r="1601" spans="1:7" ht="14.25" customHeight="1" x14ac:dyDescent="0.2">
      <c r="A1601" s="65">
        <v>60040181097</v>
      </c>
      <c r="B1601" s="76" t="s">
        <v>6809</v>
      </c>
      <c r="C1601" s="65" t="s">
        <v>10872</v>
      </c>
      <c r="D1601" s="66">
        <v>41984</v>
      </c>
      <c r="E1601" s="65" t="s">
        <v>6809</v>
      </c>
      <c r="F1601" s="65" t="s">
        <v>6814</v>
      </c>
      <c r="G1601" s="61"/>
    </row>
    <row r="1602" spans="1:7" ht="14.25" customHeight="1" x14ac:dyDescent="0.2">
      <c r="A1602" s="65">
        <v>60680181072</v>
      </c>
      <c r="B1602" s="76" t="s">
        <v>6809</v>
      </c>
      <c r="C1602" s="65" t="s">
        <v>10873</v>
      </c>
      <c r="D1602" s="66">
        <v>41984</v>
      </c>
      <c r="E1602" s="65" t="s">
        <v>6809</v>
      </c>
      <c r="F1602" s="65" t="s">
        <v>6814</v>
      </c>
      <c r="G1602" s="61"/>
    </row>
    <row r="1603" spans="1:7" ht="14.25" customHeight="1" x14ac:dyDescent="0.2">
      <c r="A1603" s="65">
        <v>99120106032</v>
      </c>
      <c r="B1603" s="76" t="s">
        <v>6809</v>
      </c>
      <c r="C1603" s="65" t="s">
        <v>10874</v>
      </c>
      <c r="D1603" s="66">
        <v>41983</v>
      </c>
      <c r="E1603" s="65" t="s">
        <v>6809</v>
      </c>
      <c r="F1603" s="65" t="s">
        <v>10540</v>
      </c>
      <c r="G1603" s="61"/>
    </row>
    <row r="1604" spans="1:7" ht="14.25" customHeight="1" x14ac:dyDescent="0.2">
      <c r="A1604" s="65">
        <v>99121499021</v>
      </c>
      <c r="B1604" s="76" t="s">
        <v>6809</v>
      </c>
      <c r="C1604" s="65" t="s">
        <v>10875</v>
      </c>
      <c r="D1604" s="66">
        <v>41983</v>
      </c>
      <c r="E1604" s="65" t="s">
        <v>6809</v>
      </c>
      <c r="F1604" s="65" t="s">
        <v>6814</v>
      </c>
      <c r="G1604" s="61"/>
    </row>
    <row r="1605" spans="1:7" ht="14.25" customHeight="1" x14ac:dyDescent="0.2">
      <c r="A1605" s="65">
        <v>60030199038</v>
      </c>
      <c r="B1605" s="76" t="s">
        <v>6809</v>
      </c>
      <c r="C1605" s="65" t="s">
        <v>10876</v>
      </c>
      <c r="D1605" s="66">
        <v>41978</v>
      </c>
      <c r="E1605" s="65" t="s">
        <v>6809</v>
      </c>
      <c r="F1605" s="65" t="s">
        <v>10877</v>
      </c>
      <c r="G1605" s="61"/>
    </row>
    <row r="1606" spans="1:7" ht="14.25" customHeight="1" x14ac:dyDescent="0.2">
      <c r="A1606" s="65">
        <v>60040212002</v>
      </c>
      <c r="B1606" s="76" t="s">
        <v>6809</v>
      </c>
      <c r="C1606" s="65" t="s">
        <v>10878</v>
      </c>
      <c r="D1606" s="66">
        <v>41978</v>
      </c>
      <c r="E1606" s="65" t="s">
        <v>6809</v>
      </c>
      <c r="F1606" s="65" t="s">
        <v>10879</v>
      </c>
      <c r="G1606" s="61"/>
    </row>
    <row r="1607" spans="1:7" ht="14.25" customHeight="1" x14ac:dyDescent="0.2">
      <c r="A1607" s="65">
        <v>99120107011</v>
      </c>
      <c r="B1607" s="76" t="s">
        <v>6809</v>
      </c>
      <c r="C1607" s="65" t="s">
        <v>10880</v>
      </c>
      <c r="D1607" s="66">
        <v>41978</v>
      </c>
      <c r="E1607" s="65" t="s">
        <v>6809</v>
      </c>
      <c r="F1607" s="65" t="s">
        <v>10881</v>
      </c>
      <c r="G1607" s="61"/>
    </row>
    <row r="1608" spans="1:7" ht="14.25" customHeight="1" x14ac:dyDescent="0.2">
      <c r="A1608" s="65">
        <v>99120217003</v>
      </c>
      <c r="B1608" s="76" t="s">
        <v>6809</v>
      </c>
      <c r="C1608" s="65" t="s">
        <v>10882</v>
      </c>
      <c r="D1608" s="66">
        <v>41978</v>
      </c>
      <c r="E1608" s="65" t="s">
        <v>6809</v>
      </c>
      <c r="F1608" s="65" t="s">
        <v>6810</v>
      </c>
      <c r="G1608" s="61"/>
    </row>
    <row r="1609" spans="1:7" ht="14.25" customHeight="1" x14ac:dyDescent="0.2">
      <c r="A1609" s="65">
        <v>99121462003</v>
      </c>
      <c r="B1609" s="76" t="s">
        <v>6809</v>
      </c>
      <c r="C1609" s="65" t="s">
        <v>10883</v>
      </c>
      <c r="D1609" s="66">
        <v>41978</v>
      </c>
      <c r="E1609" s="65" t="s">
        <v>6809</v>
      </c>
      <c r="F1609" s="65" t="s">
        <v>6810</v>
      </c>
      <c r="G1609" s="61"/>
    </row>
    <row r="1610" spans="1:7" ht="14.25" customHeight="1" x14ac:dyDescent="0.2">
      <c r="A1610" s="65">
        <v>99811499011</v>
      </c>
      <c r="B1610" s="76" t="s">
        <v>6809</v>
      </c>
      <c r="C1610" s="65" t="s">
        <v>10884</v>
      </c>
      <c r="D1610" s="66">
        <v>41978</v>
      </c>
      <c r="E1610" s="65" t="s">
        <v>6809</v>
      </c>
      <c r="F1610" s="65" t="s">
        <v>6810</v>
      </c>
      <c r="G1610" s="61"/>
    </row>
    <row r="1611" spans="1:7" ht="14.25" customHeight="1" x14ac:dyDescent="0.2">
      <c r="A1611" s="65">
        <v>99120101087</v>
      </c>
      <c r="B1611" s="76" t="s">
        <v>6809</v>
      </c>
      <c r="C1611" s="65" t="s">
        <v>10054</v>
      </c>
      <c r="D1611" s="66">
        <v>41977</v>
      </c>
      <c r="E1611" s="65" t="s">
        <v>6809</v>
      </c>
      <c r="F1611" s="65" t="s">
        <v>10540</v>
      </c>
      <c r="G1611" s="61"/>
    </row>
    <row r="1612" spans="1:7" ht="14.25" customHeight="1" x14ac:dyDescent="0.2">
      <c r="A1612" s="65">
        <v>99801463017</v>
      </c>
      <c r="B1612" s="76" t="s">
        <v>6809</v>
      </c>
      <c r="C1612" s="65" t="s">
        <v>10885</v>
      </c>
      <c r="D1612" s="66">
        <v>41977</v>
      </c>
      <c r="E1612" s="65" t="s">
        <v>6809</v>
      </c>
      <c r="F1612" s="65" t="s">
        <v>6810</v>
      </c>
      <c r="G1612" s="61"/>
    </row>
    <row r="1613" spans="1:7" ht="14.25" customHeight="1" x14ac:dyDescent="0.2">
      <c r="A1613" s="65">
        <v>60040281020</v>
      </c>
      <c r="B1613" s="76" t="s">
        <v>6809</v>
      </c>
      <c r="C1613" s="65" t="s">
        <v>10886</v>
      </c>
      <c r="D1613" s="66">
        <v>41975</v>
      </c>
      <c r="E1613" s="65" t="s">
        <v>6809</v>
      </c>
      <c r="F1613" s="65" t="s">
        <v>10540</v>
      </c>
      <c r="G1613" s="61"/>
    </row>
    <row r="1614" spans="1:7" ht="14.25" customHeight="1" x14ac:dyDescent="0.2">
      <c r="A1614" s="65">
        <v>99810106003</v>
      </c>
      <c r="B1614" s="76" t="s">
        <v>6809</v>
      </c>
      <c r="C1614" s="65" t="s">
        <v>10338</v>
      </c>
      <c r="D1614" s="66">
        <v>41974</v>
      </c>
      <c r="E1614" s="65" t="s">
        <v>6809</v>
      </c>
      <c r="F1614" s="65" t="s">
        <v>6810</v>
      </c>
      <c r="G1614" s="61"/>
    </row>
    <row r="1615" spans="1:7" ht="14.25" customHeight="1" x14ac:dyDescent="0.2">
      <c r="A1615" s="65" t="s">
        <v>10887</v>
      </c>
      <c r="B1615" s="76" t="s">
        <v>10888</v>
      </c>
      <c r="C1615" s="65" t="s">
        <v>10889</v>
      </c>
      <c r="D1615" s="66">
        <v>41971</v>
      </c>
      <c r="E1615" s="65" t="s">
        <v>10123</v>
      </c>
      <c r="F1615" s="65" t="s">
        <v>10890</v>
      </c>
      <c r="G1615" s="61"/>
    </row>
    <row r="1616" spans="1:7" ht="14.25" customHeight="1" x14ac:dyDescent="0.2">
      <c r="A1616" s="65">
        <v>60030101012</v>
      </c>
      <c r="B1616" s="76" t="s">
        <v>6809</v>
      </c>
      <c r="C1616" s="65" t="s">
        <v>10057</v>
      </c>
      <c r="D1616" s="66">
        <v>41971</v>
      </c>
      <c r="E1616" s="65" t="s">
        <v>10123</v>
      </c>
      <c r="F1616" s="65" t="s">
        <v>10891</v>
      </c>
      <c r="G1616" s="61"/>
    </row>
    <row r="1617" spans="1:7" ht="14.25" customHeight="1" x14ac:dyDescent="0.2">
      <c r="A1617" s="65">
        <v>99120101084</v>
      </c>
      <c r="B1617" s="76" t="s">
        <v>6809</v>
      </c>
      <c r="C1617" s="65" t="s">
        <v>10892</v>
      </c>
      <c r="D1617" s="66">
        <v>41971</v>
      </c>
      <c r="E1617" s="65" t="s">
        <v>10560</v>
      </c>
      <c r="F1617" s="65" t="s">
        <v>10893</v>
      </c>
      <c r="G1617" s="61"/>
    </row>
    <row r="1618" spans="1:7" ht="14.25" customHeight="1" x14ac:dyDescent="0.2">
      <c r="A1618" s="65">
        <v>99120101085</v>
      </c>
      <c r="B1618" s="76" t="s">
        <v>6809</v>
      </c>
      <c r="C1618" s="65" t="s">
        <v>10894</v>
      </c>
      <c r="D1618" s="66">
        <v>41971</v>
      </c>
      <c r="E1618" s="65" t="s">
        <v>10123</v>
      </c>
      <c r="F1618" s="65" t="s">
        <v>10895</v>
      </c>
      <c r="G1618" s="61"/>
    </row>
    <row r="1619" spans="1:7" ht="14.25" customHeight="1" x14ac:dyDescent="0.2">
      <c r="A1619" s="65">
        <v>99070202002</v>
      </c>
      <c r="B1619" s="76" t="s">
        <v>6809</v>
      </c>
      <c r="C1619" s="65" t="s">
        <v>10896</v>
      </c>
      <c r="D1619" s="66">
        <v>41970</v>
      </c>
      <c r="E1619" s="65" t="s">
        <v>6809</v>
      </c>
      <c r="F1619" s="65" t="s">
        <v>6810</v>
      </c>
      <c r="G1619" s="61"/>
    </row>
    <row r="1620" spans="1:7" ht="14.25" customHeight="1" x14ac:dyDescent="0.2">
      <c r="A1620" s="65">
        <v>99120101100</v>
      </c>
      <c r="B1620" s="76" t="s">
        <v>6809</v>
      </c>
      <c r="C1620" s="65" t="s">
        <v>10115</v>
      </c>
      <c r="D1620" s="66">
        <v>41970</v>
      </c>
      <c r="E1620" s="65" t="s">
        <v>6809</v>
      </c>
      <c r="F1620" s="65" t="s">
        <v>6814</v>
      </c>
      <c r="G1620" s="61"/>
    </row>
    <row r="1621" spans="1:7" ht="14.25" customHeight="1" x14ac:dyDescent="0.2">
      <c r="A1621" s="65">
        <v>99120201027</v>
      </c>
      <c r="B1621" s="76" t="s">
        <v>6809</v>
      </c>
      <c r="C1621" s="65" t="s">
        <v>10897</v>
      </c>
      <c r="D1621" s="66">
        <v>41970</v>
      </c>
      <c r="E1621" s="65" t="s">
        <v>6809</v>
      </c>
      <c r="F1621" s="65" t="s">
        <v>6814</v>
      </c>
    </row>
    <row r="1622" spans="1:7" ht="14.25" customHeight="1" x14ac:dyDescent="0.2">
      <c r="A1622" s="65">
        <v>99121499012</v>
      </c>
      <c r="B1622" s="76" t="s">
        <v>6809</v>
      </c>
      <c r="C1622" s="65" t="s">
        <v>10898</v>
      </c>
      <c r="D1622" s="66">
        <v>41970</v>
      </c>
      <c r="E1622" s="65" t="s">
        <v>6809</v>
      </c>
      <c r="F1622" s="65" t="s">
        <v>6810</v>
      </c>
    </row>
    <row r="1623" spans="1:7" ht="14.25" customHeight="1" x14ac:dyDescent="0.2">
      <c r="A1623" s="65">
        <v>99239999079</v>
      </c>
      <c r="B1623" s="76" t="s">
        <v>6809</v>
      </c>
      <c r="C1623" s="65" t="s">
        <v>10899</v>
      </c>
      <c r="D1623" s="66">
        <v>41970</v>
      </c>
      <c r="E1623" s="65" t="s">
        <v>6809</v>
      </c>
      <c r="F1623" s="65" t="s">
        <v>6814</v>
      </c>
    </row>
    <row r="1624" spans="1:7" ht="14.25" customHeight="1" x14ac:dyDescent="0.2">
      <c r="A1624" s="65">
        <v>99239999081</v>
      </c>
      <c r="B1624" s="76" t="s">
        <v>6809</v>
      </c>
      <c r="C1624" s="65" t="s">
        <v>10900</v>
      </c>
      <c r="D1624" s="66">
        <v>41970</v>
      </c>
      <c r="E1624" s="65" t="s">
        <v>6809</v>
      </c>
      <c r="F1624" s="65" t="s">
        <v>6814</v>
      </c>
    </row>
    <row r="1625" spans="1:7" ht="14.25" customHeight="1" x14ac:dyDescent="0.2">
      <c r="A1625" s="65">
        <v>99239999082</v>
      </c>
      <c r="B1625" s="76" t="s">
        <v>6809</v>
      </c>
      <c r="C1625" s="65" t="s">
        <v>10901</v>
      </c>
      <c r="D1625" s="66">
        <v>41970</v>
      </c>
      <c r="E1625" s="65" t="s">
        <v>6809</v>
      </c>
      <c r="F1625" s="65" t="s">
        <v>6814</v>
      </c>
    </row>
    <row r="1626" spans="1:7" ht="14.25" customHeight="1" x14ac:dyDescent="0.2">
      <c r="A1626" s="65">
        <v>99239999083</v>
      </c>
      <c r="B1626" s="76" t="s">
        <v>6809</v>
      </c>
      <c r="C1626" s="65" t="s">
        <v>10902</v>
      </c>
      <c r="D1626" s="66">
        <v>41970</v>
      </c>
      <c r="E1626" s="65" t="s">
        <v>6809</v>
      </c>
      <c r="F1626" s="65" t="s">
        <v>6814</v>
      </c>
    </row>
    <row r="1627" spans="1:7" ht="14.25" customHeight="1" x14ac:dyDescent="0.2">
      <c r="A1627" s="65">
        <v>60030199038</v>
      </c>
      <c r="B1627" s="76" t="s">
        <v>6809</v>
      </c>
      <c r="C1627" s="65" t="s">
        <v>10903</v>
      </c>
      <c r="D1627" s="66">
        <v>41967</v>
      </c>
      <c r="E1627" s="65" t="s">
        <v>6809</v>
      </c>
      <c r="F1627" s="65" t="s">
        <v>10540</v>
      </c>
    </row>
    <row r="1628" spans="1:7" ht="14.25" customHeight="1" x14ac:dyDescent="0.2">
      <c r="A1628" s="65">
        <v>60030217001</v>
      </c>
      <c r="B1628" s="76" t="s">
        <v>6809</v>
      </c>
      <c r="C1628" s="65" t="s">
        <v>10904</v>
      </c>
      <c r="D1628" s="66">
        <v>41967</v>
      </c>
      <c r="E1628" s="65" t="s">
        <v>6809</v>
      </c>
      <c r="F1628" s="65" t="s">
        <v>6814</v>
      </c>
    </row>
    <row r="1629" spans="1:7" ht="14.25" customHeight="1" x14ac:dyDescent="0.2">
      <c r="A1629" s="65">
        <v>99070209001</v>
      </c>
      <c r="B1629" s="76" t="s">
        <v>6809</v>
      </c>
      <c r="C1629" s="65" t="s">
        <v>10905</v>
      </c>
      <c r="D1629" s="66">
        <v>41967</v>
      </c>
      <c r="E1629" s="65" t="s">
        <v>6809</v>
      </c>
      <c r="F1629" s="65" t="s">
        <v>6810</v>
      </c>
    </row>
    <row r="1630" spans="1:7" ht="14.25" customHeight="1" x14ac:dyDescent="0.2">
      <c r="A1630" s="65">
        <v>99120101109</v>
      </c>
      <c r="B1630" s="76" t="s">
        <v>6809</v>
      </c>
      <c r="C1630" s="65" t="s">
        <v>10906</v>
      </c>
      <c r="D1630" s="66">
        <v>41967</v>
      </c>
      <c r="E1630" s="65" t="s">
        <v>6809</v>
      </c>
      <c r="F1630" s="65" t="s">
        <v>6814</v>
      </c>
    </row>
    <row r="1631" spans="1:7" ht="14.25" customHeight="1" x14ac:dyDescent="0.2">
      <c r="A1631" s="65">
        <v>99120105063</v>
      </c>
      <c r="B1631" s="76" t="s">
        <v>6809</v>
      </c>
      <c r="C1631" s="65" t="s">
        <v>10907</v>
      </c>
      <c r="D1631" s="66">
        <v>41967</v>
      </c>
      <c r="E1631" s="65" t="s">
        <v>6809</v>
      </c>
      <c r="F1631" s="65" t="s">
        <v>6814</v>
      </c>
    </row>
    <row r="1632" spans="1:7" ht="14.25" customHeight="1" x14ac:dyDescent="0.2">
      <c r="A1632" s="65">
        <v>99120112019</v>
      </c>
      <c r="B1632" s="76" t="s">
        <v>6809</v>
      </c>
      <c r="C1632" s="65" t="s">
        <v>10908</v>
      </c>
      <c r="D1632" s="66">
        <v>41967</v>
      </c>
      <c r="E1632" s="65" t="s">
        <v>6809</v>
      </c>
      <c r="F1632" s="65" t="s">
        <v>6814</v>
      </c>
    </row>
    <row r="1633" spans="1:6" ht="14.25" customHeight="1" x14ac:dyDescent="0.2">
      <c r="A1633" s="65">
        <v>99220106001</v>
      </c>
      <c r="B1633" s="76" t="s">
        <v>6809</v>
      </c>
      <c r="C1633" s="65" t="s">
        <v>10909</v>
      </c>
      <c r="D1633" s="66">
        <v>41967</v>
      </c>
      <c r="E1633" s="65" t="s">
        <v>6809</v>
      </c>
      <c r="F1633" s="65" t="s">
        <v>6814</v>
      </c>
    </row>
    <row r="1634" spans="1:6" ht="14.25" customHeight="1" x14ac:dyDescent="0.2">
      <c r="A1634" s="65">
        <v>60100181166</v>
      </c>
      <c r="B1634" s="76" t="s">
        <v>6809</v>
      </c>
      <c r="C1634" s="65" t="s">
        <v>10910</v>
      </c>
      <c r="D1634" s="66">
        <v>41963</v>
      </c>
      <c r="E1634" s="65" t="s">
        <v>6809</v>
      </c>
      <c r="F1634" s="65" t="s">
        <v>6814</v>
      </c>
    </row>
    <row r="1635" spans="1:6" ht="14.25" customHeight="1" x14ac:dyDescent="0.2">
      <c r="A1635" s="65">
        <v>60100181191</v>
      </c>
      <c r="B1635" s="76" t="s">
        <v>6809</v>
      </c>
      <c r="C1635" s="65" t="s">
        <v>10911</v>
      </c>
      <c r="D1635" s="66">
        <v>41963</v>
      </c>
      <c r="E1635" s="65" t="s">
        <v>6809</v>
      </c>
      <c r="F1635" s="65" t="s">
        <v>6814</v>
      </c>
    </row>
    <row r="1636" spans="1:6" ht="14.25" customHeight="1" x14ac:dyDescent="0.2">
      <c r="A1636" s="65">
        <v>60100181239</v>
      </c>
      <c r="B1636" s="76" t="s">
        <v>6809</v>
      </c>
      <c r="C1636" s="65" t="s">
        <v>10912</v>
      </c>
      <c r="D1636" s="66">
        <v>41963</v>
      </c>
      <c r="E1636" s="65" t="s">
        <v>6809</v>
      </c>
      <c r="F1636" s="65" t="s">
        <v>6814</v>
      </c>
    </row>
    <row r="1637" spans="1:6" ht="14.25" customHeight="1" x14ac:dyDescent="0.2">
      <c r="A1637" s="65">
        <v>99810110003</v>
      </c>
      <c r="B1637" s="76" t="s">
        <v>6809</v>
      </c>
      <c r="C1637" s="65" t="s">
        <v>10913</v>
      </c>
      <c r="D1637" s="66">
        <v>41961</v>
      </c>
      <c r="E1637" s="65" t="s">
        <v>6809</v>
      </c>
      <c r="F1637" s="65" t="s">
        <v>6810</v>
      </c>
    </row>
    <row r="1638" spans="1:6" ht="14.25" customHeight="1" x14ac:dyDescent="0.2">
      <c r="A1638" s="65" t="s">
        <v>10914</v>
      </c>
      <c r="B1638" s="76" t="s">
        <v>4630</v>
      </c>
      <c r="C1638" s="65" t="s">
        <v>10915</v>
      </c>
      <c r="D1638" s="66">
        <v>41961</v>
      </c>
      <c r="E1638" s="65" t="s">
        <v>6809</v>
      </c>
      <c r="F1638" s="69" t="s">
        <v>9499</v>
      </c>
    </row>
    <row r="1639" spans="1:6" ht="14.25" customHeight="1" x14ac:dyDescent="0.2">
      <c r="A1639" s="65">
        <v>60040201002</v>
      </c>
      <c r="B1639" s="76" t="s">
        <v>6809</v>
      </c>
      <c r="C1639" s="65" t="s">
        <v>10916</v>
      </c>
      <c r="D1639" s="66">
        <v>41960</v>
      </c>
      <c r="E1639" s="65" t="s">
        <v>6809</v>
      </c>
      <c r="F1639" s="65" t="s">
        <v>10540</v>
      </c>
    </row>
    <row r="1640" spans="1:6" ht="14.25" customHeight="1" x14ac:dyDescent="0.2">
      <c r="A1640" s="65">
        <v>99120103030</v>
      </c>
      <c r="B1640" s="76" t="s">
        <v>6809</v>
      </c>
      <c r="C1640" s="65" t="s">
        <v>10917</v>
      </c>
      <c r="D1640" s="66">
        <v>41960</v>
      </c>
      <c r="E1640" s="65" t="s">
        <v>6809</v>
      </c>
      <c r="F1640" s="65" t="s">
        <v>6814</v>
      </c>
    </row>
    <row r="1641" spans="1:6" ht="14.25" customHeight="1" x14ac:dyDescent="0.2">
      <c r="A1641" s="65">
        <v>99121464006</v>
      </c>
      <c r="B1641" s="76" t="s">
        <v>6809</v>
      </c>
      <c r="C1641" s="65" t="s">
        <v>10918</v>
      </c>
      <c r="D1641" s="66">
        <v>41960</v>
      </c>
      <c r="E1641" s="65" t="s">
        <v>6809</v>
      </c>
      <c r="F1641" s="65" t="s">
        <v>6810</v>
      </c>
    </row>
    <row r="1642" spans="1:6" ht="14.25" customHeight="1" x14ac:dyDescent="0.2">
      <c r="A1642" s="65">
        <v>99121464009</v>
      </c>
      <c r="B1642" s="76" t="s">
        <v>6809</v>
      </c>
      <c r="C1642" s="65" t="s">
        <v>10919</v>
      </c>
      <c r="D1642" s="66">
        <v>41960</v>
      </c>
      <c r="E1642" s="65" t="s">
        <v>6809</v>
      </c>
      <c r="F1642" s="65" t="s">
        <v>6810</v>
      </c>
    </row>
    <row r="1643" spans="1:6" ht="14.25" customHeight="1" x14ac:dyDescent="0.2">
      <c r="A1643" s="65">
        <v>99140103023</v>
      </c>
      <c r="B1643" s="76" t="s">
        <v>6809</v>
      </c>
      <c r="C1643" s="65" t="s">
        <v>10920</v>
      </c>
      <c r="D1643" s="66">
        <v>41960</v>
      </c>
      <c r="E1643" s="65" t="s">
        <v>6809</v>
      </c>
      <c r="F1643" s="65" t="s">
        <v>6814</v>
      </c>
    </row>
    <row r="1644" spans="1:6" ht="14.25" customHeight="1" x14ac:dyDescent="0.2">
      <c r="A1644" s="65">
        <v>99801463011</v>
      </c>
      <c r="B1644" s="76" t="s">
        <v>6809</v>
      </c>
      <c r="C1644" s="65" t="s">
        <v>10921</v>
      </c>
      <c r="D1644" s="66">
        <v>41960</v>
      </c>
      <c r="E1644" s="65" t="s">
        <v>6809</v>
      </c>
      <c r="F1644" s="65" t="s">
        <v>6810</v>
      </c>
    </row>
    <row r="1645" spans="1:6" ht="14.25" customHeight="1" x14ac:dyDescent="0.2">
      <c r="A1645" s="65">
        <v>99811462010</v>
      </c>
      <c r="B1645" s="76" t="s">
        <v>6809</v>
      </c>
      <c r="C1645" s="65" t="s">
        <v>10922</v>
      </c>
      <c r="D1645" s="66">
        <v>41960</v>
      </c>
      <c r="E1645" s="65" t="s">
        <v>6809</v>
      </c>
      <c r="F1645" s="65" t="s">
        <v>6810</v>
      </c>
    </row>
    <row r="1646" spans="1:6" ht="14.25" customHeight="1" x14ac:dyDescent="0.2">
      <c r="A1646" s="65">
        <v>60040281019</v>
      </c>
      <c r="B1646" s="76" t="s">
        <v>6809</v>
      </c>
      <c r="C1646" s="65" t="s">
        <v>10923</v>
      </c>
      <c r="D1646" s="66">
        <v>41957</v>
      </c>
      <c r="E1646" s="65" t="s">
        <v>6809</v>
      </c>
      <c r="F1646" s="65" t="s">
        <v>6814</v>
      </c>
    </row>
    <row r="1647" spans="1:6" ht="14.25" customHeight="1" x14ac:dyDescent="0.2">
      <c r="A1647" s="65">
        <v>60100181275</v>
      </c>
      <c r="B1647" s="76" t="s">
        <v>6809</v>
      </c>
      <c r="C1647" s="65" t="s">
        <v>10924</v>
      </c>
      <c r="D1647" s="66">
        <v>41957</v>
      </c>
      <c r="E1647" s="65" t="s">
        <v>6809</v>
      </c>
      <c r="F1647" s="65" t="s">
        <v>6814</v>
      </c>
    </row>
    <row r="1648" spans="1:6" ht="14.25" customHeight="1" x14ac:dyDescent="0.2">
      <c r="A1648" s="65">
        <v>60040181030</v>
      </c>
      <c r="B1648" s="76" t="s">
        <v>6809</v>
      </c>
      <c r="C1648" s="65" t="s">
        <v>10925</v>
      </c>
      <c r="D1648" s="66">
        <v>41953</v>
      </c>
      <c r="E1648" s="65" t="s">
        <v>6809</v>
      </c>
      <c r="F1648" s="65" t="s">
        <v>6814</v>
      </c>
    </row>
    <row r="1649" spans="1:6" ht="14.25" customHeight="1" x14ac:dyDescent="0.2">
      <c r="A1649" s="65">
        <v>60100181151</v>
      </c>
      <c r="B1649" s="76" t="s">
        <v>6809</v>
      </c>
      <c r="C1649" s="65" t="s">
        <v>10926</v>
      </c>
      <c r="D1649" s="66">
        <v>41953</v>
      </c>
      <c r="E1649" s="65" t="s">
        <v>6809</v>
      </c>
      <c r="F1649" s="65" t="s">
        <v>6814</v>
      </c>
    </row>
    <row r="1650" spans="1:6" ht="14.25" customHeight="1" x14ac:dyDescent="0.2">
      <c r="A1650" s="65">
        <v>60100181181</v>
      </c>
      <c r="B1650" s="76" t="s">
        <v>6809</v>
      </c>
      <c r="C1650" s="65" t="s">
        <v>10927</v>
      </c>
      <c r="D1650" s="66">
        <v>41953</v>
      </c>
      <c r="E1650" s="65" t="s">
        <v>6809</v>
      </c>
      <c r="F1650" s="65" t="s">
        <v>6814</v>
      </c>
    </row>
    <row r="1651" spans="1:6" ht="14.25" customHeight="1" x14ac:dyDescent="0.2">
      <c r="A1651" s="65">
        <v>60100181182</v>
      </c>
      <c r="B1651" s="76" t="s">
        <v>6809</v>
      </c>
      <c r="C1651" s="65" t="s">
        <v>10928</v>
      </c>
      <c r="D1651" s="66">
        <v>41953</v>
      </c>
      <c r="E1651" s="65" t="s">
        <v>6809</v>
      </c>
      <c r="F1651" s="65" t="s">
        <v>6814</v>
      </c>
    </row>
    <row r="1652" spans="1:6" ht="14.25" customHeight="1" x14ac:dyDescent="0.2">
      <c r="A1652" s="65">
        <v>60100181237</v>
      </c>
      <c r="B1652" s="76" t="s">
        <v>6809</v>
      </c>
      <c r="C1652" s="65" t="s">
        <v>10929</v>
      </c>
      <c r="D1652" s="66">
        <v>41953</v>
      </c>
      <c r="E1652" s="65" t="s">
        <v>6809</v>
      </c>
      <c r="F1652" s="65" t="s">
        <v>6814</v>
      </c>
    </row>
    <row r="1653" spans="1:6" ht="14.25" customHeight="1" x14ac:dyDescent="0.2">
      <c r="A1653" s="65">
        <v>60100181240</v>
      </c>
      <c r="B1653" s="76" t="s">
        <v>6809</v>
      </c>
      <c r="C1653" s="65" t="s">
        <v>10930</v>
      </c>
      <c r="D1653" s="66">
        <v>41953</v>
      </c>
      <c r="E1653" s="65" t="s">
        <v>6809</v>
      </c>
      <c r="F1653" s="65" t="s">
        <v>6814</v>
      </c>
    </row>
    <row r="1654" spans="1:6" ht="14.25" customHeight="1" x14ac:dyDescent="0.2">
      <c r="A1654" s="65">
        <v>60100181243</v>
      </c>
      <c r="B1654" s="76" t="s">
        <v>6809</v>
      </c>
      <c r="C1654" s="65" t="s">
        <v>10931</v>
      </c>
      <c r="D1654" s="66">
        <v>41953</v>
      </c>
      <c r="E1654" s="65" t="s">
        <v>6809</v>
      </c>
      <c r="F1654" s="65" t="s">
        <v>6814</v>
      </c>
    </row>
    <row r="1655" spans="1:6" ht="14.25" customHeight="1" x14ac:dyDescent="0.2">
      <c r="A1655" s="65">
        <v>60100181246</v>
      </c>
      <c r="B1655" s="76" t="s">
        <v>6809</v>
      </c>
      <c r="C1655" s="65" t="s">
        <v>10932</v>
      </c>
      <c r="D1655" s="66">
        <v>41953</v>
      </c>
      <c r="E1655" s="65" t="s">
        <v>6809</v>
      </c>
      <c r="F1655" s="65" t="s">
        <v>6814</v>
      </c>
    </row>
    <row r="1656" spans="1:6" ht="14.25" customHeight="1" x14ac:dyDescent="0.2">
      <c r="A1656" s="65">
        <v>60100181249</v>
      </c>
      <c r="B1656" s="76" t="s">
        <v>6809</v>
      </c>
      <c r="C1656" s="65" t="s">
        <v>10933</v>
      </c>
      <c r="D1656" s="66">
        <v>41953</v>
      </c>
      <c r="E1656" s="65" t="s">
        <v>6809</v>
      </c>
      <c r="F1656" s="65" t="s">
        <v>6814</v>
      </c>
    </row>
    <row r="1657" spans="1:6" ht="14.25" customHeight="1" x14ac:dyDescent="0.2">
      <c r="A1657" s="65">
        <v>60100181253</v>
      </c>
      <c r="B1657" s="76" t="s">
        <v>6809</v>
      </c>
      <c r="C1657" s="65" t="s">
        <v>10934</v>
      </c>
      <c r="D1657" s="66">
        <v>41953</v>
      </c>
      <c r="E1657" s="65" t="s">
        <v>6809</v>
      </c>
      <c r="F1657" s="65" t="s">
        <v>6814</v>
      </c>
    </row>
    <row r="1658" spans="1:6" ht="14.25" customHeight="1" x14ac:dyDescent="0.2">
      <c r="A1658" s="65">
        <v>60100181257</v>
      </c>
      <c r="B1658" s="76" t="s">
        <v>6809</v>
      </c>
      <c r="C1658" s="65" t="s">
        <v>10935</v>
      </c>
      <c r="D1658" s="66">
        <v>41953</v>
      </c>
      <c r="E1658" s="65" t="s">
        <v>6809</v>
      </c>
      <c r="F1658" s="65" t="s">
        <v>6814</v>
      </c>
    </row>
    <row r="1659" spans="1:6" ht="14.25" customHeight="1" x14ac:dyDescent="0.2">
      <c r="A1659" s="65">
        <v>60100181259</v>
      </c>
      <c r="B1659" s="76" t="s">
        <v>6809</v>
      </c>
      <c r="C1659" s="65" t="s">
        <v>10936</v>
      </c>
      <c r="D1659" s="66">
        <v>41953</v>
      </c>
      <c r="E1659" s="65" t="s">
        <v>6809</v>
      </c>
      <c r="F1659" s="65" t="s">
        <v>6814</v>
      </c>
    </row>
    <row r="1660" spans="1:6" ht="14.25" customHeight="1" x14ac:dyDescent="0.2">
      <c r="A1660" s="65">
        <v>60100181262</v>
      </c>
      <c r="B1660" s="76" t="s">
        <v>6809</v>
      </c>
      <c r="C1660" s="65" t="s">
        <v>10937</v>
      </c>
      <c r="D1660" s="66">
        <v>41953</v>
      </c>
      <c r="E1660" s="65" t="s">
        <v>6809</v>
      </c>
      <c r="F1660" s="65" t="s">
        <v>6814</v>
      </c>
    </row>
    <row r="1661" spans="1:6" ht="14.25" customHeight="1" x14ac:dyDescent="0.2">
      <c r="A1661" s="65">
        <v>60100181264</v>
      </c>
      <c r="B1661" s="76" t="s">
        <v>6809</v>
      </c>
      <c r="C1661" s="65" t="s">
        <v>10938</v>
      </c>
      <c r="D1661" s="66">
        <v>41953</v>
      </c>
      <c r="E1661" s="65" t="s">
        <v>6809</v>
      </c>
      <c r="F1661" s="65" t="s">
        <v>6814</v>
      </c>
    </row>
    <row r="1662" spans="1:6" ht="14.25" customHeight="1" x14ac:dyDescent="0.2">
      <c r="A1662" s="65">
        <v>60100181265</v>
      </c>
      <c r="B1662" s="76" t="s">
        <v>6809</v>
      </c>
      <c r="C1662" s="65" t="s">
        <v>10939</v>
      </c>
      <c r="D1662" s="66">
        <v>41953</v>
      </c>
      <c r="E1662" s="65" t="s">
        <v>6809</v>
      </c>
      <c r="F1662" s="65" t="s">
        <v>6814</v>
      </c>
    </row>
    <row r="1663" spans="1:6" ht="14.25" customHeight="1" x14ac:dyDescent="0.2">
      <c r="A1663" s="65">
        <v>60100281120</v>
      </c>
      <c r="B1663" s="76" t="s">
        <v>6809</v>
      </c>
      <c r="C1663" s="65" t="s">
        <v>10940</v>
      </c>
      <c r="D1663" s="66">
        <v>41953</v>
      </c>
      <c r="E1663" s="65" t="s">
        <v>6809</v>
      </c>
      <c r="F1663" s="65" t="s">
        <v>6814</v>
      </c>
    </row>
    <row r="1664" spans="1:6" ht="14.25" customHeight="1" x14ac:dyDescent="0.2">
      <c r="A1664" s="65">
        <v>60100281130</v>
      </c>
      <c r="B1664" s="76" t="s">
        <v>6809</v>
      </c>
      <c r="C1664" s="65" t="s">
        <v>10941</v>
      </c>
      <c r="D1664" s="66">
        <v>41953</v>
      </c>
      <c r="E1664" s="65" t="s">
        <v>6809</v>
      </c>
      <c r="F1664" s="65" t="s">
        <v>6814</v>
      </c>
    </row>
    <row r="1665" spans="1:6" ht="14.25" customHeight="1" x14ac:dyDescent="0.2">
      <c r="A1665" s="65">
        <v>60100281143</v>
      </c>
      <c r="B1665" s="76" t="s">
        <v>6809</v>
      </c>
      <c r="C1665" s="65" t="s">
        <v>10942</v>
      </c>
      <c r="D1665" s="66">
        <v>41953</v>
      </c>
      <c r="E1665" s="65" t="s">
        <v>6809</v>
      </c>
      <c r="F1665" s="65" t="s">
        <v>6814</v>
      </c>
    </row>
    <row r="1666" spans="1:6" ht="14.25" customHeight="1" x14ac:dyDescent="0.2">
      <c r="A1666" s="65">
        <v>60100281146</v>
      </c>
      <c r="B1666" s="76" t="s">
        <v>6809</v>
      </c>
      <c r="C1666" s="65" t="s">
        <v>10943</v>
      </c>
      <c r="D1666" s="66">
        <v>41953</v>
      </c>
      <c r="E1666" s="65" t="s">
        <v>6809</v>
      </c>
      <c r="F1666" s="65" t="s">
        <v>6814</v>
      </c>
    </row>
    <row r="1667" spans="1:6" ht="14.25" customHeight="1" x14ac:dyDescent="0.2">
      <c r="A1667" s="65">
        <v>60100281150</v>
      </c>
      <c r="B1667" s="76" t="s">
        <v>6809</v>
      </c>
      <c r="C1667" s="65" t="s">
        <v>10944</v>
      </c>
      <c r="D1667" s="66">
        <v>41953</v>
      </c>
      <c r="E1667" s="65" t="s">
        <v>6809</v>
      </c>
      <c r="F1667" s="65" t="s">
        <v>6814</v>
      </c>
    </row>
    <row r="1668" spans="1:6" ht="14.25" customHeight="1" x14ac:dyDescent="0.2">
      <c r="A1668" s="65">
        <v>60100281152</v>
      </c>
      <c r="B1668" s="76" t="s">
        <v>6809</v>
      </c>
      <c r="C1668" s="65" t="s">
        <v>10945</v>
      </c>
      <c r="D1668" s="66">
        <v>41953</v>
      </c>
      <c r="E1668" s="65" t="s">
        <v>6809</v>
      </c>
      <c r="F1668" s="65" t="s">
        <v>6814</v>
      </c>
    </row>
    <row r="1669" spans="1:6" ht="14.25" customHeight="1" x14ac:dyDescent="0.2">
      <c r="A1669" s="65">
        <v>60680181039</v>
      </c>
      <c r="B1669" s="76" t="s">
        <v>6809</v>
      </c>
      <c r="C1669" s="65" t="s">
        <v>10946</v>
      </c>
      <c r="D1669" s="66">
        <v>41953</v>
      </c>
      <c r="E1669" s="65" t="s">
        <v>6809</v>
      </c>
      <c r="F1669" s="65" t="s">
        <v>6814</v>
      </c>
    </row>
    <row r="1670" spans="1:6" ht="14.25" customHeight="1" x14ac:dyDescent="0.2">
      <c r="A1670" s="65">
        <v>60680181040</v>
      </c>
      <c r="B1670" s="76" t="s">
        <v>6809</v>
      </c>
      <c r="C1670" s="65" t="s">
        <v>10947</v>
      </c>
      <c r="D1670" s="66">
        <v>41953</v>
      </c>
      <c r="E1670" s="65" t="s">
        <v>6809</v>
      </c>
      <c r="F1670" s="65" t="s">
        <v>6814</v>
      </c>
    </row>
    <row r="1671" spans="1:6" ht="14.25" customHeight="1" x14ac:dyDescent="0.2">
      <c r="A1671" s="65">
        <v>60680181041</v>
      </c>
      <c r="B1671" s="76" t="s">
        <v>6809</v>
      </c>
      <c r="C1671" s="65" t="s">
        <v>10948</v>
      </c>
      <c r="D1671" s="66">
        <v>41953</v>
      </c>
      <c r="E1671" s="65" t="s">
        <v>6809</v>
      </c>
      <c r="F1671" s="65" t="s">
        <v>6814</v>
      </c>
    </row>
    <row r="1672" spans="1:6" ht="14.25" customHeight="1" x14ac:dyDescent="0.2">
      <c r="A1672" s="65">
        <v>60680181049</v>
      </c>
      <c r="B1672" s="76" t="s">
        <v>6809</v>
      </c>
      <c r="C1672" s="65" t="s">
        <v>10949</v>
      </c>
      <c r="D1672" s="66">
        <v>41953</v>
      </c>
      <c r="E1672" s="65" t="s">
        <v>6809</v>
      </c>
      <c r="F1672" s="65" t="s">
        <v>6814</v>
      </c>
    </row>
    <row r="1673" spans="1:6" ht="14.25" customHeight="1" x14ac:dyDescent="0.2">
      <c r="A1673" s="65">
        <v>60680181053</v>
      </c>
      <c r="B1673" s="76" t="s">
        <v>6809</v>
      </c>
      <c r="C1673" s="65" t="s">
        <v>10950</v>
      </c>
      <c r="D1673" s="66">
        <v>41953</v>
      </c>
      <c r="E1673" s="65" t="s">
        <v>6809</v>
      </c>
      <c r="F1673" s="65" t="s">
        <v>6814</v>
      </c>
    </row>
    <row r="1674" spans="1:6" ht="14.25" customHeight="1" x14ac:dyDescent="0.2">
      <c r="A1674" s="65">
        <v>60680181054</v>
      </c>
      <c r="B1674" s="76" t="s">
        <v>6809</v>
      </c>
      <c r="C1674" s="65" t="s">
        <v>10951</v>
      </c>
      <c r="D1674" s="66">
        <v>41953</v>
      </c>
      <c r="E1674" s="65" t="s">
        <v>6809</v>
      </c>
      <c r="F1674" s="65" t="s">
        <v>6814</v>
      </c>
    </row>
    <row r="1675" spans="1:6" ht="14.25" customHeight="1" x14ac:dyDescent="0.2">
      <c r="A1675" s="65">
        <v>60680181055</v>
      </c>
      <c r="B1675" s="76" t="s">
        <v>6809</v>
      </c>
      <c r="C1675" s="65" t="s">
        <v>10952</v>
      </c>
      <c r="D1675" s="66">
        <v>41953</v>
      </c>
      <c r="E1675" s="65" t="s">
        <v>6809</v>
      </c>
      <c r="F1675" s="65" t="s">
        <v>6814</v>
      </c>
    </row>
    <row r="1676" spans="1:6" ht="14.25" customHeight="1" x14ac:dyDescent="0.2">
      <c r="A1676" s="65">
        <v>60680181056</v>
      </c>
      <c r="B1676" s="76" t="s">
        <v>6809</v>
      </c>
      <c r="C1676" s="65" t="s">
        <v>10953</v>
      </c>
      <c r="D1676" s="66">
        <v>41953</v>
      </c>
      <c r="E1676" s="65" t="s">
        <v>6809</v>
      </c>
      <c r="F1676" s="65" t="s">
        <v>6814</v>
      </c>
    </row>
    <row r="1677" spans="1:6" ht="14.25" customHeight="1" x14ac:dyDescent="0.2">
      <c r="A1677" s="65">
        <v>99800106006</v>
      </c>
      <c r="B1677" s="76" t="s">
        <v>6809</v>
      </c>
      <c r="C1677" s="65" t="s">
        <v>10954</v>
      </c>
      <c r="D1677" s="66">
        <v>41953</v>
      </c>
      <c r="E1677" s="65" t="s">
        <v>6809</v>
      </c>
      <c r="F1677" s="65" t="s">
        <v>6810</v>
      </c>
    </row>
    <row r="1678" spans="1:6" ht="14.25" customHeight="1" x14ac:dyDescent="0.2">
      <c r="A1678" s="65">
        <v>60100181256</v>
      </c>
      <c r="B1678" s="76" t="s">
        <v>6809</v>
      </c>
      <c r="C1678" s="65" t="s">
        <v>10955</v>
      </c>
      <c r="D1678" s="66">
        <v>41948</v>
      </c>
      <c r="E1678" s="65" t="s">
        <v>6809</v>
      </c>
      <c r="F1678" s="65" t="s">
        <v>6814</v>
      </c>
    </row>
    <row r="1679" spans="1:6" ht="14.25" customHeight="1" x14ac:dyDescent="0.2">
      <c r="A1679" s="65">
        <v>60680181065</v>
      </c>
      <c r="B1679" s="76" t="s">
        <v>6809</v>
      </c>
      <c r="C1679" s="65" t="s">
        <v>10956</v>
      </c>
      <c r="D1679" s="66">
        <v>41948</v>
      </c>
      <c r="E1679" s="65" t="s">
        <v>6809</v>
      </c>
      <c r="F1679" s="65" t="s">
        <v>6814</v>
      </c>
    </row>
    <row r="1680" spans="1:6" ht="14.25" customHeight="1" x14ac:dyDescent="0.2">
      <c r="A1680" s="65" t="s">
        <v>10957</v>
      </c>
      <c r="B1680" s="76" t="s">
        <v>10958</v>
      </c>
      <c r="C1680" s="65" t="s">
        <v>10959</v>
      </c>
      <c r="D1680" s="66">
        <v>41946</v>
      </c>
      <c r="E1680" s="65" t="s">
        <v>6809</v>
      </c>
      <c r="F1680" s="65" t="s">
        <v>10540</v>
      </c>
    </row>
    <row r="1681" spans="1:6" ht="14.25" customHeight="1" x14ac:dyDescent="0.2">
      <c r="A1681" s="65" t="s">
        <v>10960</v>
      </c>
      <c r="B1681" s="76" t="s">
        <v>10961</v>
      </c>
      <c r="C1681" s="65" t="s">
        <v>10962</v>
      </c>
      <c r="D1681" s="66">
        <v>41946</v>
      </c>
      <c r="E1681" s="65" t="s">
        <v>6809</v>
      </c>
      <c r="F1681" s="65" t="s">
        <v>10540</v>
      </c>
    </row>
    <row r="1682" spans="1:6" ht="14.25" customHeight="1" x14ac:dyDescent="0.2">
      <c r="A1682" s="65">
        <v>99120201014</v>
      </c>
      <c r="B1682" s="76" t="s">
        <v>6809</v>
      </c>
      <c r="C1682" s="65" t="s">
        <v>10963</v>
      </c>
      <c r="D1682" s="66">
        <v>41946</v>
      </c>
      <c r="E1682" s="65" t="s">
        <v>6809</v>
      </c>
      <c r="F1682" s="65" t="s">
        <v>6810</v>
      </c>
    </row>
    <row r="1683" spans="1:6" ht="14.25" customHeight="1" x14ac:dyDescent="0.2">
      <c r="A1683" s="65">
        <v>99120213013</v>
      </c>
      <c r="B1683" s="76" t="s">
        <v>6809</v>
      </c>
      <c r="C1683" s="65" t="s">
        <v>10964</v>
      </c>
      <c r="D1683" s="66">
        <v>41946</v>
      </c>
      <c r="E1683" s="65" t="s">
        <v>6809</v>
      </c>
      <c r="F1683" s="65" t="s">
        <v>6810</v>
      </c>
    </row>
    <row r="1684" spans="1:6" ht="14.25" customHeight="1" x14ac:dyDescent="0.2">
      <c r="A1684" s="65">
        <v>99239999056</v>
      </c>
      <c r="B1684" s="76" t="s">
        <v>6809</v>
      </c>
      <c r="C1684" s="65" t="s">
        <v>9844</v>
      </c>
      <c r="D1684" s="66">
        <v>41943</v>
      </c>
      <c r="E1684" s="65" t="s">
        <v>10150</v>
      </c>
      <c r="F1684" s="65" t="s">
        <v>6814</v>
      </c>
    </row>
    <row r="1685" spans="1:6" ht="14.25" customHeight="1" x14ac:dyDescent="0.2">
      <c r="A1685" s="65">
        <v>60041499030</v>
      </c>
      <c r="B1685" s="76" t="s">
        <v>6809</v>
      </c>
      <c r="C1685" s="65" t="s">
        <v>10965</v>
      </c>
      <c r="D1685" s="66">
        <v>41941</v>
      </c>
      <c r="E1685" s="65" t="s">
        <v>6809</v>
      </c>
      <c r="F1685" s="65" t="s">
        <v>6814</v>
      </c>
    </row>
    <row r="1686" spans="1:6" ht="14.25" customHeight="1" x14ac:dyDescent="0.2">
      <c r="A1686" s="65">
        <v>60100181193</v>
      </c>
      <c r="B1686" s="76" t="s">
        <v>6809</v>
      </c>
      <c r="C1686" s="65" t="s">
        <v>10966</v>
      </c>
      <c r="D1686" s="66">
        <v>41941</v>
      </c>
      <c r="E1686" s="65" t="s">
        <v>6809</v>
      </c>
      <c r="F1686" s="65" t="s">
        <v>6814</v>
      </c>
    </row>
    <row r="1687" spans="1:6" ht="14.25" customHeight="1" x14ac:dyDescent="0.2">
      <c r="A1687" s="65">
        <v>60100181271</v>
      </c>
      <c r="B1687" s="76" t="s">
        <v>6809</v>
      </c>
      <c r="C1687" s="65" t="s">
        <v>10967</v>
      </c>
      <c r="D1687" s="66">
        <v>41941</v>
      </c>
      <c r="E1687" s="65" t="s">
        <v>6809</v>
      </c>
      <c r="F1687" s="65" t="s">
        <v>6814</v>
      </c>
    </row>
    <row r="1688" spans="1:6" ht="14.25" customHeight="1" x14ac:dyDescent="0.2">
      <c r="A1688" s="65">
        <v>99239999047</v>
      </c>
      <c r="B1688" s="76" t="s">
        <v>6809</v>
      </c>
      <c r="C1688" s="65" t="s">
        <v>10968</v>
      </c>
      <c r="D1688" s="66">
        <v>41941</v>
      </c>
      <c r="E1688" s="65" t="s">
        <v>6809</v>
      </c>
      <c r="F1688" s="65" t="s">
        <v>6814</v>
      </c>
    </row>
    <row r="1689" spans="1:6" ht="14.25" customHeight="1" x14ac:dyDescent="0.2">
      <c r="A1689" s="65">
        <v>99800201011</v>
      </c>
      <c r="B1689" s="76" t="s">
        <v>6809</v>
      </c>
      <c r="C1689" s="65" t="s">
        <v>10969</v>
      </c>
      <c r="D1689" s="66">
        <v>41939</v>
      </c>
      <c r="E1689" s="65" t="s">
        <v>6809</v>
      </c>
      <c r="F1689" s="65" t="s">
        <v>6810</v>
      </c>
    </row>
    <row r="1690" spans="1:6" ht="14.25" customHeight="1" x14ac:dyDescent="0.2">
      <c r="A1690" s="65">
        <v>99800106001</v>
      </c>
      <c r="B1690" s="76" t="s">
        <v>6809</v>
      </c>
      <c r="C1690" s="65" t="s">
        <v>10970</v>
      </c>
      <c r="D1690" s="66">
        <v>41935</v>
      </c>
      <c r="E1690" s="65" t="s">
        <v>6809</v>
      </c>
      <c r="F1690" s="65" t="s">
        <v>6810</v>
      </c>
    </row>
    <row r="1691" spans="1:6" ht="14.25" customHeight="1" x14ac:dyDescent="0.2">
      <c r="A1691" s="65">
        <v>99810201008</v>
      </c>
      <c r="B1691" s="76" t="s">
        <v>6809</v>
      </c>
      <c r="C1691" s="65" t="s">
        <v>10971</v>
      </c>
      <c r="D1691" s="66">
        <v>41935</v>
      </c>
      <c r="E1691" s="65" t="s">
        <v>6809</v>
      </c>
      <c r="F1691" s="65" t="s">
        <v>6810</v>
      </c>
    </row>
    <row r="1692" spans="1:6" ht="14.25" customHeight="1" x14ac:dyDescent="0.2">
      <c r="A1692" s="65" t="s">
        <v>10972</v>
      </c>
      <c r="B1692" s="76" t="s">
        <v>10973</v>
      </c>
      <c r="C1692" s="65" t="s">
        <v>10974</v>
      </c>
      <c r="D1692" s="66">
        <v>41935</v>
      </c>
      <c r="E1692" s="65" t="s">
        <v>6809</v>
      </c>
      <c r="F1692" s="65" t="s">
        <v>6814</v>
      </c>
    </row>
    <row r="1693" spans="1:6" ht="14.25" customHeight="1" x14ac:dyDescent="0.2">
      <c r="A1693" s="65">
        <v>60100181267</v>
      </c>
      <c r="B1693" s="76" t="s">
        <v>6809</v>
      </c>
      <c r="C1693" s="65" t="s">
        <v>10975</v>
      </c>
      <c r="D1693" s="66">
        <v>41931</v>
      </c>
      <c r="E1693" s="65" t="s">
        <v>6809</v>
      </c>
      <c r="F1693" s="65" t="s">
        <v>6814</v>
      </c>
    </row>
    <row r="1694" spans="1:6" ht="14.25" customHeight="1" x14ac:dyDescent="0.2">
      <c r="A1694" s="65">
        <v>60100281147</v>
      </c>
      <c r="B1694" s="76" t="s">
        <v>6809</v>
      </c>
      <c r="C1694" s="65" t="s">
        <v>10976</v>
      </c>
      <c r="D1694" s="66">
        <v>41931</v>
      </c>
      <c r="E1694" s="65" t="s">
        <v>6809</v>
      </c>
      <c r="F1694" s="65" t="s">
        <v>6814</v>
      </c>
    </row>
    <row r="1695" spans="1:6" ht="14.25" customHeight="1" x14ac:dyDescent="0.2">
      <c r="A1695" s="65">
        <v>60040112003</v>
      </c>
      <c r="B1695" s="76" t="s">
        <v>6809</v>
      </c>
      <c r="C1695" s="65" t="s">
        <v>10977</v>
      </c>
      <c r="D1695" s="66">
        <v>41928</v>
      </c>
      <c r="E1695" s="65" t="s">
        <v>6809</v>
      </c>
      <c r="F1695" s="65" t="s">
        <v>6810</v>
      </c>
    </row>
    <row r="1696" spans="1:6" ht="14.25" customHeight="1" x14ac:dyDescent="0.2">
      <c r="A1696" s="65">
        <v>99120101109</v>
      </c>
      <c r="B1696" s="76" t="s">
        <v>6809</v>
      </c>
      <c r="C1696" s="65" t="s">
        <v>10906</v>
      </c>
      <c r="D1696" s="66">
        <v>41928</v>
      </c>
      <c r="E1696" s="65" t="s">
        <v>6809</v>
      </c>
      <c r="F1696" s="65" t="s">
        <v>6814</v>
      </c>
    </row>
    <row r="1697" spans="1:6" ht="14.25" customHeight="1" x14ac:dyDescent="0.2">
      <c r="A1697" s="65">
        <v>99121462002</v>
      </c>
      <c r="B1697" s="76" t="s">
        <v>6809</v>
      </c>
      <c r="C1697" s="65" t="s">
        <v>10978</v>
      </c>
      <c r="D1697" s="66">
        <v>41928</v>
      </c>
      <c r="E1697" s="65" t="s">
        <v>6809</v>
      </c>
      <c r="F1697" s="65" t="s">
        <v>6810</v>
      </c>
    </row>
    <row r="1698" spans="1:6" ht="14.25" customHeight="1" x14ac:dyDescent="0.2">
      <c r="A1698" s="65" t="s">
        <v>10979</v>
      </c>
      <c r="B1698" s="76" t="s">
        <v>6809</v>
      </c>
      <c r="C1698" s="65" t="s">
        <v>10980</v>
      </c>
      <c r="D1698" s="66">
        <v>41920</v>
      </c>
      <c r="E1698" s="65" t="s">
        <v>6809</v>
      </c>
      <c r="F1698" s="65" t="s">
        <v>10540</v>
      </c>
    </row>
    <row r="1699" spans="1:6" ht="14.25" customHeight="1" x14ac:dyDescent="0.2">
      <c r="A1699" s="65" t="s">
        <v>10981</v>
      </c>
      <c r="B1699" s="76" t="s">
        <v>2115</v>
      </c>
      <c r="C1699" s="65" t="s">
        <v>10982</v>
      </c>
      <c r="D1699" s="66">
        <v>41920</v>
      </c>
      <c r="E1699" s="65" t="s">
        <v>6809</v>
      </c>
      <c r="F1699" s="65" t="s">
        <v>10540</v>
      </c>
    </row>
    <row r="1700" spans="1:6" ht="14.25" customHeight="1" x14ac:dyDescent="0.2">
      <c r="A1700" s="65">
        <v>99800201010</v>
      </c>
      <c r="B1700" s="76" t="s">
        <v>6809</v>
      </c>
      <c r="C1700" s="65" t="s">
        <v>10983</v>
      </c>
      <c r="D1700" s="66">
        <v>41915</v>
      </c>
      <c r="E1700" s="65" t="s">
        <v>6809</v>
      </c>
      <c r="F1700" s="65" t="s">
        <v>6810</v>
      </c>
    </row>
    <row r="1701" spans="1:6" ht="14.25" customHeight="1" x14ac:dyDescent="0.2">
      <c r="A1701" s="65">
        <v>60100181224</v>
      </c>
      <c r="B1701" s="76" t="s">
        <v>6809</v>
      </c>
      <c r="C1701" s="65" t="s">
        <v>2002</v>
      </c>
      <c r="D1701" s="66">
        <v>41914</v>
      </c>
      <c r="E1701" s="65" t="s">
        <v>6809</v>
      </c>
      <c r="F1701" s="65" t="s">
        <v>6814</v>
      </c>
    </row>
    <row r="1702" spans="1:6" ht="14.25" customHeight="1" x14ac:dyDescent="0.2">
      <c r="A1702" s="65">
        <v>60100181233</v>
      </c>
      <c r="B1702" s="76" t="s">
        <v>6809</v>
      </c>
      <c r="C1702" s="65" t="s">
        <v>10984</v>
      </c>
      <c r="D1702" s="66">
        <v>41914</v>
      </c>
      <c r="E1702" s="65" t="s">
        <v>6809</v>
      </c>
      <c r="F1702" s="65" t="s">
        <v>6814</v>
      </c>
    </row>
    <row r="1703" spans="1:6" ht="14.25" customHeight="1" x14ac:dyDescent="0.2">
      <c r="A1703" s="65">
        <v>99220199044</v>
      </c>
      <c r="B1703" s="76" t="s">
        <v>6809</v>
      </c>
      <c r="C1703" s="65" t="s">
        <v>10985</v>
      </c>
      <c r="D1703" s="66">
        <v>41914</v>
      </c>
      <c r="E1703" s="65" t="s">
        <v>6809</v>
      </c>
      <c r="F1703" s="65" t="s">
        <v>10540</v>
      </c>
    </row>
    <row r="1704" spans="1:6" ht="14.25" customHeight="1" x14ac:dyDescent="0.2">
      <c r="A1704" s="65">
        <v>60041499031</v>
      </c>
      <c r="B1704" s="76" t="s">
        <v>6809</v>
      </c>
      <c r="C1704" s="65" t="s">
        <v>10986</v>
      </c>
      <c r="D1704" s="66">
        <v>41913</v>
      </c>
      <c r="E1704" s="65" t="s">
        <v>6809</v>
      </c>
      <c r="F1704" s="65" t="s">
        <v>6814</v>
      </c>
    </row>
    <row r="1705" spans="1:6" ht="14.25" customHeight="1" x14ac:dyDescent="0.2">
      <c r="A1705" s="65">
        <v>99121465003</v>
      </c>
      <c r="B1705" s="76" t="s">
        <v>6809</v>
      </c>
      <c r="C1705" s="65" t="s">
        <v>10987</v>
      </c>
      <c r="D1705" s="66">
        <v>41913</v>
      </c>
      <c r="E1705" s="65" t="s">
        <v>6809</v>
      </c>
      <c r="F1705" s="65" t="s">
        <v>6810</v>
      </c>
    </row>
    <row r="1706" spans="1:6" ht="14.25" customHeight="1" x14ac:dyDescent="0.2">
      <c r="A1706" s="65">
        <v>60010699002</v>
      </c>
      <c r="B1706" s="76" t="s">
        <v>6809</v>
      </c>
      <c r="C1706" s="65" t="s">
        <v>10988</v>
      </c>
      <c r="D1706" s="66">
        <v>41912</v>
      </c>
      <c r="E1706" s="65" t="s">
        <v>6809</v>
      </c>
      <c r="F1706" s="65" t="s">
        <v>10540</v>
      </c>
    </row>
    <row r="1707" spans="1:6" ht="14.25" customHeight="1" x14ac:dyDescent="0.2">
      <c r="A1707" s="65">
        <v>60040281017</v>
      </c>
      <c r="B1707" s="76" t="s">
        <v>6809</v>
      </c>
      <c r="C1707" s="65" t="s">
        <v>10989</v>
      </c>
      <c r="D1707" s="66">
        <v>41907</v>
      </c>
      <c r="E1707" s="65" t="s">
        <v>6809</v>
      </c>
      <c r="F1707" s="65" t="s">
        <v>6814</v>
      </c>
    </row>
    <row r="1708" spans="1:6" ht="14.25" customHeight="1" x14ac:dyDescent="0.2">
      <c r="A1708" s="65">
        <v>60220207003</v>
      </c>
      <c r="B1708" s="76" t="s">
        <v>6809</v>
      </c>
      <c r="C1708" s="65" t="s">
        <v>10990</v>
      </c>
      <c r="D1708" s="66">
        <v>41906</v>
      </c>
      <c r="E1708" s="65" t="s">
        <v>6809</v>
      </c>
      <c r="F1708" s="65" t="s">
        <v>10540</v>
      </c>
    </row>
    <row r="1709" spans="1:6" ht="14.25" customHeight="1" x14ac:dyDescent="0.2">
      <c r="A1709" s="65">
        <v>99120101114</v>
      </c>
      <c r="B1709" s="76" t="s">
        <v>6809</v>
      </c>
      <c r="C1709" s="65" t="s">
        <v>10991</v>
      </c>
      <c r="D1709" s="66">
        <v>41906</v>
      </c>
      <c r="E1709" s="65" t="s">
        <v>6809</v>
      </c>
      <c r="F1709" s="65" t="s">
        <v>6814</v>
      </c>
    </row>
    <row r="1710" spans="1:6" ht="14.25" customHeight="1" x14ac:dyDescent="0.2">
      <c r="A1710" s="65">
        <v>99120107004</v>
      </c>
      <c r="B1710" s="76" t="s">
        <v>6809</v>
      </c>
      <c r="C1710" s="65" t="s">
        <v>10992</v>
      </c>
      <c r="D1710" s="66">
        <v>41906</v>
      </c>
      <c r="E1710" s="65" t="s">
        <v>6809</v>
      </c>
      <c r="F1710" s="65" t="s">
        <v>6814</v>
      </c>
    </row>
    <row r="1711" spans="1:6" ht="14.25" customHeight="1" x14ac:dyDescent="0.2">
      <c r="A1711" s="65">
        <v>60049999106</v>
      </c>
      <c r="B1711" s="76" t="s">
        <v>6809</v>
      </c>
      <c r="C1711" s="65" t="s">
        <v>8523</v>
      </c>
      <c r="D1711" s="66">
        <v>41904</v>
      </c>
      <c r="E1711" s="65" t="s">
        <v>10150</v>
      </c>
      <c r="F1711" s="65" t="s">
        <v>10540</v>
      </c>
    </row>
    <row r="1712" spans="1:6" ht="14.25" customHeight="1" x14ac:dyDescent="0.2">
      <c r="A1712" s="65">
        <v>60040181080</v>
      </c>
      <c r="B1712" s="76" t="s">
        <v>6809</v>
      </c>
      <c r="C1712" s="65" t="s">
        <v>10993</v>
      </c>
      <c r="D1712" s="66">
        <v>41899</v>
      </c>
      <c r="E1712" s="68" t="s">
        <v>6809</v>
      </c>
      <c r="F1712" s="69" t="s">
        <v>6814</v>
      </c>
    </row>
    <row r="1713" spans="1:6" ht="14.25" customHeight="1" x14ac:dyDescent="0.2">
      <c r="A1713" s="65">
        <v>60040181095</v>
      </c>
      <c r="B1713" s="76" t="s">
        <v>6809</v>
      </c>
      <c r="C1713" s="65" t="s">
        <v>10994</v>
      </c>
      <c r="D1713" s="66">
        <v>41899</v>
      </c>
      <c r="E1713" s="68" t="s">
        <v>6809</v>
      </c>
      <c r="F1713" s="69" t="s">
        <v>6814</v>
      </c>
    </row>
    <row r="1714" spans="1:6" ht="14.25" customHeight="1" x14ac:dyDescent="0.2">
      <c r="A1714" s="65">
        <v>60040281018</v>
      </c>
      <c r="B1714" s="76" t="s">
        <v>6809</v>
      </c>
      <c r="C1714" s="65" t="s">
        <v>10712</v>
      </c>
      <c r="D1714" s="66">
        <v>41899</v>
      </c>
      <c r="E1714" s="68" t="s">
        <v>6809</v>
      </c>
      <c r="F1714" s="69" t="s">
        <v>6814</v>
      </c>
    </row>
    <row r="1715" spans="1:6" ht="14.25" customHeight="1" x14ac:dyDescent="0.2">
      <c r="A1715" s="65">
        <v>99811499002</v>
      </c>
      <c r="B1715" s="76" t="s">
        <v>6809</v>
      </c>
      <c r="C1715" s="65" t="s">
        <v>10995</v>
      </c>
      <c r="D1715" s="66">
        <v>41892</v>
      </c>
      <c r="E1715" s="68" t="s">
        <v>6809</v>
      </c>
      <c r="F1715" s="69" t="s">
        <v>6810</v>
      </c>
    </row>
    <row r="1716" spans="1:6" ht="14.25" customHeight="1" x14ac:dyDescent="0.2">
      <c r="A1716" s="65" t="s">
        <v>10996</v>
      </c>
      <c r="B1716" s="76" t="s">
        <v>10997</v>
      </c>
      <c r="C1716" s="65" t="s">
        <v>10998</v>
      </c>
      <c r="D1716" s="66">
        <v>41886</v>
      </c>
      <c r="E1716" s="68" t="s">
        <v>10123</v>
      </c>
      <c r="F1716" s="69" t="s">
        <v>6814</v>
      </c>
    </row>
    <row r="1717" spans="1:6" ht="14.25" customHeight="1" x14ac:dyDescent="0.2">
      <c r="A1717" s="65">
        <v>60030112002</v>
      </c>
      <c r="B1717" s="76" t="s">
        <v>6809</v>
      </c>
      <c r="C1717" s="65" t="s">
        <v>10999</v>
      </c>
      <c r="D1717" s="66">
        <v>41886</v>
      </c>
      <c r="E1717" s="68" t="s">
        <v>10123</v>
      </c>
      <c r="F1717" s="69" t="s">
        <v>6814</v>
      </c>
    </row>
    <row r="1718" spans="1:6" ht="14.25" customHeight="1" x14ac:dyDescent="0.2">
      <c r="A1718" s="65">
        <v>60220101001</v>
      </c>
      <c r="B1718" s="76" t="s">
        <v>6809</v>
      </c>
      <c r="C1718" s="65" t="s">
        <v>11000</v>
      </c>
      <c r="D1718" s="66">
        <v>41886</v>
      </c>
      <c r="E1718" s="68" t="s">
        <v>6809</v>
      </c>
      <c r="F1718" s="69" t="s">
        <v>10540</v>
      </c>
    </row>
    <row r="1719" spans="1:6" ht="14.25" customHeight="1" x14ac:dyDescent="0.2">
      <c r="A1719" s="65">
        <v>60220107001</v>
      </c>
      <c r="B1719" s="76" t="s">
        <v>6809</v>
      </c>
      <c r="C1719" s="65" t="s">
        <v>11001</v>
      </c>
      <c r="D1719" s="66">
        <v>41886</v>
      </c>
      <c r="E1719" s="68" t="s">
        <v>6809</v>
      </c>
      <c r="F1719" s="69" t="s">
        <v>10540</v>
      </c>
    </row>
    <row r="1720" spans="1:6" ht="14.25" customHeight="1" x14ac:dyDescent="0.2">
      <c r="A1720" s="65">
        <v>99070209002</v>
      </c>
      <c r="B1720" s="76" t="s">
        <v>6809</v>
      </c>
      <c r="C1720" s="65" t="s">
        <v>11002</v>
      </c>
      <c r="D1720" s="66">
        <v>41886</v>
      </c>
      <c r="E1720" s="68" t="s">
        <v>6809</v>
      </c>
      <c r="F1720" s="69" t="s">
        <v>6810</v>
      </c>
    </row>
    <row r="1721" spans="1:6" ht="14.25" customHeight="1" x14ac:dyDescent="0.2">
      <c r="A1721" s="65">
        <v>99120112017</v>
      </c>
      <c r="B1721" s="76" t="s">
        <v>6809</v>
      </c>
      <c r="C1721" s="65" t="s">
        <v>11003</v>
      </c>
      <c r="D1721" s="66">
        <v>41886</v>
      </c>
      <c r="E1721" s="68" t="s">
        <v>6809</v>
      </c>
      <c r="F1721" s="69" t="s">
        <v>6814</v>
      </c>
    </row>
    <row r="1722" spans="1:6" ht="14.25" customHeight="1" x14ac:dyDescent="0.2">
      <c r="A1722" s="65">
        <v>99800102017</v>
      </c>
      <c r="B1722" s="76" t="s">
        <v>6809</v>
      </c>
      <c r="C1722" s="65" t="s">
        <v>9992</v>
      </c>
      <c r="D1722" s="66">
        <v>41886</v>
      </c>
      <c r="E1722" s="68" t="s">
        <v>6809</v>
      </c>
      <c r="F1722" s="69" t="s">
        <v>6810</v>
      </c>
    </row>
    <row r="1723" spans="1:6" ht="14.25" customHeight="1" x14ac:dyDescent="0.2">
      <c r="A1723" s="65">
        <v>99800104026</v>
      </c>
      <c r="B1723" s="76" t="s">
        <v>6809</v>
      </c>
      <c r="C1723" s="65" t="s">
        <v>9924</v>
      </c>
      <c r="D1723" s="66">
        <v>41886</v>
      </c>
      <c r="E1723" s="68" t="s">
        <v>6809</v>
      </c>
      <c r="F1723" s="69" t="s">
        <v>6810</v>
      </c>
    </row>
    <row r="1724" spans="1:6" ht="14.25" customHeight="1" x14ac:dyDescent="0.2">
      <c r="A1724" s="65">
        <v>99810110004</v>
      </c>
      <c r="B1724" s="76" t="s">
        <v>6809</v>
      </c>
      <c r="C1724" s="65" t="s">
        <v>10337</v>
      </c>
      <c r="D1724" s="66">
        <v>41886</v>
      </c>
      <c r="E1724" s="68" t="s">
        <v>6809</v>
      </c>
      <c r="F1724" s="69" t="s">
        <v>6810</v>
      </c>
    </row>
    <row r="1725" spans="1:6" ht="14.25" customHeight="1" x14ac:dyDescent="0.2">
      <c r="A1725" s="65">
        <v>60100181258</v>
      </c>
      <c r="B1725" s="76" t="s">
        <v>6809</v>
      </c>
      <c r="C1725" s="65" t="s">
        <v>11004</v>
      </c>
      <c r="D1725" s="66">
        <v>41885</v>
      </c>
      <c r="E1725" s="68" t="s">
        <v>6809</v>
      </c>
      <c r="F1725" s="69" t="s">
        <v>6814</v>
      </c>
    </row>
    <row r="1726" spans="1:6" ht="14.25" customHeight="1" x14ac:dyDescent="0.2">
      <c r="A1726" s="65">
        <v>60100281136</v>
      </c>
      <c r="B1726" s="76" t="s">
        <v>6809</v>
      </c>
      <c r="C1726" s="65" t="s">
        <v>11005</v>
      </c>
      <c r="D1726" s="66">
        <v>41885</v>
      </c>
      <c r="E1726" s="68" t="s">
        <v>6809</v>
      </c>
      <c r="F1726" s="69" t="s">
        <v>6814</v>
      </c>
    </row>
    <row r="1727" spans="1:6" ht="14.25" customHeight="1" x14ac:dyDescent="0.2">
      <c r="A1727" s="65" t="s">
        <v>11006</v>
      </c>
      <c r="B1727" s="76" t="s">
        <v>11007</v>
      </c>
      <c r="C1727" s="65" t="s">
        <v>11008</v>
      </c>
      <c r="D1727" s="66">
        <v>41883</v>
      </c>
      <c r="E1727" s="68" t="s">
        <v>6809</v>
      </c>
      <c r="F1727" s="69" t="s">
        <v>6814</v>
      </c>
    </row>
    <row r="1728" spans="1:6" ht="14.25" customHeight="1" x14ac:dyDescent="0.2">
      <c r="A1728" s="65" t="s">
        <v>10320</v>
      </c>
      <c r="B1728" s="76" t="s">
        <v>9035</v>
      </c>
      <c r="C1728" s="65" t="s">
        <v>9036</v>
      </c>
      <c r="D1728" s="66">
        <v>41873</v>
      </c>
      <c r="E1728" s="68" t="s">
        <v>6809</v>
      </c>
      <c r="F1728" s="69" t="s">
        <v>10192</v>
      </c>
    </row>
    <row r="1729" spans="1:6" ht="14.25" customHeight="1" x14ac:dyDescent="0.2">
      <c r="A1729" s="65">
        <v>99121464010</v>
      </c>
      <c r="B1729" s="76" t="s">
        <v>6809</v>
      </c>
      <c r="C1729" s="65" t="s">
        <v>11009</v>
      </c>
      <c r="D1729" s="66">
        <v>41872</v>
      </c>
      <c r="E1729" s="68" t="s">
        <v>6809</v>
      </c>
      <c r="F1729" s="69" t="s">
        <v>6810</v>
      </c>
    </row>
    <row r="1730" spans="1:6" ht="14.25" customHeight="1" x14ac:dyDescent="0.2">
      <c r="A1730" s="65">
        <v>60100181211</v>
      </c>
      <c r="B1730" s="76" t="s">
        <v>6809</v>
      </c>
      <c r="C1730" s="65" t="s">
        <v>7567</v>
      </c>
      <c r="D1730" s="66">
        <v>41869</v>
      </c>
      <c r="E1730" s="68" t="s">
        <v>6809</v>
      </c>
      <c r="F1730" s="69" t="s">
        <v>6814</v>
      </c>
    </row>
    <row r="1731" spans="1:6" ht="14.25" customHeight="1" x14ac:dyDescent="0.2">
      <c r="A1731" s="65">
        <v>99811464019</v>
      </c>
      <c r="B1731" s="76" t="s">
        <v>6809</v>
      </c>
      <c r="C1731" s="65" t="s">
        <v>11010</v>
      </c>
      <c r="D1731" s="66">
        <v>41866</v>
      </c>
      <c r="E1731" s="68" t="s">
        <v>6809</v>
      </c>
      <c r="F1731" s="69" t="s">
        <v>6810</v>
      </c>
    </row>
    <row r="1732" spans="1:6" ht="14.25" customHeight="1" x14ac:dyDescent="0.2">
      <c r="A1732" s="65">
        <v>99120199014</v>
      </c>
      <c r="B1732" s="76" t="s">
        <v>6809</v>
      </c>
      <c r="C1732" s="65" t="s">
        <v>11011</v>
      </c>
      <c r="D1732" s="66">
        <v>41863</v>
      </c>
      <c r="E1732" s="68" t="s">
        <v>6809</v>
      </c>
      <c r="F1732" s="69" t="s">
        <v>6810</v>
      </c>
    </row>
    <row r="1733" spans="1:6" ht="14.25" customHeight="1" x14ac:dyDescent="0.2">
      <c r="A1733" s="65" t="s">
        <v>11012</v>
      </c>
      <c r="B1733" s="76" t="s">
        <v>11013</v>
      </c>
      <c r="C1733" s="65" t="s">
        <v>11014</v>
      </c>
      <c r="D1733" s="66">
        <v>41862</v>
      </c>
      <c r="E1733" s="68" t="s">
        <v>10123</v>
      </c>
      <c r="F1733" s="69" t="s">
        <v>11015</v>
      </c>
    </row>
    <row r="1734" spans="1:6" ht="14.25" customHeight="1" x14ac:dyDescent="0.2">
      <c r="A1734" s="65">
        <v>60030107002</v>
      </c>
      <c r="B1734" s="76" t="s">
        <v>6809</v>
      </c>
      <c r="C1734" s="65" t="s">
        <v>11016</v>
      </c>
      <c r="D1734" s="66">
        <v>41862</v>
      </c>
      <c r="E1734" s="68" t="s">
        <v>10123</v>
      </c>
      <c r="F1734" s="69" t="s">
        <v>11017</v>
      </c>
    </row>
    <row r="1735" spans="1:6" ht="14.25" customHeight="1" x14ac:dyDescent="0.2">
      <c r="A1735" s="65">
        <v>99120107001</v>
      </c>
      <c r="B1735" s="76" t="s">
        <v>6809</v>
      </c>
      <c r="C1735" s="65" t="s">
        <v>11018</v>
      </c>
      <c r="D1735" s="66">
        <v>41862</v>
      </c>
      <c r="E1735" s="68" t="s">
        <v>10560</v>
      </c>
      <c r="F1735" s="69" t="s">
        <v>11019</v>
      </c>
    </row>
    <row r="1736" spans="1:6" ht="14.25" customHeight="1" x14ac:dyDescent="0.2">
      <c r="A1736" s="65">
        <v>99120107002</v>
      </c>
      <c r="B1736" s="76" t="s">
        <v>6809</v>
      </c>
      <c r="C1736" s="65" t="s">
        <v>1901</v>
      </c>
      <c r="D1736" s="66">
        <v>41862</v>
      </c>
      <c r="E1736" s="68" t="s">
        <v>10560</v>
      </c>
      <c r="F1736" s="69" t="s">
        <v>11020</v>
      </c>
    </row>
    <row r="1737" spans="1:6" ht="14.25" customHeight="1" x14ac:dyDescent="0.2">
      <c r="A1737" s="65">
        <v>99120107003</v>
      </c>
      <c r="B1737" s="76" t="s">
        <v>6809</v>
      </c>
      <c r="C1737" s="65" t="s">
        <v>11021</v>
      </c>
      <c r="D1737" s="66">
        <v>41862</v>
      </c>
      <c r="E1737" s="68" t="s">
        <v>10123</v>
      </c>
      <c r="F1737" s="69" t="s">
        <v>11022</v>
      </c>
    </row>
    <row r="1738" spans="1:6" ht="14.25" customHeight="1" x14ac:dyDescent="0.2">
      <c r="A1738" s="65">
        <v>60100281154</v>
      </c>
      <c r="B1738" s="76" t="s">
        <v>6809</v>
      </c>
      <c r="C1738" s="65" t="s">
        <v>11023</v>
      </c>
      <c r="D1738" s="66">
        <v>41858</v>
      </c>
      <c r="E1738" s="68" t="s">
        <v>6809</v>
      </c>
      <c r="F1738" s="69" t="s">
        <v>6814</v>
      </c>
    </row>
    <row r="1739" spans="1:6" ht="14.25" customHeight="1" x14ac:dyDescent="0.2">
      <c r="A1739" s="65">
        <v>99811464021</v>
      </c>
      <c r="B1739" s="76" t="s">
        <v>6809</v>
      </c>
      <c r="C1739" s="65" t="s">
        <v>11024</v>
      </c>
      <c r="D1739" s="66">
        <v>41858</v>
      </c>
      <c r="E1739" s="68" t="s">
        <v>6809</v>
      </c>
      <c r="F1739" s="69" t="s">
        <v>6810</v>
      </c>
    </row>
    <row r="1740" spans="1:6" ht="14.25" customHeight="1" x14ac:dyDescent="0.2">
      <c r="A1740" s="65">
        <v>60100181255</v>
      </c>
      <c r="B1740" s="76" t="s">
        <v>6809</v>
      </c>
      <c r="C1740" s="65" t="s">
        <v>11025</v>
      </c>
      <c r="D1740" s="66">
        <v>41852</v>
      </c>
      <c r="E1740" s="68" t="s">
        <v>6809</v>
      </c>
      <c r="F1740" s="69" t="s">
        <v>6814</v>
      </c>
    </row>
    <row r="1741" spans="1:6" ht="14.25" customHeight="1" x14ac:dyDescent="0.2">
      <c r="A1741" s="65">
        <v>60100281155</v>
      </c>
      <c r="B1741" s="76" t="s">
        <v>6809</v>
      </c>
      <c r="C1741" s="65" t="s">
        <v>11026</v>
      </c>
      <c r="D1741" s="66">
        <v>41852</v>
      </c>
      <c r="E1741" s="68" t="s">
        <v>6809</v>
      </c>
      <c r="F1741" s="69" t="s">
        <v>6814</v>
      </c>
    </row>
    <row r="1742" spans="1:6" ht="14.25" customHeight="1" x14ac:dyDescent="0.2">
      <c r="A1742" s="65" t="s">
        <v>10785</v>
      </c>
      <c r="B1742" s="76" t="s">
        <v>10786</v>
      </c>
      <c r="C1742" s="65" t="s">
        <v>10787</v>
      </c>
      <c r="D1742" s="66">
        <v>41850</v>
      </c>
      <c r="E1742" s="68" t="s">
        <v>6809</v>
      </c>
      <c r="F1742" s="69" t="s">
        <v>6814</v>
      </c>
    </row>
    <row r="1743" spans="1:6" ht="14.25" customHeight="1" x14ac:dyDescent="0.2">
      <c r="A1743" s="65" t="s">
        <v>11027</v>
      </c>
      <c r="B1743" s="76" t="s">
        <v>11028</v>
      </c>
      <c r="C1743" s="65" t="s">
        <v>11029</v>
      </c>
      <c r="D1743" s="66">
        <v>41843</v>
      </c>
      <c r="E1743" s="68" t="s">
        <v>10123</v>
      </c>
      <c r="F1743" s="69" t="s">
        <v>10540</v>
      </c>
    </row>
    <row r="1744" spans="1:6" ht="14.25" customHeight="1" x14ac:dyDescent="0.2">
      <c r="A1744" s="65">
        <v>60030101011</v>
      </c>
      <c r="B1744" s="76" t="s">
        <v>6809</v>
      </c>
      <c r="C1744" s="65" t="s">
        <v>11030</v>
      </c>
      <c r="D1744" s="66">
        <v>41843</v>
      </c>
      <c r="E1744" s="68" t="s">
        <v>10123</v>
      </c>
      <c r="F1744" s="69" t="s">
        <v>10540</v>
      </c>
    </row>
    <row r="1745" spans="1:6" ht="14.25" customHeight="1" x14ac:dyDescent="0.2">
      <c r="A1745" s="65">
        <v>99120105056</v>
      </c>
      <c r="B1745" s="76" t="s">
        <v>6809</v>
      </c>
      <c r="C1745" s="65" t="s">
        <v>9045</v>
      </c>
      <c r="D1745" s="66">
        <v>41843</v>
      </c>
      <c r="E1745" s="68" t="s">
        <v>6809</v>
      </c>
      <c r="F1745" s="69" t="s">
        <v>6814</v>
      </c>
    </row>
    <row r="1746" spans="1:6" ht="14.25" customHeight="1" x14ac:dyDescent="0.2">
      <c r="A1746" s="70">
        <v>60010199009</v>
      </c>
      <c r="B1746" s="76" t="s">
        <v>6809</v>
      </c>
      <c r="C1746" s="70" t="s">
        <v>11031</v>
      </c>
      <c r="D1746" s="71">
        <v>41841</v>
      </c>
      <c r="E1746" s="68" t="s">
        <v>6809</v>
      </c>
      <c r="F1746" s="69" t="s">
        <v>10540</v>
      </c>
    </row>
    <row r="1747" spans="1:6" ht="14.25" customHeight="1" x14ac:dyDescent="0.2">
      <c r="A1747" s="70">
        <v>99120101080</v>
      </c>
      <c r="B1747" s="76" t="s">
        <v>6809</v>
      </c>
      <c r="C1747" s="70" t="s">
        <v>11032</v>
      </c>
      <c r="D1747" s="71">
        <v>41841</v>
      </c>
      <c r="E1747" s="68" t="s">
        <v>6809</v>
      </c>
      <c r="F1747" s="69" t="s">
        <v>6814</v>
      </c>
    </row>
    <row r="1748" spans="1:6" ht="14.25" customHeight="1" x14ac:dyDescent="0.2">
      <c r="A1748" s="70">
        <v>99120105044</v>
      </c>
      <c r="B1748" s="76" t="s">
        <v>6809</v>
      </c>
      <c r="C1748" s="70" t="s">
        <v>11033</v>
      </c>
      <c r="D1748" s="71">
        <v>41841</v>
      </c>
      <c r="E1748" s="68" t="s">
        <v>6809</v>
      </c>
      <c r="F1748" s="69" t="s">
        <v>6810</v>
      </c>
    </row>
    <row r="1749" spans="1:6" ht="14.25" customHeight="1" x14ac:dyDescent="0.2">
      <c r="A1749" s="70">
        <v>99120205014</v>
      </c>
      <c r="B1749" s="76" t="s">
        <v>6809</v>
      </c>
      <c r="C1749" s="70" t="s">
        <v>11034</v>
      </c>
      <c r="D1749" s="71">
        <v>41841</v>
      </c>
      <c r="E1749" s="68" t="s">
        <v>6809</v>
      </c>
      <c r="F1749" s="69" t="s">
        <v>10540</v>
      </c>
    </row>
    <row r="1750" spans="1:6" ht="14.25" customHeight="1" x14ac:dyDescent="0.2">
      <c r="A1750" s="70">
        <v>99800104003</v>
      </c>
      <c r="B1750" s="76" t="s">
        <v>6809</v>
      </c>
      <c r="C1750" s="70" t="s">
        <v>11035</v>
      </c>
      <c r="D1750" s="71">
        <v>41841</v>
      </c>
      <c r="E1750" s="68" t="s">
        <v>6809</v>
      </c>
      <c r="F1750" s="69" t="s">
        <v>6810</v>
      </c>
    </row>
    <row r="1751" spans="1:6" ht="14.25" customHeight="1" x14ac:dyDescent="0.2">
      <c r="A1751" s="65">
        <v>60040181036</v>
      </c>
      <c r="B1751" s="76" t="s">
        <v>6809</v>
      </c>
      <c r="C1751" s="65" t="s">
        <v>11036</v>
      </c>
      <c r="D1751" s="66">
        <v>41837</v>
      </c>
      <c r="E1751" s="68" t="s">
        <v>6809</v>
      </c>
      <c r="F1751" s="69" t="s">
        <v>6814</v>
      </c>
    </row>
    <row r="1752" spans="1:6" ht="14.25" customHeight="1" x14ac:dyDescent="0.2">
      <c r="A1752" s="65">
        <v>60040181067</v>
      </c>
      <c r="B1752" s="76" t="s">
        <v>6809</v>
      </c>
      <c r="C1752" s="65" t="s">
        <v>11037</v>
      </c>
      <c r="D1752" s="66">
        <v>41837</v>
      </c>
      <c r="E1752" s="68" t="s">
        <v>6809</v>
      </c>
      <c r="F1752" s="69" t="s">
        <v>6814</v>
      </c>
    </row>
    <row r="1753" spans="1:6" ht="14.25" customHeight="1" x14ac:dyDescent="0.2">
      <c r="A1753" s="65">
        <v>60100181210</v>
      </c>
      <c r="B1753" s="76" t="s">
        <v>6809</v>
      </c>
      <c r="C1753" s="65" t="s">
        <v>11038</v>
      </c>
      <c r="D1753" s="66">
        <v>41837</v>
      </c>
      <c r="E1753" s="68" t="s">
        <v>6809</v>
      </c>
      <c r="F1753" s="69" t="s">
        <v>6814</v>
      </c>
    </row>
    <row r="1754" spans="1:6" ht="14.25" customHeight="1" x14ac:dyDescent="0.2">
      <c r="A1754" s="65">
        <v>60100181216</v>
      </c>
      <c r="B1754" s="76" t="s">
        <v>6809</v>
      </c>
      <c r="C1754" s="65" t="s">
        <v>11039</v>
      </c>
      <c r="D1754" s="66">
        <v>41837</v>
      </c>
      <c r="E1754" s="68" t="s">
        <v>6809</v>
      </c>
      <c r="F1754" s="69" t="s">
        <v>6814</v>
      </c>
    </row>
    <row r="1755" spans="1:6" ht="14.25" customHeight="1" x14ac:dyDescent="0.2">
      <c r="A1755" s="65">
        <v>60100181223</v>
      </c>
      <c r="B1755" s="76" t="s">
        <v>6809</v>
      </c>
      <c r="C1755" s="65" t="s">
        <v>11040</v>
      </c>
      <c r="D1755" s="66">
        <v>41837</v>
      </c>
      <c r="E1755" s="68" t="s">
        <v>6809</v>
      </c>
      <c r="F1755" s="69" t="s">
        <v>6814</v>
      </c>
    </row>
    <row r="1756" spans="1:6" ht="14.25" customHeight="1" x14ac:dyDescent="0.2">
      <c r="A1756" s="65">
        <v>60100181226</v>
      </c>
      <c r="B1756" s="76" t="s">
        <v>6809</v>
      </c>
      <c r="C1756" s="65" t="s">
        <v>11041</v>
      </c>
      <c r="D1756" s="66">
        <v>41837</v>
      </c>
      <c r="E1756" s="68" t="s">
        <v>6809</v>
      </c>
      <c r="F1756" s="69" t="s">
        <v>6814</v>
      </c>
    </row>
    <row r="1757" spans="1:6" ht="14.25" customHeight="1" x14ac:dyDescent="0.2">
      <c r="A1757" s="65">
        <v>60100181234</v>
      </c>
      <c r="B1757" s="76" t="s">
        <v>6809</v>
      </c>
      <c r="C1757" s="65" t="s">
        <v>11042</v>
      </c>
      <c r="D1757" s="66">
        <v>41837</v>
      </c>
      <c r="E1757" s="68" t="s">
        <v>6809</v>
      </c>
      <c r="F1757" s="69" t="s">
        <v>6814</v>
      </c>
    </row>
    <row r="1758" spans="1:6" ht="14.25" customHeight="1" x14ac:dyDescent="0.2">
      <c r="A1758" s="65">
        <v>60100181245</v>
      </c>
      <c r="B1758" s="76" t="s">
        <v>6809</v>
      </c>
      <c r="C1758" s="65" t="s">
        <v>11043</v>
      </c>
      <c r="D1758" s="66">
        <v>41837</v>
      </c>
      <c r="E1758" s="68" t="s">
        <v>6809</v>
      </c>
      <c r="F1758" s="69" t="s">
        <v>6814</v>
      </c>
    </row>
    <row r="1759" spans="1:6" ht="14.25" customHeight="1" x14ac:dyDescent="0.2">
      <c r="A1759" s="65">
        <v>60100181247</v>
      </c>
      <c r="B1759" s="76" t="s">
        <v>6809</v>
      </c>
      <c r="C1759" s="65" t="s">
        <v>11044</v>
      </c>
      <c r="D1759" s="66">
        <v>41837</v>
      </c>
      <c r="E1759" s="68" t="s">
        <v>6809</v>
      </c>
      <c r="F1759" s="69" t="s">
        <v>6814</v>
      </c>
    </row>
    <row r="1760" spans="1:6" ht="14.25" customHeight="1" x14ac:dyDescent="0.2">
      <c r="A1760" s="65">
        <v>60100181269</v>
      </c>
      <c r="B1760" s="76" t="s">
        <v>6809</v>
      </c>
      <c r="C1760" s="65" t="s">
        <v>11045</v>
      </c>
      <c r="D1760" s="66">
        <v>41837</v>
      </c>
      <c r="E1760" s="68" t="s">
        <v>6809</v>
      </c>
      <c r="F1760" s="69" t="s">
        <v>6814</v>
      </c>
    </row>
    <row r="1761" spans="1:6" ht="14.25" customHeight="1" x14ac:dyDescent="0.2">
      <c r="A1761" s="65">
        <v>60100281148</v>
      </c>
      <c r="B1761" s="76" t="s">
        <v>6809</v>
      </c>
      <c r="C1761" s="65" t="s">
        <v>11046</v>
      </c>
      <c r="D1761" s="66">
        <v>41837</v>
      </c>
      <c r="E1761" s="68" t="s">
        <v>6809</v>
      </c>
      <c r="F1761" s="69" t="s">
        <v>6814</v>
      </c>
    </row>
    <row r="1762" spans="1:6" ht="14.25" customHeight="1" x14ac:dyDescent="0.2">
      <c r="A1762" s="65">
        <v>99121499021</v>
      </c>
      <c r="B1762" s="76" t="s">
        <v>6809</v>
      </c>
      <c r="C1762" s="65" t="s">
        <v>10875</v>
      </c>
      <c r="D1762" s="66">
        <v>41837</v>
      </c>
      <c r="E1762" s="68" t="s">
        <v>6809</v>
      </c>
      <c r="F1762" s="69" t="s">
        <v>6810</v>
      </c>
    </row>
    <row r="1763" spans="1:6" ht="14.25" customHeight="1" x14ac:dyDescent="0.2">
      <c r="A1763" s="65">
        <v>99229999125</v>
      </c>
      <c r="B1763" s="76" t="s">
        <v>6809</v>
      </c>
      <c r="C1763" s="65" t="s">
        <v>11047</v>
      </c>
      <c r="D1763" s="66">
        <v>41837</v>
      </c>
      <c r="E1763" s="68" t="s">
        <v>6809</v>
      </c>
      <c r="F1763" s="69" t="s">
        <v>10540</v>
      </c>
    </row>
    <row r="1764" spans="1:6" ht="14.25" customHeight="1" x14ac:dyDescent="0.2">
      <c r="A1764" s="65">
        <v>60100181149</v>
      </c>
      <c r="B1764" s="76" t="s">
        <v>6809</v>
      </c>
      <c r="C1764" s="65" t="s">
        <v>11048</v>
      </c>
      <c r="D1764" s="66">
        <v>41830</v>
      </c>
      <c r="E1764" s="68" t="s">
        <v>6809</v>
      </c>
      <c r="F1764" s="69" t="s">
        <v>6814</v>
      </c>
    </row>
    <row r="1765" spans="1:6" ht="14.25" customHeight="1" x14ac:dyDescent="0.2">
      <c r="A1765" s="65">
        <v>60100181263</v>
      </c>
      <c r="B1765" s="76" t="s">
        <v>6809</v>
      </c>
      <c r="C1765" s="65" t="s">
        <v>11049</v>
      </c>
      <c r="D1765" s="66">
        <v>41830</v>
      </c>
      <c r="E1765" s="68" t="s">
        <v>6809</v>
      </c>
      <c r="F1765" s="69" t="s">
        <v>6814</v>
      </c>
    </row>
    <row r="1766" spans="1:6" ht="14.25" customHeight="1" x14ac:dyDescent="0.2">
      <c r="A1766" s="65">
        <v>99120101082</v>
      </c>
      <c r="B1766" s="76" t="s">
        <v>6809</v>
      </c>
      <c r="C1766" s="65" t="s">
        <v>9495</v>
      </c>
      <c r="D1766" s="66">
        <v>41823</v>
      </c>
      <c r="E1766" s="68" t="s">
        <v>6809</v>
      </c>
      <c r="F1766" s="69" t="s">
        <v>6810</v>
      </c>
    </row>
    <row r="1767" spans="1:6" ht="14.25" customHeight="1" x14ac:dyDescent="0.2">
      <c r="A1767" s="65">
        <v>99810104009</v>
      </c>
      <c r="B1767" s="76" t="s">
        <v>6809</v>
      </c>
      <c r="C1767" s="65" t="s">
        <v>11050</v>
      </c>
      <c r="D1767" s="66">
        <v>41823</v>
      </c>
      <c r="E1767" s="68" t="s">
        <v>6809</v>
      </c>
      <c r="F1767" s="69" t="s">
        <v>6810</v>
      </c>
    </row>
    <row r="1768" spans="1:6" ht="14.25" customHeight="1" x14ac:dyDescent="0.2">
      <c r="A1768" s="65">
        <v>60100281145</v>
      </c>
      <c r="B1768" s="76" t="s">
        <v>6809</v>
      </c>
      <c r="C1768" s="65" t="s">
        <v>11051</v>
      </c>
      <c r="D1768" s="66">
        <v>41822</v>
      </c>
      <c r="E1768" s="68" t="s">
        <v>6809</v>
      </c>
      <c r="F1768" s="69" t="s">
        <v>6814</v>
      </c>
    </row>
    <row r="1769" spans="1:6" ht="14.25" customHeight="1" x14ac:dyDescent="0.2">
      <c r="A1769" s="65" t="s">
        <v>11052</v>
      </c>
      <c r="B1769" s="76" t="s">
        <v>11053</v>
      </c>
      <c r="C1769" s="65" t="s">
        <v>11054</v>
      </c>
      <c r="D1769" s="66">
        <v>41821</v>
      </c>
      <c r="E1769" s="68" t="s">
        <v>6809</v>
      </c>
      <c r="F1769" s="69" t="s">
        <v>6814</v>
      </c>
    </row>
    <row r="1770" spans="1:6" ht="14.25" customHeight="1" x14ac:dyDescent="0.2">
      <c r="A1770" s="65">
        <v>60220103001</v>
      </c>
      <c r="B1770" s="76" t="s">
        <v>6809</v>
      </c>
      <c r="C1770" s="65" t="s">
        <v>11055</v>
      </c>
      <c r="D1770" s="66">
        <v>41821</v>
      </c>
      <c r="E1770" s="68" t="s">
        <v>6809</v>
      </c>
      <c r="F1770" s="69" t="s">
        <v>10540</v>
      </c>
    </row>
    <row r="1771" spans="1:6" ht="14.25" customHeight="1" x14ac:dyDescent="0.2">
      <c r="A1771" s="65">
        <v>99800110017</v>
      </c>
      <c r="B1771" s="76" t="s">
        <v>6809</v>
      </c>
      <c r="C1771" s="65" t="s">
        <v>11056</v>
      </c>
      <c r="D1771" s="66">
        <v>41821</v>
      </c>
      <c r="E1771" s="68" t="s">
        <v>6809</v>
      </c>
      <c r="F1771" s="69" t="s">
        <v>10540</v>
      </c>
    </row>
    <row r="1772" spans="1:6" ht="14.25" customHeight="1" x14ac:dyDescent="0.2">
      <c r="A1772" s="65">
        <v>99801462039</v>
      </c>
      <c r="B1772" s="76" t="s">
        <v>6809</v>
      </c>
      <c r="C1772" s="65" t="s">
        <v>11057</v>
      </c>
      <c r="D1772" s="66">
        <v>41821</v>
      </c>
      <c r="E1772" s="68" t="s">
        <v>6809</v>
      </c>
      <c r="F1772" s="69" t="s">
        <v>10540</v>
      </c>
    </row>
    <row r="1773" spans="1:6" ht="14.25" customHeight="1" x14ac:dyDescent="0.2">
      <c r="A1773" s="65" t="s">
        <v>11058</v>
      </c>
      <c r="B1773" s="76" t="s">
        <v>6809</v>
      </c>
      <c r="C1773" s="65" t="s">
        <v>11059</v>
      </c>
      <c r="D1773" s="66">
        <v>41820</v>
      </c>
      <c r="E1773" s="68" t="s">
        <v>6809</v>
      </c>
      <c r="F1773" s="69" t="s">
        <v>6814</v>
      </c>
    </row>
    <row r="1774" spans="1:6" ht="14.25" customHeight="1" x14ac:dyDescent="0.2">
      <c r="A1774" s="65" t="s">
        <v>11060</v>
      </c>
      <c r="B1774" s="76" t="s">
        <v>11061</v>
      </c>
      <c r="C1774" s="65" t="s">
        <v>11062</v>
      </c>
      <c r="D1774" s="66">
        <v>41820</v>
      </c>
      <c r="E1774" s="68" t="s">
        <v>6809</v>
      </c>
      <c r="F1774" s="69" t="s">
        <v>6814</v>
      </c>
    </row>
    <row r="1775" spans="1:6" ht="14.25" customHeight="1" x14ac:dyDescent="0.2">
      <c r="A1775" s="65">
        <v>60010199007</v>
      </c>
      <c r="B1775" s="76" t="s">
        <v>6809</v>
      </c>
      <c r="C1775" s="65" t="s">
        <v>11063</v>
      </c>
      <c r="D1775" s="66">
        <v>41820</v>
      </c>
      <c r="E1775" s="68" t="s">
        <v>10560</v>
      </c>
      <c r="F1775" s="69" t="s">
        <v>10540</v>
      </c>
    </row>
    <row r="1776" spans="1:6" ht="14.25" customHeight="1" x14ac:dyDescent="0.2">
      <c r="A1776" s="65">
        <v>99070201002</v>
      </c>
      <c r="B1776" s="76" t="s">
        <v>6809</v>
      </c>
      <c r="C1776" s="65" t="s">
        <v>11064</v>
      </c>
      <c r="D1776" s="66">
        <v>41820</v>
      </c>
      <c r="E1776" s="68" t="s">
        <v>6809</v>
      </c>
      <c r="F1776" s="69" t="s">
        <v>6810</v>
      </c>
    </row>
    <row r="1777" spans="1:6" ht="14.25" customHeight="1" x14ac:dyDescent="0.2">
      <c r="A1777" s="65">
        <v>99121463001</v>
      </c>
      <c r="B1777" s="76" t="s">
        <v>6809</v>
      </c>
      <c r="C1777" s="65" t="s">
        <v>11065</v>
      </c>
      <c r="D1777" s="66">
        <v>41820</v>
      </c>
      <c r="E1777" s="68" t="s">
        <v>6809</v>
      </c>
      <c r="F1777" s="69" t="s">
        <v>6810</v>
      </c>
    </row>
    <row r="1778" spans="1:6" ht="14.25" customHeight="1" x14ac:dyDescent="0.2">
      <c r="A1778" s="65">
        <v>99801462038</v>
      </c>
      <c r="B1778" s="76" t="s">
        <v>6809</v>
      </c>
      <c r="C1778" s="65" t="s">
        <v>11066</v>
      </c>
      <c r="D1778" s="66">
        <v>41820</v>
      </c>
      <c r="E1778" s="68" t="s">
        <v>6809</v>
      </c>
      <c r="F1778" s="69" t="s">
        <v>6810</v>
      </c>
    </row>
    <row r="1779" spans="1:6" ht="14.25" customHeight="1" x14ac:dyDescent="0.2">
      <c r="A1779" s="65">
        <v>99801464086</v>
      </c>
      <c r="B1779" s="76" t="s">
        <v>6809</v>
      </c>
      <c r="C1779" s="65" t="s">
        <v>11067</v>
      </c>
      <c r="D1779" s="66">
        <v>41820</v>
      </c>
      <c r="E1779" s="68" t="s">
        <v>6809</v>
      </c>
      <c r="F1779" s="69" t="s">
        <v>6810</v>
      </c>
    </row>
    <row r="1780" spans="1:6" ht="14.25" customHeight="1" x14ac:dyDescent="0.2">
      <c r="A1780" s="65">
        <v>99801464093</v>
      </c>
      <c r="B1780" s="76" t="s">
        <v>6809</v>
      </c>
      <c r="C1780" s="65" t="s">
        <v>11068</v>
      </c>
      <c r="D1780" s="66">
        <v>41820</v>
      </c>
      <c r="E1780" s="68" t="s">
        <v>6809</v>
      </c>
      <c r="F1780" s="69" t="s">
        <v>6810</v>
      </c>
    </row>
    <row r="1781" spans="1:6" ht="14.25" customHeight="1" x14ac:dyDescent="0.2">
      <c r="A1781" s="65">
        <v>99810104005</v>
      </c>
      <c r="B1781" s="76" t="s">
        <v>6809</v>
      </c>
      <c r="C1781" s="65" t="s">
        <v>10340</v>
      </c>
      <c r="D1781" s="66">
        <v>41820</v>
      </c>
      <c r="E1781" s="68" t="s">
        <v>6809</v>
      </c>
      <c r="F1781" s="69" t="s">
        <v>6810</v>
      </c>
    </row>
    <row r="1782" spans="1:6" ht="14.25" customHeight="1" x14ac:dyDescent="0.2">
      <c r="A1782" s="65">
        <v>99800106009</v>
      </c>
      <c r="B1782" s="76" t="s">
        <v>6809</v>
      </c>
      <c r="C1782" s="65" t="s">
        <v>11069</v>
      </c>
      <c r="D1782" s="66">
        <v>41814</v>
      </c>
      <c r="E1782" s="68" t="s">
        <v>6809</v>
      </c>
      <c r="F1782" s="69" t="s">
        <v>6810</v>
      </c>
    </row>
    <row r="1783" spans="1:6" ht="14.25" customHeight="1" x14ac:dyDescent="0.2">
      <c r="A1783" s="65">
        <v>60100281151</v>
      </c>
      <c r="B1783" s="76" t="s">
        <v>6809</v>
      </c>
      <c r="C1783" s="65" t="s">
        <v>11070</v>
      </c>
      <c r="D1783" s="66">
        <v>41813</v>
      </c>
      <c r="E1783" s="68" t="s">
        <v>6809</v>
      </c>
      <c r="F1783" s="69" t="s">
        <v>6814</v>
      </c>
    </row>
    <row r="1784" spans="1:6" ht="14.25" customHeight="1" x14ac:dyDescent="0.2">
      <c r="A1784" s="65">
        <v>60100281157</v>
      </c>
      <c r="B1784" s="76" t="s">
        <v>6809</v>
      </c>
      <c r="C1784" s="65" t="s">
        <v>11071</v>
      </c>
      <c r="D1784" s="66">
        <v>41813</v>
      </c>
      <c r="E1784" s="68" t="s">
        <v>6809</v>
      </c>
      <c r="F1784" s="69" t="s">
        <v>6814</v>
      </c>
    </row>
    <row r="1785" spans="1:6" ht="14.25" customHeight="1" x14ac:dyDescent="0.2">
      <c r="A1785" s="65">
        <v>60040181091</v>
      </c>
      <c r="B1785" s="76" t="s">
        <v>6809</v>
      </c>
      <c r="C1785" s="65" t="s">
        <v>11072</v>
      </c>
      <c r="D1785" s="66">
        <v>41807</v>
      </c>
      <c r="E1785" s="68" t="s">
        <v>6809</v>
      </c>
      <c r="F1785" s="69" t="s">
        <v>6814</v>
      </c>
    </row>
    <row r="1786" spans="1:6" ht="14.25" customHeight="1" x14ac:dyDescent="0.2">
      <c r="A1786" s="65">
        <v>60680181071</v>
      </c>
      <c r="B1786" s="76" t="s">
        <v>6809</v>
      </c>
      <c r="C1786" s="65" t="s">
        <v>11073</v>
      </c>
      <c r="D1786" s="66">
        <v>41806</v>
      </c>
      <c r="E1786" s="68" t="s">
        <v>6809</v>
      </c>
      <c r="F1786" s="69" t="s">
        <v>6814</v>
      </c>
    </row>
    <row r="1787" spans="1:6" ht="14.25" customHeight="1" x14ac:dyDescent="0.2">
      <c r="A1787" s="65" t="s">
        <v>11074</v>
      </c>
      <c r="B1787" s="76" t="s">
        <v>11075</v>
      </c>
      <c r="C1787" s="65" t="s">
        <v>11076</v>
      </c>
      <c r="D1787" s="66">
        <v>41801</v>
      </c>
      <c r="E1787" s="68" t="s">
        <v>6809</v>
      </c>
      <c r="F1787" s="69" t="s">
        <v>6814</v>
      </c>
    </row>
    <row r="1788" spans="1:6" ht="14.25" customHeight="1" x14ac:dyDescent="0.2">
      <c r="A1788" s="65">
        <v>99120103009</v>
      </c>
      <c r="B1788" s="76" t="s">
        <v>6809</v>
      </c>
      <c r="C1788" s="65" t="s">
        <v>11077</v>
      </c>
      <c r="D1788" s="66">
        <v>41801</v>
      </c>
      <c r="E1788" s="68" t="s">
        <v>6809</v>
      </c>
      <c r="F1788" s="69" t="s">
        <v>10540</v>
      </c>
    </row>
    <row r="1789" spans="1:6" ht="14.25" customHeight="1" x14ac:dyDescent="0.2">
      <c r="A1789" s="65">
        <v>60220106001</v>
      </c>
      <c r="B1789" s="76" t="s">
        <v>6809</v>
      </c>
      <c r="C1789" s="65" t="s">
        <v>11078</v>
      </c>
      <c r="D1789" s="66">
        <v>41799</v>
      </c>
      <c r="E1789" s="68" t="s">
        <v>6809</v>
      </c>
      <c r="F1789" s="69" t="s">
        <v>6814</v>
      </c>
    </row>
    <row r="1790" spans="1:6" ht="14.25" customHeight="1" x14ac:dyDescent="0.2">
      <c r="A1790" s="65">
        <v>99811464022</v>
      </c>
      <c r="B1790" s="76" t="s">
        <v>6809</v>
      </c>
      <c r="C1790" s="65" t="s">
        <v>11079</v>
      </c>
      <c r="D1790" s="66">
        <v>41799</v>
      </c>
      <c r="E1790" s="68" t="s">
        <v>6809</v>
      </c>
      <c r="F1790" s="69" t="s">
        <v>6810</v>
      </c>
    </row>
    <row r="1791" spans="1:6" ht="14.25" customHeight="1" x14ac:dyDescent="0.2">
      <c r="A1791" s="65">
        <v>99819915010</v>
      </c>
      <c r="B1791" s="76" t="s">
        <v>6809</v>
      </c>
      <c r="C1791" s="65" t="s">
        <v>11080</v>
      </c>
      <c r="D1791" s="66">
        <v>41799</v>
      </c>
      <c r="E1791" s="68" t="s">
        <v>6809</v>
      </c>
      <c r="F1791" s="69" t="s">
        <v>6810</v>
      </c>
    </row>
    <row r="1792" spans="1:6" ht="14.25" customHeight="1" x14ac:dyDescent="0.2">
      <c r="A1792" s="65">
        <v>60100281156</v>
      </c>
      <c r="B1792" s="76" t="s">
        <v>6809</v>
      </c>
      <c r="C1792" s="65" t="s">
        <v>10711</v>
      </c>
      <c r="D1792" s="66">
        <v>41796</v>
      </c>
      <c r="E1792" s="68" t="s">
        <v>6809</v>
      </c>
      <c r="F1792" s="69" t="s">
        <v>6814</v>
      </c>
    </row>
    <row r="1793" spans="1:6" ht="14.25" customHeight="1" x14ac:dyDescent="0.2">
      <c r="A1793" s="65">
        <v>99230199005</v>
      </c>
      <c r="B1793" s="76" t="s">
        <v>6809</v>
      </c>
      <c r="C1793" s="65" t="s">
        <v>11081</v>
      </c>
      <c r="D1793" s="66">
        <v>41794</v>
      </c>
      <c r="E1793" s="68" t="s">
        <v>6809</v>
      </c>
      <c r="F1793" s="69" t="s">
        <v>10540</v>
      </c>
    </row>
    <row r="1794" spans="1:6" ht="14.25" customHeight="1" x14ac:dyDescent="0.2">
      <c r="A1794" s="65" t="s">
        <v>11082</v>
      </c>
      <c r="B1794" s="76" t="s">
        <v>11083</v>
      </c>
      <c r="C1794" s="65" t="s">
        <v>11084</v>
      </c>
      <c r="D1794" s="66">
        <v>41792</v>
      </c>
      <c r="E1794" s="68" t="s">
        <v>6809</v>
      </c>
      <c r="F1794" s="69" t="s">
        <v>6814</v>
      </c>
    </row>
    <row r="1795" spans="1:6" ht="14.25" customHeight="1" x14ac:dyDescent="0.2">
      <c r="A1795" s="65">
        <v>60100181261</v>
      </c>
      <c r="B1795" s="76" t="s">
        <v>6809</v>
      </c>
      <c r="C1795" s="65" t="s">
        <v>11085</v>
      </c>
      <c r="D1795" s="66">
        <v>41788</v>
      </c>
      <c r="E1795" s="68" t="s">
        <v>6809</v>
      </c>
      <c r="F1795" s="69" t="s">
        <v>6814</v>
      </c>
    </row>
    <row r="1796" spans="1:6" ht="14.25" customHeight="1" x14ac:dyDescent="0.2">
      <c r="A1796" s="65" t="s">
        <v>11086</v>
      </c>
      <c r="B1796" s="76" t="s">
        <v>11053</v>
      </c>
      <c r="C1796" s="65" t="s">
        <v>11087</v>
      </c>
      <c r="D1796" s="66">
        <v>41786</v>
      </c>
      <c r="E1796" s="68" t="s">
        <v>10123</v>
      </c>
      <c r="F1796" s="69" t="s">
        <v>6814</v>
      </c>
    </row>
    <row r="1797" spans="1:6" ht="14.25" customHeight="1" x14ac:dyDescent="0.2">
      <c r="A1797" s="65" t="s">
        <v>11088</v>
      </c>
      <c r="B1797" s="76" t="s">
        <v>280</v>
      </c>
      <c r="C1797" s="65" t="s">
        <v>11089</v>
      </c>
      <c r="D1797" s="66">
        <v>41786</v>
      </c>
      <c r="E1797" s="68" t="s">
        <v>10123</v>
      </c>
      <c r="F1797" s="69" t="s">
        <v>6814</v>
      </c>
    </row>
    <row r="1798" spans="1:6" ht="14.25" customHeight="1" x14ac:dyDescent="0.2">
      <c r="A1798" s="65" t="s">
        <v>11090</v>
      </c>
      <c r="B1798" s="76" t="s">
        <v>11091</v>
      </c>
      <c r="C1798" s="65" t="s">
        <v>11092</v>
      </c>
      <c r="D1798" s="66">
        <v>41786</v>
      </c>
      <c r="E1798" s="68" t="s">
        <v>6809</v>
      </c>
      <c r="F1798" s="69" t="s">
        <v>6814</v>
      </c>
    </row>
    <row r="1799" spans="1:6" ht="14.25" customHeight="1" x14ac:dyDescent="0.2">
      <c r="A1799" s="65" t="s">
        <v>11093</v>
      </c>
      <c r="B1799" s="76" t="s">
        <v>11094</v>
      </c>
      <c r="C1799" s="65" t="s">
        <v>11095</v>
      </c>
      <c r="D1799" s="66">
        <v>41782</v>
      </c>
      <c r="E1799" s="68" t="s">
        <v>6809</v>
      </c>
      <c r="F1799" s="69" t="s">
        <v>10540</v>
      </c>
    </row>
    <row r="1800" spans="1:6" ht="14.25" customHeight="1" x14ac:dyDescent="0.2">
      <c r="A1800" s="65">
        <v>99800110016</v>
      </c>
      <c r="B1800" s="76" t="s">
        <v>6809</v>
      </c>
      <c r="C1800" s="65" t="s">
        <v>11096</v>
      </c>
      <c r="D1800" s="66">
        <v>41782</v>
      </c>
      <c r="E1800" s="68" t="s">
        <v>6809</v>
      </c>
      <c r="F1800" s="69" t="s">
        <v>6810</v>
      </c>
    </row>
    <row r="1801" spans="1:6" ht="14.25" customHeight="1" x14ac:dyDescent="0.2">
      <c r="A1801" s="65" t="s">
        <v>11097</v>
      </c>
      <c r="B1801" s="76" t="s">
        <v>11098</v>
      </c>
      <c r="C1801" s="65" t="s">
        <v>11099</v>
      </c>
      <c r="D1801" s="66">
        <v>41779</v>
      </c>
      <c r="E1801" s="68" t="s">
        <v>6809</v>
      </c>
      <c r="F1801" s="69" t="s">
        <v>10540</v>
      </c>
    </row>
    <row r="1802" spans="1:6" ht="14.25" customHeight="1" x14ac:dyDescent="0.2">
      <c r="A1802" s="65" t="s">
        <v>11100</v>
      </c>
      <c r="B1802" s="76" t="s">
        <v>11101</v>
      </c>
      <c r="C1802" s="65" t="s">
        <v>11102</v>
      </c>
      <c r="D1802" s="66">
        <v>41779</v>
      </c>
      <c r="E1802" s="68" t="s">
        <v>6809</v>
      </c>
      <c r="F1802" s="69" t="s">
        <v>10540</v>
      </c>
    </row>
    <row r="1803" spans="1:6" ht="14.25" customHeight="1" x14ac:dyDescent="0.2">
      <c r="A1803" s="65" t="s">
        <v>11103</v>
      </c>
      <c r="B1803" s="76" t="s">
        <v>11104</v>
      </c>
      <c r="C1803" s="65" t="s">
        <v>11105</v>
      </c>
      <c r="D1803" s="66">
        <v>41779</v>
      </c>
      <c r="E1803" s="68" t="s">
        <v>6809</v>
      </c>
      <c r="F1803" s="69" t="s">
        <v>10540</v>
      </c>
    </row>
    <row r="1804" spans="1:6" ht="14.25" customHeight="1" x14ac:dyDescent="0.2">
      <c r="A1804" s="65" t="s">
        <v>11106</v>
      </c>
      <c r="B1804" s="76" t="s">
        <v>11107</v>
      </c>
      <c r="C1804" s="65" t="s">
        <v>11108</v>
      </c>
      <c r="D1804" s="66">
        <v>41779</v>
      </c>
      <c r="E1804" s="68" t="s">
        <v>6809</v>
      </c>
      <c r="F1804" s="69" t="s">
        <v>10540</v>
      </c>
    </row>
    <row r="1805" spans="1:6" ht="14.25" customHeight="1" x14ac:dyDescent="0.2">
      <c r="A1805" s="65">
        <v>60040202004</v>
      </c>
      <c r="B1805" s="76" t="s">
        <v>6809</v>
      </c>
      <c r="C1805" s="65" t="s">
        <v>11109</v>
      </c>
      <c r="D1805" s="66">
        <v>41779</v>
      </c>
      <c r="E1805" s="68" t="s">
        <v>6809</v>
      </c>
      <c r="F1805" s="69" t="s">
        <v>10540</v>
      </c>
    </row>
    <row r="1806" spans="1:6" ht="14.25" customHeight="1" x14ac:dyDescent="0.2">
      <c r="A1806" s="65">
        <v>60040206002</v>
      </c>
      <c r="B1806" s="76" t="s">
        <v>6809</v>
      </c>
      <c r="C1806" s="65" t="s">
        <v>11110</v>
      </c>
      <c r="D1806" s="66">
        <v>41779</v>
      </c>
      <c r="E1806" s="68" t="s">
        <v>6809</v>
      </c>
      <c r="F1806" s="69" t="s">
        <v>10540</v>
      </c>
    </row>
    <row r="1807" spans="1:6" ht="14.25" customHeight="1" x14ac:dyDescent="0.2">
      <c r="A1807" s="65">
        <v>60040210001</v>
      </c>
      <c r="B1807" s="76" t="s">
        <v>6809</v>
      </c>
      <c r="C1807" s="65" t="s">
        <v>11111</v>
      </c>
      <c r="D1807" s="66">
        <v>41779</v>
      </c>
      <c r="E1807" s="68" t="s">
        <v>6809</v>
      </c>
      <c r="F1807" s="69" t="s">
        <v>10540</v>
      </c>
    </row>
    <row r="1808" spans="1:6" ht="14.25" customHeight="1" x14ac:dyDescent="0.2">
      <c r="A1808" s="65" t="s">
        <v>11112</v>
      </c>
      <c r="B1808" s="76" t="s">
        <v>11113</v>
      </c>
      <c r="C1808" s="65" t="s">
        <v>11114</v>
      </c>
      <c r="D1808" s="66">
        <v>41779</v>
      </c>
      <c r="E1808" s="68" t="s">
        <v>6809</v>
      </c>
      <c r="F1808" s="69" t="s">
        <v>10540</v>
      </c>
    </row>
    <row r="1809" spans="1:6" ht="14.25" customHeight="1" x14ac:dyDescent="0.2">
      <c r="A1809" s="65">
        <v>60041499018</v>
      </c>
      <c r="B1809" s="76" t="s">
        <v>6809</v>
      </c>
      <c r="C1809" s="65" t="s">
        <v>11115</v>
      </c>
      <c r="D1809" s="66">
        <v>41779</v>
      </c>
      <c r="E1809" s="68" t="s">
        <v>6809</v>
      </c>
      <c r="F1809" s="69" t="s">
        <v>10540</v>
      </c>
    </row>
    <row r="1810" spans="1:6" ht="14.25" customHeight="1" x14ac:dyDescent="0.2">
      <c r="A1810" s="65">
        <v>60041499022</v>
      </c>
      <c r="B1810" s="76" t="s">
        <v>6809</v>
      </c>
      <c r="C1810" s="65" t="s">
        <v>11116</v>
      </c>
      <c r="D1810" s="66">
        <v>41779</v>
      </c>
      <c r="E1810" s="68" t="s">
        <v>6809</v>
      </c>
      <c r="F1810" s="69" t="s">
        <v>10540</v>
      </c>
    </row>
    <row r="1811" spans="1:6" ht="14.25" customHeight="1" x14ac:dyDescent="0.2">
      <c r="A1811" s="65" t="s">
        <v>11117</v>
      </c>
      <c r="B1811" s="76" t="s">
        <v>6809</v>
      </c>
      <c r="C1811" s="65" t="s">
        <v>11118</v>
      </c>
      <c r="D1811" s="66">
        <v>41779</v>
      </c>
      <c r="E1811" s="68" t="s">
        <v>6809</v>
      </c>
      <c r="F1811" s="69" t="s">
        <v>10540</v>
      </c>
    </row>
    <row r="1812" spans="1:6" ht="14.25" customHeight="1" x14ac:dyDescent="0.2">
      <c r="A1812" s="65" t="s">
        <v>11119</v>
      </c>
      <c r="B1812" s="76" t="s">
        <v>6809</v>
      </c>
      <c r="C1812" s="65" t="s">
        <v>11120</v>
      </c>
      <c r="D1812" s="66">
        <v>41779</v>
      </c>
      <c r="E1812" s="68" t="s">
        <v>6809</v>
      </c>
      <c r="F1812" s="69" t="s">
        <v>10540</v>
      </c>
    </row>
    <row r="1813" spans="1:6" ht="14.25" customHeight="1" x14ac:dyDescent="0.2">
      <c r="A1813" s="65" t="s">
        <v>11121</v>
      </c>
      <c r="B1813" s="76" t="s">
        <v>11122</v>
      </c>
      <c r="C1813" s="65" t="s">
        <v>11123</v>
      </c>
      <c r="D1813" s="66">
        <v>41777</v>
      </c>
      <c r="E1813" s="68" t="s">
        <v>6809</v>
      </c>
      <c r="F1813" s="69" t="s">
        <v>10540</v>
      </c>
    </row>
    <row r="1814" spans="1:6" ht="14.25" customHeight="1" x14ac:dyDescent="0.2">
      <c r="A1814" s="65" t="s">
        <v>11124</v>
      </c>
      <c r="B1814" s="76" t="s">
        <v>11125</v>
      </c>
      <c r="C1814" s="65" t="s">
        <v>11126</v>
      </c>
      <c r="D1814" s="66">
        <v>41777</v>
      </c>
      <c r="E1814" s="68" t="s">
        <v>6809</v>
      </c>
      <c r="F1814" s="69" t="s">
        <v>10540</v>
      </c>
    </row>
    <row r="1815" spans="1:6" ht="14.25" customHeight="1" x14ac:dyDescent="0.2">
      <c r="A1815" s="65">
        <v>60040199017</v>
      </c>
      <c r="B1815" s="76" t="s">
        <v>6809</v>
      </c>
      <c r="C1815" s="65" t="s">
        <v>11127</v>
      </c>
      <c r="D1815" s="66">
        <v>41777</v>
      </c>
      <c r="E1815" s="68" t="s">
        <v>6809</v>
      </c>
      <c r="F1815" s="69" t="s">
        <v>10540</v>
      </c>
    </row>
    <row r="1816" spans="1:6" ht="14.25" customHeight="1" x14ac:dyDescent="0.2">
      <c r="A1816" s="65">
        <v>60040199023</v>
      </c>
      <c r="B1816" s="76" t="s">
        <v>6809</v>
      </c>
      <c r="C1816" s="65" t="s">
        <v>11128</v>
      </c>
      <c r="D1816" s="66">
        <v>41777</v>
      </c>
      <c r="E1816" s="68" t="s">
        <v>6809</v>
      </c>
      <c r="F1816" s="69" t="s">
        <v>10540</v>
      </c>
    </row>
    <row r="1817" spans="1:6" ht="14.25" customHeight="1" x14ac:dyDescent="0.2">
      <c r="A1817" s="65">
        <v>60040199024</v>
      </c>
      <c r="B1817" s="76" t="s">
        <v>6809</v>
      </c>
      <c r="C1817" s="65" t="s">
        <v>11129</v>
      </c>
      <c r="D1817" s="66">
        <v>41777</v>
      </c>
      <c r="E1817" s="68" t="s">
        <v>6809</v>
      </c>
      <c r="F1817" s="69" t="s">
        <v>10540</v>
      </c>
    </row>
    <row r="1818" spans="1:6" ht="14.25" customHeight="1" x14ac:dyDescent="0.2">
      <c r="A1818" s="65">
        <v>99171499012</v>
      </c>
      <c r="B1818" s="76" t="s">
        <v>6809</v>
      </c>
      <c r="C1818" s="65" t="s">
        <v>11130</v>
      </c>
      <c r="D1818" s="66">
        <v>41775</v>
      </c>
      <c r="E1818" s="68" t="s">
        <v>6809</v>
      </c>
      <c r="F1818" s="69" t="s">
        <v>10540</v>
      </c>
    </row>
    <row r="1819" spans="1:6" ht="14.25" customHeight="1" x14ac:dyDescent="0.2">
      <c r="A1819" s="65">
        <v>99229999119</v>
      </c>
      <c r="B1819" s="76" t="s">
        <v>6809</v>
      </c>
      <c r="C1819" s="65" t="s">
        <v>11131</v>
      </c>
      <c r="D1819" s="66">
        <v>41775</v>
      </c>
      <c r="E1819" s="69" t="s">
        <v>10560</v>
      </c>
      <c r="F1819" s="69" t="s">
        <v>10540</v>
      </c>
    </row>
    <row r="1820" spans="1:6" ht="14.25" customHeight="1" x14ac:dyDescent="0.2">
      <c r="A1820" s="65">
        <v>60220201001</v>
      </c>
      <c r="B1820" s="76" t="s">
        <v>6809</v>
      </c>
      <c r="C1820" s="65" t="s">
        <v>11132</v>
      </c>
      <c r="D1820" s="66">
        <v>41773</v>
      </c>
      <c r="E1820" s="68" t="s">
        <v>6809</v>
      </c>
      <c r="F1820" s="69" t="s">
        <v>6814</v>
      </c>
    </row>
    <row r="1821" spans="1:6" ht="14.25" customHeight="1" x14ac:dyDescent="0.2">
      <c r="A1821" s="65">
        <v>60680181064</v>
      </c>
      <c r="B1821" s="76" t="s">
        <v>6809</v>
      </c>
      <c r="C1821" s="65" t="s">
        <v>11133</v>
      </c>
      <c r="D1821" s="66">
        <v>41773</v>
      </c>
      <c r="E1821" s="68" t="s">
        <v>6809</v>
      </c>
      <c r="F1821" s="69" t="s">
        <v>6814</v>
      </c>
    </row>
    <row r="1822" spans="1:6" ht="14.25" customHeight="1" x14ac:dyDescent="0.2">
      <c r="A1822" s="65">
        <v>99170199011</v>
      </c>
      <c r="B1822" s="76" t="s">
        <v>6809</v>
      </c>
      <c r="C1822" s="65" t="s">
        <v>11134</v>
      </c>
      <c r="D1822" s="66">
        <v>41773</v>
      </c>
      <c r="E1822" s="69" t="s">
        <v>10560</v>
      </c>
      <c r="F1822" s="69" t="s">
        <v>10540</v>
      </c>
    </row>
    <row r="1823" spans="1:6" ht="14.25" customHeight="1" x14ac:dyDescent="0.2">
      <c r="A1823" s="65">
        <v>99170299011</v>
      </c>
      <c r="B1823" s="76" t="s">
        <v>6809</v>
      </c>
      <c r="C1823" s="65" t="s">
        <v>11135</v>
      </c>
      <c r="D1823" s="66">
        <v>41773</v>
      </c>
      <c r="E1823" s="69" t="s">
        <v>10560</v>
      </c>
      <c r="F1823" s="69" t="s">
        <v>10540</v>
      </c>
    </row>
    <row r="1824" spans="1:6" ht="14.25" customHeight="1" x14ac:dyDescent="0.2">
      <c r="A1824" s="65">
        <v>99220199045</v>
      </c>
      <c r="B1824" s="76" t="s">
        <v>6809</v>
      </c>
      <c r="C1824" s="65" t="s">
        <v>11136</v>
      </c>
      <c r="D1824" s="66">
        <v>41773</v>
      </c>
      <c r="E1824" s="68" t="s">
        <v>6809</v>
      </c>
      <c r="F1824" s="69" t="s">
        <v>10540</v>
      </c>
    </row>
    <row r="1825" spans="1:6" ht="14.25" customHeight="1" x14ac:dyDescent="0.2">
      <c r="A1825" s="65" t="s">
        <v>11137</v>
      </c>
      <c r="B1825" s="76" t="s">
        <v>8014</v>
      </c>
      <c r="C1825" s="65" t="s">
        <v>11138</v>
      </c>
      <c r="D1825" s="66">
        <v>41773</v>
      </c>
      <c r="E1825" s="68" t="s">
        <v>6809</v>
      </c>
      <c r="F1825" s="69" t="s">
        <v>6814</v>
      </c>
    </row>
    <row r="1826" spans="1:6" ht="14.25" customHeight="1" x14ac:dyDescent="0.2">
      <c r="A1826" s="65">
        <v>60220204001</v>
      </c>
      <c r="B1826" s="76" t="s">
        <v>6809</v>
      </c>
      <c r="C1826" s="65" t="s">
        <v>11139</v>
      </c>
      <c r="D1826" s="66">
        <v>41765</v>
      </c>
      <c r="E1826" s="68" t="s">
        <v>6809</v>
      </c>
      <c r="F1826" s="69" t="s">
        <v>10540</v>
      </c>
    </row>
    <row r="1827" spans="1:6" ht="14.25" customHeight="1" x14ac:dyDescent="0.2">
      <c r="A1827" s="65">
        <v>99120199032</v>
      </c>
      <c r="B1827" s="76" t="s">
        <v>6809</v>
      </c>
      <c r="C1827" s="65" t="s">
        <v>11140</v>
      </c>
      <c r="D1827" s="66">
        <v>41765</v>
      </c>
      <c r="E1827" s="68" t="s">
        <v>6809</v>
      </c>
      <c r="F1827" s="69" t="s">
        <v>10540</v>
      </c>
    </row>
    <row r="1828" spans="1:6" ht="14.25" customHeight="1" x14ac:dyDescent="0.2">
      <c r="A1828" s="65">
        <v>99121499021</v>
      </c>
      <c r="B1828" s="76" t="s">
        <v>6809</v>
      </c>
      <c r="C1828" s="65" t="s">
        <v>10875</v>
      </c>
      <c r="D1828" s="66">
        <v>41765</v>
      </c>
      <c r="E1828" s="68" t="s">
        <v>6809</v>
      </c>
      <c r="F1828" s="69" t="s">
        <v>6810</v>
      </c>
    </row>
    <row r="1829" spans="1:6" ht="14.25" customHeight="1" x14ac:dyDescent="0.2">
      <c r="A1829" s="65">
        <v>99800208018</v>
      </c>
      <c r="B1829" s="76" t="s">
        <v>6809</v>
      </c>
      <c r="C1829" s="65" t="s">
        <v>11141</v>
      </c>
      <c r="D1829" s="66">
        <v>41765</v>
      </c>
      <c r="E1829" s="68" t="s">
        <v>6809</v>
      </c>
      <c r="F1829" s="69" t="s">
        <v>6810</v>
      </c>
    </row>
    <row r="1830" spans="1:6" ht="14.25" customHeight="1" x14ac:dyDescent="0.2">
      <c r="A1830" s="65">
        <v>99810112005</v>
      </c>
      <c r="B1830" s="76" t="s">
        <v>6809</v>
      </c>
      <c r="C1830" s="65" t="s">
        <v>9022</v>
      </c>
      <c r="D1830" s="66">
        <v>41765</v>
      </c>
      <c r="E1830" s="68" t="s">
        <v>6809</v>
      </c>
      <c r="F1830" s="69" t="s">
        <v>6810</v>
      </c>
    </row>
    <row r="1831" spans="1:6" ht="14.25" customHeight="1" x14ac:dyDescent="0.2">
      <c r="A1831" s="65">
        <v>60100181074</v>
      </c>
      <c r="B1831" s="76" t="s">
        <v>6809</v>
      </c>
      <c r="C1831" s="65" t="s">
        <v>11142</v>
      </c>
      <c r="D1831" s="66">
        <v>41760</v>
      </c>
      <c r="E1831" s="68" t="s">
        <v>6809</v>
      </c>
      <c r="F1831" s="69" t="s">
        <v>6814</v>
      </c>
    </row>
    <row r="1832" spans="1:6" ht="14.25" customHeight="1" x14ac:dyDescent="0.2">
      <c r="A1832" s="65">
        <v>60100281128</v>
      </c>
      <c r="B1832" s="76" t="s">
        <v>6809</v>
      </c>
      <c r="C1832" s="65" t="s">
        <v>11143</v>
      </c>
      <c r="D1832" s="66">
        <v>41760</v>
      </c>
      <c r="E1832" s="68" t="s">
        <v>6809</v>
      </c>
      <c r="F1832" s="69" t="s">
        <v>6814</v>
      </c>
    </row>
    <row r="1833" spans="1:6" ht="14.25" customHeight="1" x14ac:dyDescent="0.2">
      <c r="A1833" s="70" t="s">
        <v>11144</v>
      </c>
      <c r="B1833" s="76" t="s">
        <v>11145</v>
      </c>
      <c r="C1833" s="69" t="s">
        <v>11146</v>
      </c>
      <c r="D1833" s="71">
        <v>41758</v>
      </c>
      <c r="E1833" s="68" t="s">
        <v>6809</v>
      </c>
      <c r="F1833" s="69" t="s">
        <v>10540</v>
      </c>
    </row>
    <row r="1834" spans="1:6" ht="14.25" customHeight="1" x14ac:dyDescent="0.2">
      <c r="A1834" s="70" t="s">
        <v>11147</v>
      </c>
      <c r="B1834" s="76" t="s">
        <v>1769</v>
      </c>
      <c r="C1834" s="69" t="s">
        <v>11148</v>
      </c>
      <c r="D1834" s="71">
        <v>41758</v>
      </c>
      <c r="E1834" s="68" t="s">
        <v>6809</v>
      </c>
      <c r="F1834" s="69" t="s">
        <v>10540</v>
      </c>
    </row>
    <row r="1835" spans="1:6" ht="14.25" customHeight="1" x14ac:dyDescent="0.2">
      <c r="A1835" s="70" t="s">
        <v>11149</v>
      </c>
      <c r="B1835" s="76" t="s">
        <v>11150</v>
      </c>
      <c r="C1835" s="69" t="s">
        <v>11151</v>
      </c>
      <c r="D1835" s="71">
        <v>41758</v>
      </c>
      <c r="E1835" s="68" t="s">
        <v>6809</v>
      </c>
      <c r="F1835" s="69" t="s">
        <v>10540</v>
      </c>
    </row>
    <row r="1836" spans="1:6" ht="14.25" customHeight="1" x14ac:dyDescent="0.2">
      <c r="A1836" s="70" t="s">
        <v>11152</v>
      </c>
      <c r="B1836" s="76" t="s">
        <v>11153</v>
      </c>
      <c r="C1836" s="69" t="s">
        <v>11154</v>
      </c>
      <c r="D1836" s="71">
        <v>41758</v>
      </c>
      <c r="E1836" s="68" t="s">
        <v>6809</v>
      </c>
      <c r="F1836" s="69" t="s">
        <v>6810</v>
      </c>
    </row>
    <row r="1837" spans="1:6" ht="14.25" customHeight="1" x14ac:dyDescent="0.2">
      <c r="A1837" s="70" t="s">
        <v>11155</v>
      </c>
      <c r="B1837" s="76" t="s">
        <v>11156</v>
      </c>
      <c r="C1837" s="69" t="s">
        <v>11157</v>
      </c>
      <c r="D1837" s="71">
        <v>41758</v>
      </c>
      <c r="E1837" s="68" t="s">
        <v>6809</v>
      </c>
      <c r="F1837" s="69" t="s">
        <v>6810</v>
      </c>
    </row>
    <row r="1838" spans="1:6" ht="14.25" customHeight="1" x14ac:dyDescent="0.2">
      <c r="A1838" s="70" t="s">
        <v>11158</v>
      </c>
      <c r="B1838" s="76" t="s">
        <v>11159</v>
      </c>
      <c r="C1838" s="69" t="s">
        <v>11160</v>
      </c>
      <c r="D1838" s="71">
        <v>41758</v>
      </c>
      <c r="E1838" s="68" t="s">
        <v>6809</v>
      </c>
      <c r="F1838" s="69" t="s">
        <v>6810</v>
      </c>
    </row>
    <row r="1839" spans="1:6" ht="14.25" customHeight="1" x14ac:dyDescent="0.2">
      <c r="A1839" s="70" t="s">
        <v>11161</v>
      </c>
      <c r="B1839" s="76" t="s">
        <v>11162</v>
      </c>
      <c r="C1839" s="69" t="s">
        <v>11163</v>
      </c>
      <c r="D1839" s="71">
        <v>41757</v>
      </c>
      <c r="E1839" s="68" t="s">
        <v>6809</v>
      </c>
      <c r="F1839" s="69" t="s">
        <v>10192</v>
      </c>
    </row>
    <row r="1840" spans="1:6" ht="14.25" customHeight="1" x14ac:dyDescent="0.2">
      <c r="A1840" s="65" t="s">
        <v>11164</v>
      </c>
      <c r="B1840" s="76" t="s">
        <v>11165</v>
      </c>
      <c r="C1840" s="65" t="s">
        <v>11166</v>
      </c>
      <c r="D1840" s="66">
        <v>41756</v>
      </c>
      <c r="E1840" s="69" t="s">
        <v>10560</v>
      </c>
      <c r="F1840" s="69" t="s">
        <v>10540</v>
      </c>
    </row>
    <row r="1841" spans="1:6" ht="14.25" customHeight="1" x14ac:dyDescent="0.2">
      <c r="A1841" s="65" t="s">
        <v>11167</v>
      </c>
      <c r="B1841" s="76" t="s">
        <v>11168</v>
      </c>
      <c r="C1841" s="65" t="s">
        <v>11169</v>
      </c>
      <c r="D1841" s="66">
        <v>41756</v>
      </c>
      <c r="E1841" s="68" t="s">
        <v>6809</v>
      </c>
      <c r="F1841" s="69" t="s">
        <v>10540</v>
      </c>
    </row>
    <row r="1842" spans="1:6" ht="14.25" customHeight="1" x14ac:dyDescent="0.2">
      <c r="A1842" s="65">
        <v>60040199026</v>
      </c>
      <c r="B1842" s="76" t="s">
        <v>6809</v>
      </c>
      <c r="C1842" s="65" t="s">
        <v>11170</v>
      </c>
      <c r="D1842" s="66">
        <v>41756</v>
      </c>
      <c r="E1842" s="69" t="s">
        <v>10560</v>
      </c>
      <c r="F1842" s="69" t="s">
        <v>10540</v>
      </c>
    </row>
    <row r="1843" spans="1:6" ht="14.25" customHeight="1" x14ac:dyDescent="0.2">
      <c r="A1843" s="65">
        <v>99120217001</v>
      </c>
      <c r="B1843" s="76" t="s">
        <v>6809</v>
      </c>
      <c r="C1843" s="65" t="s">
        <v>11171</v>
      </c>
      <c r="D1843" s="66">
        <v>41751</v>
      </c>
      <c r="E1843" s="68" t="s">
        <v>6809</v>
      </c>
      <c r="F1843" s="69" t="s">
        <v>6810</v>
      </c>
    </row>
    <row r="1844" spans="1:6" ht="14.25" customHeight="1" x14ac:dyDescent="0.2">
      <c r="A1844" s="65" t="s">
        <v>11172</v>
      </c>
      <c r="B1844" s="76" t="s">
        <v>11173</v>
      </c>
      <c r="C1844" s="65" t="s">
        <v>11174</v>
      </c>
      <c r="D1844" s="66">
        <v>41746</v>
      </c>
      <c r="E1844" s="68" t="s">
        <v>10123</v>
      </c>
      <c r="F1844" s="69" t="s">
        <v>10540</v>
      </c>
    </row>
    <row r="1845" spans="1:6" ht="14.25" customHeight="1" x14ac:dyDescent="0.2">
      <c r="A1845" s="65">
        <v>60030204002</v>
      </c>
      <c r="B1845" s="76" t="s">
        <v>6809</v>
      </c>
      <c r="C1845" s="65" t="s">
        <v>11175</v>
      </c>
      <c r="D1845" s="66">
        <v>41746</v>
      </c>
      <c r="E1845" s="68" t="s">
        <v>10123</v>
      </c>
      <c r="F1845" s="69" t="s">
        <v>10540</v>
      </c>
    </row>
    <row r="1846" spans="1:6" ht="14.25" customHeight="1" x14ac:dyDescent="0.2">
      <c r="A1846" s="65">
        <v>60220210004</v>
      </c>
      <c r="B1846" s="76" t="s">
        <v>6809</v>
      </c>
      <c r="C1846" s="65" t="s">
        <v>11176</v>
      </c>
      <c r="D1846" s="66">
        <v>41746</v>
      </c>
      <c r="E1846" s="68" t="s">
        <v>6809</v>
      </c>
      <c r="F1846" s="69" t="s">
        <v>10540</v>
      </c>
    </row>
    <row r="1847" spans="1:6" ht="14.25" customHeight="1" x14ac:dyDescent="0.2">
      <c r="A1847" s="65">
        <v>99120299018</v>
      </c>
      <c r="B1847" s="76" t="s">
        <v>6809</v>
      </c>
      <c r="C1847" s="65" t="s">
        <v>11177</v>
      </c>
      <c r="D1847" s="66">
        <v>41746</v>
      </c>
      <c r="E1847" s="68" t="s">
        <v>6809</v>
      </c>
      <c r="F1847" s="69" t="s">
        <v>10540</v>
      </c>
    </row>
    <row r="1848" spans="1:6" ht="14.25" customHeight="1" x14ac:dyDescent="0.2">
      <c r="A1848" s="65">
        <v>60100281153</v>
      </c>
      <c r="B1848" s="76" t="s">
        <v>6809</v>
      </c>
      <c r="C1848" s="65" t="s">
        <v>11178</v>
      </c>
      <c r="D1848" s="66">
        <v>41745</v>
      </c>
      <c r="E1848" s="68" t="s">
        <v>6809</v>
      </c>
      <c r="F1848" s="69" t="s">
        <v>6814</v>
      </c>
    </row>
    <row r="1849" spans="1:6" ht="14.25" customHeight="1" x14ac:dyDescent="0.2">
      <c r="A1849" s="65" t="s">
        <v>11179</v>
      </c>
      <c r="B1849" s="76" t="s">
        <v>11180</v>
      </c>
      <c r="C1849" s="65" t="s">
        <v>11181</v>
      </c>
      <c r="D1849" s="66">
        <v>41745</v>
      </c>
      <c r="E1849" s="68" t="s">
        <v>6809</v>
      </c>
      <c r="F1849" s="69" t="s">
        <v>6814</v>
      </c>
    </row>
    <row r="1850" spans="1:6" ht="14.25" customHeight="1" x14ac:dyDescent="0.2">
      <c r="A1850" s="65" t="s">
        <v>11182</v>
      </c>
      <c r="B1850" s="76" t="s">
        <v>11183</v>
      </c>
      <c r="C1850" s="65" t="s">
        <v>11184</v>
      </c>
      <c r="D1850" s="66">
        <v>41743</v>
      </c>
      <c r="E1850" s="69" t="s">
        <v>10150</v>
      </c>
      <c r="F1850" s="69" t="s">
        <v>11185</v>
      </c>
    </row>
    <row r="1851" spans="1:6" ht="14.25" customHeight="1" x14ac:dyDescent="0.2">
      <c r="A1851" s="65">
        <v>99239999039</v>
      </c>
      <c r="B1851" s="76" t="s">
        <v>6809</v>
      </c>
      <c r="C1851" s="65" t="s">
        <v>11186</v>
      </c>
      <c r="D1851" s="66">
        <v>41743</v>
      </c>
      <c r="E1851" s="69" t="s">
        <v>10150</v>
      </c>
      <c r="F1851" s="69" t="s">
        <v>10540</v>
      </c>
    </row>
    <row r="1852" spans="1:6" ht="14.25" customHeight="1" x14ac:dyDescent="0.2">
      <c r="A1852" s="65">
        <v>99239999041</v>
      </c>
      <c r="B1852" s="76" t="s">
        <v>6809</v>
      </c>
      <c r="C1852" s="65" t="s">
        <v>11187</v>
      </c>
      <c r="D1852" s="66">
        <v>41743</v>
      </c>
      <c r="E1852" s="69" t="s">
        <v>10560</v>
      </c>
      <c r="F1852" s="69" t="s">
        <v>10540</v>
      </c>
    </row>
    <row r="1853" spans="1:6" ht="14.25" customHeight="1" x14ac:dyDescent="0.2">
      <c r="A1853" s="65">
        <v>99239999058</v>
      </c>
      <c r="B1853" s="76" t="s">
        <v>6809</v>
      </c>
      <c r="C1853" s="65" t="s">
        <v>11188</v>
      </c>
      <c r="D1853" s="66">
        <v>41743</v>
      </c>
      <c r="E1853" s="69" t="s">
        <v>6809</v>
      </c>
      <c r="F1853" s="69" t="s">
        <v>10540</v>
      </c>
    </row>
    <row r="1854" spans="1:6" ht="14.25" customHeight="1" x14ac:dyDescent="0.2">
      <c r="A1854" s="65" t="s">
        <v>11189</v>
      </c>
      <c r="B1854" s="76" t="s">
        <v>11190</v>
      </c>
      <c r="C1854" s="65" t="s">
        <v>11191</v>
      </c>
      <c r="D1854" s="66">
        <v>41739</v>
      </c>
      <c r="E1854" s="69" t="s">
        <v>6809</v>
      </c>
      <c r="F1854" s="69" t="s">
        <v>6810</v>
      </c>
    </row>
    <row r="1855" spans="1:6" ht="14.25" customHeight="1" x14ac:dyDescent="0.2">
      <c r="A1855" s="65" t="s">
        <v>11192</v>
      </c>
      <c r="B1855" s="76" t="s">
        <v>4820</v>
      </c>
      <c r="C1855" s="65" t="s">
        <v>11193</v>
      </c>
      <c r="D1855" s="66">
        <v>41739</v>
      </c>
      <c r="E1855" s="69" t="s">
        <v>6809</v>
      </c>
      <c r="F1855" s="69" t="s">
        <v>9499</v>
      </c>
    </row>
    <row r="1856" spans="1:6" ht="14.25" customHeight="1" x14ac:dyDescent="0.2">
      <c r="A1856" s="65" t="s">
        <v>11194</v>
      </c>
      <c r="B1856" s="76" t="s">
        <v>1639</v>
      </c>
      <c r="C1856" s="65" t="s">
        <v>11195</v>
      </c>
      <c r="D1856" s="66">
        <v>41739</v>
      </c>
      <c r="E1856" s="69" t="s">
        <v>6809</v>
      </c>
      <c r="F1856" s="69" t="s">
        <v>6810</v>
      </c>
    </row>
    <row r="1857" spans="1:6" ht="14.25" customHeight="1" x14ac:dyDescent="0.2">
      <c r="A1857" s="65" t="s">
        <v>11196</v>
      </c>
      <c r="B1857" s="76" t="s">
        <v>9812</v>
      </c>
      <c r="C1857" s="65" t="s">
        <v>11197</v>
      </c>
      <c r="D1857" s="66">
        <v>41739</v>
      </c>
      <c r="E1857" s="69" t="s">
        <v>6809</v>
      </c>
      <c r="F1857" s="69" t="s">
        <v>6810</v>
      </c>
    </row>
    <row r="1858" spans="1:6" ht="14.25" customHeight="1" x14ac:dyDescent="0.2">
      <c r="A1858" s="65">
        <v>60100281149</v>
      </c>
      <c r="B1858" s="76" t="s">
        <v>6809</v>
      </c>
      <c r="C1858" s="65" t="s">
        <v>11198</v>
      </c>
      <c r="D1858" s="66">
        <v>41738</v>
      </c>
      <c r="E1858" s="69" t="s">
        <v>6809</v>
      </c>
      <c r="F1858" s="69" t="s">
        <v>6814</v>
      </c>
    </row>
    <row r="1859" spans="1:6" ht="14.25" customHeight="1" x14ac:dyDescent="0.2">
      <c r="A1859" s="65">
        <v>99800103005</v>
      </c>
      <c r="B1859" s="76" t="s">
        <v>6809</v>
      </c>
      <c r="C1859" s="65" t="s">
        <v>11199</v>
      </c>
      <c r="D1859" s="66">
        <v>41733</v>
      </c>
      <c r="E1859" s="69" t="s">
        <v>6809</v>
      </c>
      <c r="F1859" s="69" t="s">
        <v>6810</v>
      </c>
    </row>
    <row r="1860" spans="1:6" ht="14.25" customHeight="1" x14ac:dyDescent="0.2">
      <c r="A1860" s="65">
        <v>99800101007</v>
      </c>
      <c r="B1860" s="76" t="s">
        <v>6809</v>
      </c>
      <c r="C1860" s="65" t="s">
        <v>11200</v>
      </c>
      <c r="D1860" s="66">
        <v>41732</v>
      </c>
      <c r="E1860" s="69" t="s">
        <v>6809</v>
      </c>
      <c r="F1860" s="69" t="s">
        <v>6810</v>
      </c>
    </row>
    <row r="1861" spans="1:6" ht="14.25" customHeight="1" x14ac:dyDescent="0.2">
      <c r="A1861" s="65">
        <v>99800112001</v>
      </c>
      <c r="B1861" s="76" t="s">
        <v>6809</v>
      </c>
      <c r="C1861" s="65" t="s">
        <v>11201</v>
      </c>
      <c r="D1861" s="66">
        <v>41732</v>
      </c>
      <c r="E1861" s="69" t="s">
        <v>6809</v>
      </c>
      <c r="F1861" s="69" t="s">
        <v>6810</v>
      </c>
    </row>
    <row r="1862" spans="1:6" ht="14.25" customHeight="1" x14ac:dyDescent="0.2">
      <c r="A1862" s="65">
        <v>99800112008</v>
      </c>
      <c r="B1862" s="76" t="s">
        <v>6809</v>
      </c>
      <c r="C1862" s="65" t="s">
        <v>9238</v>
      </c>
      <c r="D1862" s="66">
        <v>41732</v>
      </c>
      <c r="E1862" s="69" t="s">
        <v>6809</v>
      </c>
      <c r="F1862" s="69" t="s">
        <v>6810</v>
      </c>
    </row>
    <row r="1863" spans="1:6" ht="14.25" customHeight="1" x14ac:dyDescent="0.2">
      <c r="A1863" s="65">
        <v>99810112007</v>
      </c>
      <c r="B1863" s="76" t="s">
        <v>6809</v>
      </c>
      <c r="C1863" s="65" t="s">
        <v>9362</v>
      </c>
      <c r="D1863" s="66">
        <v>41732</v>
      </c>
      <c r="E1863" s="69" t="s">
        <v>6809</v>
      </c>
      <c r="F1863" s="69" t="s">
        <v>6810</v>
      </c>
    </row>
    <row r="1864" spans="1:6" ht="14.25" customHeight="1" x14ac:dyDescent="0.2">
      <c r="A1864" s="65">
        <v>99239999057</v>
      </c>
      <c r="B1864" s="76" t="s">
        <v>6809</v>
      </c>
      <c r="C1864" s="65" t="s">
        <v>11202</v>
      </c>
      <c r="D1864" s="66">
        <v>41731</v>
      </c>
      <c r="E1864" s="69" t="s">
        <v>6809</v>
      </c>
      <c r="F1864" s="69" t="s">
        <v>6814</v>
      </c>
    </row>
    <row r="1865" spans="1:6" ht="14.25" customHeight="1" x14ac:dyDescent="0.2">
      <c r="A1865" s="65">
        <v>60040199039</v>
      </c>
      <c r="B1865" s="76" t="s">
        <v>6809</v>
      </c>
      <c r="C1865" s="65" t="s">
        <v>11203</v>
      </c>
      <c r="D1865" s="66">
        <v>41730</v>
      </c>
      <c r="E1865" s="69" t="s">
        <v>6809</v>
      </c>
      <c r="F1865" s="69" t="s">
        <v>6814</v>
      </c>
    </row>
    <row r="1866" spans="1:6" ht="14.25" customHeight="1" x14ac:dyDescent="0.2">
      <c r="A1866" s="65">
        <v>60100181116</v>
      </c>
      <c r="B1866" s="76" t="s">
        <v>6809</v>
      </c>
      <c r="C1866" s="65" t="s">
        <v>11204</v>
      </c>
      <c r="D1866" s="66">
        <v>41730</v>
      </c>
      <c r="E1866" s="69" t="s">
        <v>6809</v>
      </c>
      <c r="F1866" s="69" t="s">
        <v>6814</v>
      </c>
    </row>
    <row r="1867" spans="1:6" ht="14.25" customHeight="1" x14ac:dyDescent="0.2">
      <c r="A1867" s="65">
        <v>99810199001</v>
      </c>
      <c r="B1867" s="76" t="s">
        <v>6809</v>
      </c>
      <c r="C1867" s="65" t="s">
        <v>11205</v>
      </c>
      <c r="D1867" s="66">
        <v>41730</v>
      </c>
      <c r="E1867" s="69" t="s">
        <v>6809</v>
      </c>
      <c r="F1867" s="69" t="s">
        <v>10540</v>
      </c>
    </row>
    <row r="1868" spans="1:6" ht="14.25" customHeight="1" x14ac:dyDescent="0.2">
      <c r="A1868" s="65">
        <v>60030101020</v>
      </c>
      <c r="B1868" s="76" t="s">
        <v>6809</v>
      </c>
      <c r="C1868" s="65" t="s">
        <v>11206</v>
      </c>
      <c r="D1868" s="66">
        <v>41726</v>
      </c>
      <c r="E1868" s="69" t="s">
        <v>6809</v>
      </c>
      <c r="F1868" s="69" t="s">
        <v>6814</v>
      </c>
    </row>
    <row r="1869" spans="1:6" ht="14.25" customHeight="1" x14ac:dyDescent="0.2">
      <c r="A1869" s="65" t="s">
        <v>11207</v>
      </c>
      <c r="B1869" s="76" t="s">
        <v>11208</v>
      </c>
      <c r="C1869" s="65" t="s">
        <v>11209</v>
      </c>
      <c r="D1869" s="66">
        <v>41725</v>
      </c>
      <c r="E1869" s="69" t="s">
        <v>6809</v>
      </c>
      <c r="F1869" s="69" t="s">
        <v>6814</v>
      </c>
    </row>
    <row r="1870" spans="1:6" ht="14.25" customHeight="1" x14ac:dyDescent="0.2">
      <c r="A1870" s="65">
        <v>60100181248</v>
      </c>
      <c r="B1870" s="76" t="s">
        <v>6809</v>
      </c>
      <c r="C1870" s="65" t="s">
        <v>11210</v>
      </c>
      <c r="D1870" s="66">
        <v>41725</v>
      </c>
      <c r="E1870" s="69" t="s">
        <v>6809</v>
      </c>
      <c r="F1870" s="69" t="s">
        <v>6814</v>
      </c>
    </row>
    <row r="1871" spans="1:6" ht="14.25" customHeight="1" x14ac:dyDescent="0.2">
      <c r="A1871" s="65">
        <v>60220212002</v>
      </c>
      <c r="B1871" s="76" t="s">
        <v>6809</v>
      </c>
      <c r="C1871" s="65" t="s">
        <v>11211</v>
      </c>
      <c r="D1871" s="66">
        <v>41725</v>
      </c>
      <c r="E1871" s="69" t="s">
        <v>6809</v>
      </c>
      <c r="F1871" s="69" t="s">
        <v>6814</v>
      </c>
    </row>
    <row r="1872" spans="1:6" ht="14.25" customHeight="1" x14ac:dyDescent="0.2">
      <c r="A1872" s="65">
        <v>99800105003</v>
      </c>
      <c r="B1872" s="76" t="s">
        <v>6809</v>
      </c>
      <c r="C1872" s="65" t="s">
        <v>11212</v>
      </c>
      <c r="D1872" s="66">
        <v>41725</v>
      </c>
      <c r="E1872" s="69" t="s">
        <v>6809</v>
      </c>
      <c r="F1872" s="69" t="s">
        <v>6810</v>
      </c>
    </row>
    <row r="1873" spans="1:6" ht="14.25" customHeight="1" x14ac:dyDescent="0.2">
      <c r="A1873" s="65">
        <v>99800110002</v>
      </c>
      <c r="B1873" s="76" t="s">
        <v>6809</v>
      </c>
      <c r="C1873" s="65" t="s">
        <v>11213</v>
      </c>
      <c r="D1873" s="66">
        <v>41725</v>
      </c>
      <c r="E1873" s="69" t="s">
        <v>6809</v>
      </c>
      <c r="F1873" s="69" t="s">
        <v>6810</v>
      </c>
    </row>
    <row r="1874" spans="1:6" ht="14.25" customHeight="1" x14ac:dyDescent="0.2">
      <c r="A1874" s="65">
        <v>99221499010</v>
      </c>
      <c r="B1874" s="76" t="s">
        <v>6809</v>
      </c>
      <c r="C1874" s="65" t="s">
        <v>11214</v>
      </c>
      <c r="D1874" s="66">
        <v>41724</v>
      </c>
      <c r="E1874" s="69" t="s">
        <v>6809</v>
      </c>
      <c r="F1874" s="69" t="s">
        <v>6814</v>
      </c>
    </row>
    <row r="1875" spans="1:6" ht="14.25" customHeight="1" x14ac:dyDescent="0.2">
      <c r="A1875" s="65">
        <v>99220199047</v>
      </c>
      <c r="B1875" s="76" t="s">
        <v>6809</v>
      </c>
      <c r="C1875" s="65" t="s">
        <v>11215</v>
      </c>
      <c r="D1875" s="66">
        <v>41716</v>
      </c>
      <c r="E1875" s="69" t="s">
        <v>6809</v>
      </c>
      <c r="F1875" s="69" t="s">
        <v>10540</v>
      </c>
    </row>
    <row r="1876" spans="1:6" ht="14.25" customHeight="1" x14ac:dyDescent="0.2">
      <c r="A1876" s="65" t="s">
        <v>11216</v>
      </c>
      <c r="B1876" s="76" t="s">
        <v>11217</v>
      </c>
      <c r="C1876" s="65" t="s">
        <v>11218</v>
      </c>
      <c r="D1876" s="66">
        <v>41710</v>
      </c>
      <c r="E1876" s="69" t="s">
        <v>6809</v>
      </c>
      <c r="F1876" s="69" t="s">
        <v>6814</v>
      </c>
    </row>
    <row r="1877" spans="1:6" ht="14.25" customHeight="1" x14ac:dyDescent="0.2">
      <c r="A1877" s="65" t="s">
        <v>11219</v>
      </c>
      <c r="B1877" s="76" t="s">
        <v>11220</v>
      </c>
      <c r="C1877" s="65" t="s">
        <v>11221</v>
      </c>
      <c r="D1877" s="66">
        <v>41710</v>
      </c>
      <c r="E1877" s="69" t="s">
        <v>6809</v>
      </c>
      <c r="F1877" s="69" t="s">
        <v>6810</v>
      </c>
    </row>
    <row r="1878" spans="1:6" ht="14.25" customHeight="1" x14ac:dyDescent="0.2">
      <c r="A1878" s="65">
        <v>99810210003</v>
      </c>
      <c r="B1878" s="76" t="s">
        <v>6809</v>
      </c>
      <c r="C1878" s="65" t="s">
        <v>11222</v>
      </c>
      <c r="D1878" s="66">
        <v>41709</v>
      </c>
      <c r="E1878" s="69" t="s">
        <v>6809</v>
      </c>
      <c r="F1878" s="69" t="s">
        <v>6810</v>
      </c>
    </row>
    <row r="1879" spans="1:6" ht="14.25" customHeight="1" x14ac:dyDescent="0.2">
      <c r="A1879" s="65">
        <v>99811462013</v>
      </c>
      <c r="B1879" s="76" t="s">
        <v>6809</v>
      </c>
      <c r="C1879" s="65" t="s">
        <v>11223</v>
      </c>
      <c r="D1879" s="66">
        <v>41708</v>
      </c>
      <c r="E1879" s="69" t="s">
        <v>6809</v>
      </c>
      <c r="F1879" s="69" t="s">
        <v>6810</v>
      </c>
    </row>
    <row r="1880" spans="1:6" ht="14.25" customHeight="1" x14ac:dyDescent="0.2">
      <c r="A1880" s="65">
        <v>60040181065</v>
      </c>
      <c r="B1880" s="76" t="s">
        <v>6809</v>
      </c>
      <c r="C1880" s="65" t="s">
        <v>11224</v>
      </c>
      <c r="D1880" s="66">
        <v>41702</v>
      </c>
      <c r="E1880" s="69" t="s">
        <v>6809</v>
      </c>
      <c r="F1880" s="69" t="s">
        <v>6814</v>
      </c>
    </row>
    <row r="1881" spans="1:6" ht="14.25" customHeight="1" x14ac:dyDescent="0.2">
      <c r="A1881" s="65">
        <v>99121464013</v>
      </c>
      <c r="B1881" s="76" t="s">
        <v>6809</v>
      </c>
      <c r="C1881" s="65" t="s">
        <v>7230</v>
      </c>
      <c r="D1881" s="66">
        <v>41702</v>
      </c>
      <c r="E1881" s="69" t="s">
        <v>6809</v>
      </c>
      <c r="F1881" s="69" t="s">
        <v>6810</v>
      </c>
    </row>
    <row r="1882" spans="1:6" ht="14.25" customHeight="1" x14ac:dyDescent="0.2">
      <c r="A1882" s="65" t="s">
        <v>11225</v>
      </c>
      <c r="B1882" s="76" t="s">
        <v>11226</v>
      </c>
      <c r="C1882" s="65" t="s">
        <v>11227</v>
      </c>
      <c r="D1882" s="66">
        <v>41701</v>
      </c>
      <c r="E1882" s="69" t="s">
        <v>6809</v>
      </c>
      <c r="F1882" s="69" t="s">
        <v>6814</v>
      </c>
    </row>
    <row r="1883" spans="1:6" ht="14.25" customHeight="1" x14ac:dyDescent="0.2">
      <c r="A1883" s="65" t="s">
        <v>11228</v>
      </c>
      <c r="B1883" s="76" t="s">
        <v>11229</v>
      </c>
      <c r="C1883" s="65" t="s">
        <v>11230</v>
      </c>
      <c r="D1883" s="66">
        <v>41701</v>
      </c>
      <c r="E1883" s="69" t="s">
        <v>6809</v>
      </c>
      <c r="F1883" s="69" t="s">
        <v>6814</v>
      </c>
    </row>
    <row r="1884" spans="1:6" ht="14.25" customHeight="1" x14ac:dyDescent="0.2">
      <c r="A1884" s="65" t="s">
        <v>11231</v>
      </c>
      <c r="B1884" s="76" t="s">
        <v>11232</v>
      </c>
      <c r="C1884" s="65" t="s">
        <v>10984</v>
      </c>
      <c r="D1884" s="66">
        <v>41701</v>
      </c>
      <c r="E1884" s="69" t="s">
        <v>6809</v>
      </c>
      <c r="F1884" s="69" t="s">
        <v>6814</v>
      </c>
    </row>
    <row r="1885" spans="1:6" ht="14.25" customHeight="1" x14ac:dyDescent="0.2">
      <c r="A1885" s="65" t="s">
        <v>11233</v>
      </c>
      <c r="B1885" s="76" t="s">
        <v>11234</v>
      </c>
      <c r="C1885" s="65" t="s">
        <v>11042</v>
      </c>
      <c r="D1885" s="66">
        <v>41701</v>
      </c>
      <c r="E1885" s="69" t="s">
        <v>6809</v>
      </c>
      <c r="F1885" s="69" t="s">
        <v>6814</v>
      </c>
    </row>
    <row r="1886" spans="1:6" ht="14.25" customHeight="1" x14ac:dyDescent="0.2">
      <c r="A1886" s="65" t="s">
        <v>11235</v>
      </c>
      <c r="B1886" s="76" t="s">
        <v>11236</v>
      </c>
      <c r="C1886" s="65" t="s">
        <v>10941</v>
      </c>
      <c r="D1886" s="66">
        <v>41701</v>
      </c>
      <c r="E1886" s="69" t="s">
        <v>6809</v>
      </c>
      <c r="F1886" s="69" t="s">
        <v>6814</v>
      </c>
    </row>
    <row r="1887" spans="1:6" ht="14.25" customHeight="1" x14ac:dyDescent="0.2">
      <c r="A1887" s="65" t="s">
        <v>11237</v>
      </c>
      <c r="B1887" s="76" t="s">
        <v>11238</v>
      </c>
      <c r="C1887" s="65" t="s">
        <v>11239</v>
      </c>
      <c r="D1887" s="66">
        <v>41701</v>
      </c>
      <c r="E1887" s="69" t="s">
        <v>6809</v>
      </c>
      <c r="F1887" s="69" t="s">
        <v>6814</v>
      </c>
    </row>
    <row r="1888" spans="1:6" ht="14.25" customHeight="1" x14ac:dyDescent="0.2">
      <c r="A1888" s="65" t="s">
        <v>11240</v>
      </c>
      <c r="B1888" s="76" t="s">
        <v>11241</v>
      </c>
      <c r="C1888" s="65" t="s">
        <v>11242</v>
      </c>
      <c r="D1888" s="66">
        <v>41701</v>
      </c>
      <c r="E1888" s="69" t="s">
        <v>6809</v>
      </c>
      <c r="F1888" s="69" t="s">
        <v>6814</v>
      </c>
    </row>
    <row r="1889" spans="1:6" ht="14.25" customHeight="1" x14ac:dyDescent="0.2">
      <c r="A1889" s="65" t="s">
        <v>11243</v>
      </c>
      <c r="B1889" s="76" t="s">
        <v>11244</v>
      </c>
      <c r="C1889" s="65" t="s">
        <v>10852</v>
      </c>
      <c r="D1889" s="66">
        <v>41701</v>
      </c>
      <c r="E1889" s="69" t="s">
        <v>6809</v>
      </c>
      <c r="F1889" s="69" t="s">
        <v>6814</v>
      </c>
    </row>
    <row r="1890" spans="1:6" ht="14.25" customHeight="1" x14ac:dyDescent="0.2">
      <c r="A1890" s="65" t="s">
        <v>11245</v>
      </c>
      <c r="B1890" s="76" t="s">
        <v>11246</v>
      </c>
      <c r="C1890" s="65" t="s">
        <v>11005</v>
      </c>
      <c r="D1890" s="66">
        <v>41701</v>
      </c>
      <c r="E1890" s="69" t="s">
        <v>6809</v>
      </c>
      <c r="F1890" s="69" t="s">
        <v>6814</v>
      </c>
    </row>
    <row r="1891" spans="1:6" ht="14.25" customHeight="1" x14ac:dyDescent="0.2">
      <c r="A1891" s="65" t="s">
        <v>11247</v>
      </c>
      <c r="B1891" s="76" t="s">
        <v>11248</v>
      </c>
      <c r="C1891" s="65" t="s">
        <v>11249</v>
      </c>
      <c r="D1891" s="66">
        <v>41701</v>
      </c>
      <c r="E1891" s="69" t="s">
        <v>6809</v>
      </c>
      <c r="F1891" s="69" t="s">
        <v>6814</v>
      </c>
    </row>
    <row r="1892" spans="1:6" ht="14.25" customHeight="1" x14ac:dyDescent="0.2">
      <c r="A1892" s="65" t="s">
        <v>11250</v>
      </c>
      <c r="B1892" s="76" t="s">
        <v>11251</v>
      </c>
      <c r="C1892" s="65" t="s">
        <v>11252</v>
      </c>
      <c r="D1892" s="66">
        <v>41701</v>
      </c>
      <c r="E1892" s="69" t="s">
        <v>6809</v>
      </c>
      <c r="F1892" s="69" t="s">
        <v>6814</v>
      </c>
    </row>
    <row r="1893" spans="1:6" ht="14.25" customHeight="1" x14ac:dyDescent="0.2">
      <c r="A1893" s="65" t="s">
        <v>11253</v>
      </c>
      <c r="B1893" s="76" t="s">
        <v>11254</v>
      </c>
      <c r="C1893" s="65" t="s">
        <v>11255</v>
      </c>
      <c r="D1893" s="66">
        <v>41701</v>
      </c>
      <c r="E1893" s="69" t="s">
        <v>6809</v>
      </c>
      <c r="F1893" s="69" t="s">
        <v>6814</v>
      </c>
    </row>
    <row r="1894" spans="1:6" ht="14.25" customHeight="1" x14ac:dyDescent="0.2">
      <c r="A1894" s="65" t="s">
        <v>11256</v>
      </c>
      <c r="B1894" s="76" t="s">
        <v>11257</v>
      </c>
      <c r="C1894" s="65" t="s">
        <v>11258</v>
      </c>
      <c r="D1894" s="66">
        <v>41701</v>
      </c>
      <c r="E1894" s="69" t="s">
        <v>6809</v>
      </c>
      <c r="F1894" s="69" t="s">
        <v>6814</v>
      </c>
    </row>
    <row r="1895" spans="1:6" ht="14.25" customHeight="1" x14ac:dyDescent="0.2">
      <c r="A1895" s="65" t="s">
        <v>11259</v>
      </c>
      <c r="B1895" s="76">
        <v>0</v>
      </c>
      <c r="C1895" s="65" t="s">
        <v>11260</v>
      </c>
      <c r="D1895" s="66">
        <v>41701</v>
      </c>
      <c r="E1895" s="69" t="s">
        <v>6809</v>
      </c>
      <c r="F1895" s="69" t="s">
        <v>6814</v>
      </c>
    </row>
    <row r="1896" spans="1:6" ht="14.25" customHeight="1" x14ac:dyDescent="0.2">
      <c r="A1896" s="65" t="s">
        <v>11261</v>
      </c>
      <c r="B1896" s="76" t="s">
        <v>1475</v>
      </c>
      <c r="C1896" s="65" t="s">
        <v>11262</v>
      </c>
      <c r="D1896" s="66">
        <v>41701</v>
      </c>
      <c r="E1896" s="69" t="s">
        <v>10123</v>
      </c>
      <c r="F1896" s="69" t="s">
        <v>11263</v>
      </c>
    </row>
    <row r="1897" spans="1:6" ht="14.25" customHeight="1" x14ac:dyDescent="0.2">
      <c r="A1897" s="65" t="s">
        <v>11264</v>
      </c>
      <c r="B1897" s="76" t="s">
        <v>1459</v>
      </c>
      <c r="C1897" s="65" t="s">
        <v>1437</v>
      </c>
      <c r="D1897" s="66">
        <v>41701</v>
      </c>
      <c r="E1897" s="68" t="s">
        <v>10560</v>
      </c>
      <c r="F1897" s="69" t="s">
        <v>11263</v>
      </c>
    </row>
    <row r="1898" spans="1:6" ht="14.25" customHeight="1" x14ac:dyDescent="0.2">
      <c r="A1898" s="65" t="s">
        <v>11265</v>
      </c>
      <c r="B1898" s="76" t="s">
        <v>1479</v>
      </c>
      <c r="C1898" s="65" t="s">
        <v>7642</v>
      </c>
      <c r="D1898" s="66">
        <v>41701</v>
      </c>
      <c r="E1898" s="69" t="s">
        <v>10123</v>
      </c>
      <c r="F1898" s="69" t="s">
        <v>11263</v>
      </c>
    </row>
    <row r="1899" spans="1:6" ht="14.25" customHeight="1" x14ac:dyDescent="0.2">
      <c r="A1899" s="65" t="s">
        <v>11266</v>
      </c>
      <c r="B1899" s="76" t="s">
        <v>1499</v>
      </c>
      <c r="C1899" s="65" t="s">
        <v>7639</v>
      </c>
      <c r="D1899" s="66">
        <v>41701</v>
      </c>
      <c r="E1899" s="69" t="s">
        <v>10123</v>
      </c>
      <c r="F1899" s="69" t="s">
        <v>11263</v>
      </c>
    </row>
    <row r="1900" spans="1:6" ht="14.25" customHeight="1" x14ac:dyDescent="0.2">
      <c r="A1900" s="65" t="s">
        <v>11267</v>
      </c>
      <c r="B1900" s="76" t="s">
        <v>1487</v>
      </c>
      <c r="C1900" s="65" t="s">
        <v>11268</v>
      </c>
      <c r="D1900" s="66">
        <v>41701</v>
      </c>
      <c r="E1900" s="69" t="s">
        <v>10123</v>
      </c>
      <c r="F1900" s="69" t="s">
        <v>11263</v>
      </c>
    </row>
    <row r="1901" spans="1:6" ht="14.25" customHeight="1" x14ac:dyDescent="0.2">
      <c r="A1901" s="65" t="s">
        <v>11269</v>
      </c>
      <c r="B1901" s="76" t="s">
        <v>1483</v>
      </c>
      <c r="C1901" s="65" t="s">
        <v>11270</v>
      </c>
      <c r="D1901" s="66">
        <v>41701</v>
      </c>
      <c r="E1901" s="68" t="s">
        <v>10560</v>
      </c>
      <c r="F1901" s="69" t="s">
        <v>11263</v>
      </c>
    </row>
    <row r="1902" spans="1:6" ht="14.25" customHeight="1" x14ac:dyDescent="0.2">
      <c r="A1902" s="65" t="s">
        <v>11271</v>
      </c>
      <c r="B1902" s="76" t="s">
        <v>11272</v>
      </c>
      <c r="C1902" s="65" t="s">
        <v>11273</v>
      </c>
      <c r="D1902" s="66">
        <v>41701</v>
      </c>
      <c r="E1902" s="69" t="s">
        <v>6809</v>
      </c>
      <c r="F1902" s="69" t="s">
        <v>11263</v>
      </c>
    </row>
    <row r="1903" spans="1:6" ht="14.25" customHeight="1" x14ac:dyDescent="0.2">
      <c r="A1903" s="65" t="s">
        <v>11274</v>
      </c>
      <c r="B1903" s="76" t="s">
        <v>1463</v>
      </c>
      <c r="C1903" s="65" t="s">
        <v>7648</v>
      </c>
      <c r="D1903" s="66">
        <v>41701</v>
      </c>
      <c r="E1903" s="69" t="s">
        <v>10123</v>
      </c>
      <c r="F1903" s="69" t="s">
        <v>11263</v>
      </c>
    </row>
    <row r="1904" spans="1:6" ht="14.25" customHeight="1" x14ac:dyDescent="0.2">
      <c r="A1904" s="65" t="s">
        <v>2919</v>
      </c>
      <c r="B1904" s="76" t="s">
        <v>2918</v>
      </c>
      <c r="C1904" s="65" t="s">
        <v>10804</v>
      </c>
      <c r="D1904" s="66">
        <v>41697</v>
      </c>
      <c r="E1904" s="69" t="s">
        <v>6809</v>
      </c>
      <c r="F1904" s="69" t="s">
        <v>6814</v>
      </c>
    </row>
    <row r="1905" spans="1:6" ht="14.25" customHeight="1" x14ac:dyDescent="0.2">
      <c r="A1905" s="65" t="s">
        <v>11275</v>
      </c>
      <c r="B1905" s="76" t="s">
        <v>11276</v>
      </c>
      <c r="C1905" s="65" t="s">
        <v>11277</v>
      </c>
      <c r="D1905" s="66">
        <v>41696</v>
      </c>
      <c r="E1905" s="69" t="s">
        <v>6809</v>
      </c>
      <c r="F1905" s="69" t="s">
        <v>6810</v>
      </c>
    </row>
    <row r="1906" spans="1:6" ht="14.25" customHeight="1" x14ac:dyDescent="0.2">
      <c r="A1906" s="65" t="s">
        <v>11278</v>
      </c>
      <c r="B1906" s="76" t="s">
        <v>11279</v>
      </c>
      <c r="C1906" s="65" t="s">
        <v>11280</v>
      </c>
      <c r="D1906" s="66">
        <v>41694</v>
      </c>
      <c r="E1906" s="69" t="s">
        <v>6809</v>
      </c>
      <c r="F1906" s="69" t="s">
        <v>6810</v>
      </c>
    </row>
    <row r="1907" spans="1:6" ht="14.25" customHeight="1" x14ac:dyDescent="0.2">
      <c r="A1907" s="65" t="s">
        <v>11281</v>
      </c>
      <c r="B1907" s="76" t="s">
        <v>11282</v>
      </c>
      <c r="C1907" s="65" t="s">
        <v>11283</v>
      </c>
      <c r="D1907" s="66">
        <v>41688</v>
      </c>
      <c r="E1907" s="69" t="s">
        <v>6809</v>
      </c>
      <c r="F1907" s="69" t="s">
        <v>6814</v>
      </c>
    </row>
    <row r="1908" spans="1:6" ht="14.25" customHeight="1" x14ac:dyDescent="0.2">
      <c r="A1908" s="65" t="s">
        <v>11284</v>
      </c>
      <c r="B1908" s="76" t="s">
        <v>11285</v>
      </c>
      <c r="C1908" s="65" t="s">
        <v>11286</v>
      </c>
      <c r="D1908" s="66">
        <v>41683</v>
      </c>
      <c r="E1908" s="69" t="s">
        <v>6809</v>
      </c>
      <c r="F1908" s="69" t="s">
        <v>6814</v>
      </c>
    </row>
    <row r="1909" spans="1:6" ht="14.25" customHeight="1" x14ac:dyDescent="0.2">
      <c r="A1909" s="65" t="s">
        <v>11287</v>
      </c>
      <c r="B1909" s="76" t="s">
        <v>1813</v>
      </c>
      <c r="C1909" s="65" t="s">
        <v>11288</v>
      </c>
      <c r="D1909" s="66">
        <v>41683</v>
      </c>
      <c r="E1909" s="69" t="s">
        <v>10123</v>
      </c>
      <c r="F1909" s="69" t="s">
        <v>6814</v>
      </c>
    </row>
    <row r="1910" spans="1:6" ht="14.25" customHeight="1" x14ac:dyDescent="0.2">
      <c r="A1910" s="65" t="s">
        <v>10182</v>
      </c>
      <c r="B1910" s="76" t="s">
        <v>10183</v>
      </c>
      <c r="C1910" s="65" t="s">
        <v>10184</v>
      </c>
      <c r="D1910" s="66">
        <v>41683</v>
      </c>
      <c r="E1910" s="69" t="s">
        <v>6809</v>
      </c>
      <c r="F1910" s="69" t="s">
        <v>6810</v>
      </c>
    </row>
    <row r="1911" spans="1:6" ht="14.25" customHeight="1" x14ac:dyDescent="0.2">
      <c r="A1911" s="65" t="s">
        <v>11289</v>
      </c>
      <c r="B1911" s="76" t="s">
        <v>11290</v>
      </c>
      <c r="C1911" s="65" t="s">
        <v>11291</v>
      </c>
      <c r="D1911" s="66">
        <v>41683</v>
      </c>
      <c r="E1911" s="69" t="s">
        <v>6809</v>
      </c>
      <c r="F1911" s="69" t="s">
        <v>6810</v>
      </c>
    </row>
    <row r="1912" spans="1:6" ht="14.25" customHeight="1" x14ac:dyDescent="0.2">
      <c r="A1912" s="65" t="s">
        <v>11292</v>
      </c>
      <c r="B1912" s="76" t="s">
        <v>972</v>
      </c>
      <c r="C1912" s="65" t="s">
        <v>11293</v>
      </c>
      <c r="D1912" s="66">
        <v>41681</v>
      </c>
      <c r="E1912" s="69" t="s">
        <v>6809</v>
      </c>
      <c r="F1912" s="69" t="s">
        <v>6810</v>
      </c>
    </row>
    <row r="1913" spans="1:6" ht="14.25" customHeight="1" x14ac:dyDescent="0.2">
      <c r="A1913" s="65" t="s">
        <v>11294</v>
      </c>
      <c r="B1913" s="76" t="s">
        <v>6835</v>
      </c>
      <c r="C1913" s="65" t="s">
        <v>11295</v>
      </c>
      <c r="D1913" s="66">
        <v>41681</v>
      </c>
      <c r="E1913" s="69" t="s">
        <v>6809</v>
      </c>
      <c r="F1913" s="69" t="s">
        <v>6810</v>
      </c>
    </row>
    <row r="1914" spans="1:6" ht="14.25" customHeight="1" x14ac:dyDescent="0.2">
      <c r="A1914" s="65" t="s">
        <v>11296</v>
      </c>
      <c r="B1914" s="76" t="s">
        <v>11297</v>
      </c>
      <c r="C1914" s="65" t="s">
        <v>11298</v>
      </c>
      <c r="D1914" s="66">
        <v>41681</v>
      </c>
      <c r="E1914" s="69" t="s">
        <v>6809</v>
      </c>
      <c r="F1914" s="69" t="s">
        <v>9499</v>
      </c>
    </row>
    <row r="1915" spans="1:6" ht="14.25" customHeight="1" x14ac:dyDescent="0.2">
      <c r="A1915" s="65" t="s">
        <v>11299</v>
      </c>
      <c r="B1915" s="76" t="s">
        <v>11300</v>
      </c>
      <c r="C1915" s="65" t="s">
        <v>11301</v>
      </c>
      <c r="D1915" s="66">
        <v>41681</v>
      </c>
      <c r="E1915" s="68" t="s">
        <v>10150</v>
      </c>
      <c r="F1915" s="69" t="s">
        <v>6814</v>
      </c>
    </row>
    <row r="1916" spans="1:6" ht="14.25" customHeight="1" x14ac:dyDescent="0.2">
      <c r="A1916" s="65" t="s">
        <v>11302</v>
      </c>
      <c r="B1916" s="76" t="s">
        <v>11303</v>
      </c>
      <c r="C1916" s="65" t="s">
        <v>11304</v>
      </c>
      <c r="D1916" s="66">
        <v>41681</v>
      </c>
      <c r="E1916" s="69" t="s">
        <v>6809</v>
      </c>
      <c r="F1916" s="69" t="s">
        <v>6810</v>
      </c>
    </row>
    <row r="1917" spans="1:6" ht="14.25" customHeight="1" x14ac:dyDescent="0.2">
      <c r="A1917" s="65" t="s">
        <v>11305</v>
      </c>
      <c r="B1917" s="76" t="s">
        <v>11306</v>
      </c>
      <c r="C1917" s="65" t="s">
        <v>11307</v>
      </c>
      <c r="D1917" s="66">
        <v>41681</v>
      </c>
      <c r="E1917" s="69" t="s">
        <v>6809</v>
      </c>
      <c r="F1917" s="69" t="s">
        <v>6810</v>
      </c>
    </row>
    <row r="1918" spans="1:6" ht="14.25" customHeight="1" x14ac:dyDescent="0.2">
      <c r="A1918" s="65" t="s">
        <v>11308</v>
      </c>
      <c r="B1918" s="76" t="s">
        <v>11309</v>
      </c>
      <c r="C1918" s="65" t="s">
        <v>7464</v>
      </c>
      <c r="D1918" s="66">
        <v>41681</v>
      </c>
      <c r="E1918" s="69" t="s">
        <v>6809</v>
      </c>
      <c r="F1918" s="69" t="s">
        <v>6814</v>
      </c>
    </row>
    <row r="1919" spans="1:6" ht="14.25" customHeight="1" x14ac:dyDescent="0.2">
      <c r="A1919" s="65" t="s">
        <v>11310</v>
      </c>
      <c r="B1919" s="76" t="s">
        <v>11311</v>
      </c>
      <c r="C1919" s="65" t="s">
        <v>11312</v>
      </c>
      <c r="D1919" s="66">
        <v>41676</v>
      </c>
      <c r="E1919" s="69" t="s">
        <v>6809</v>
      </c>
      <c r="F1919" s="69" t="s">
        <v>6810</v>
      </c>
    </row>
    <row r="1920" spans="1:6" ht="14.25" customHeight="1" x14ac:dyDescent="0.2">
      <c r="A1920" s="65" t="s">
        <v>11313</v>
      </c>
      <c r="B1920" s="76" t="s">
        <v>11314</v>
      </c>
      <c r="C1920" s="65" t="s">
        <v>11315</v>
      </c>
      <c r="D1920" s="66">
        <v>41675</v>
      </c>
      <c r="E1920" s="69" t="s">
        <v>6809</v>
      </c>
      <c r="F1920" s="69" t="s">
        <v>6810</v>
      </c>
    </row>
    <row r="1921" spans="1:6" ht="14.25" customHeight="1" x14ac:dyDescent="0.2">
      <c r="A1921" s="65" t="s">
        <v>11316</v>
      </c>
      <c r="B1921" s="76" t="s">
        <v>11317</v>
      </c>
      <c r="C1921" s="65" t="s">
        <v>11318</v>
      </c>
      <c r="D1921" s="66">
        <v>41675</v>
      </c>
      <c r="E1921" s="69" t="s">
        <v>6809</v>
      </c>
      <c r="F1921" s="69" t="s">
        <v>6814</v>
      </c>
    </row>
    <row r="1922" spans="1:6" ht="14.25" customHeight="1" x14ac:dyDescent="0.2">
      <c r="A1922" s="65" t="s">
        <v>11319</v>
      </c>
      <c r="B1922" s="76" t="s">
        <v>11320</v>
      </c>
      <c r="C1922" s="65" t="s">
        <v>11321</v>
      </c>
      <c r="D1922" s="66">
        <v>41675</v>
      </c>
      <c r="E1922" s="69" t="s">
        <v>6809</v>
      </c>
      <c r="F1922" s="69" t="s">
        <v>6810</v>
      </c>
    </row>
    <row r="1923" spans="1:6" ht="14.25" customHeight="1" x14ac:dyDescent="0.2">
      <c r="A1923" s="65" t="s">
        <v>11322</v>
      </c>
      <c r="B1923" s="76" t="s">
        <v>11323</v>
      </c>
      <c r="C1923" s="65" t="s">
        <v>11324</v>
      </c>
      <c r="D1923" s="66">
        <v>41670</v>
      </c>
      <c r="E1923" s="69" t="s">
        <v>10123</v>
      </c>
      <c r="F1923" s="69" t="s">
        <v>10540</v>
      </c>
    </row>
    <row r="1924" spans="1:6" ht="14.25" customHeight="1" x14ac:dyDescent="0.2">
      <c r="A1924" s="65" t="s">
        <v>11325</v>
      </c>
      <c r="B1924" s="76" t="s">
        <v>11326</v>
      </c>
      <c r="C1924" s="65" t="s">
        <v>11327</v>
      </c>
      <c r="D1924" s="66">
        <v>41670</v>
      </c>
      <c r="E1924" s="69" t="s">
        <v>6809</v>
      </c>
      <c r="F1924" s="69" t="s">
        <v>10540</v>
      </c>
    </row>
    <row r="1925" spans="1:6" ht="14.25" customHeight="1" x14ac:dyDescent="0.2">
      <c r="A1925" s="65" t="s">
        <v>11328</v>
      </c>
      <c r="B1925" s="76" t="s">
        <v>3420</v>
      </c>
      <c r="C1925" s="65" t="s">
        <v>11329</v>
      </c>
      <c r="D1925" s="66">
        <v>41670</v>
      </c>
      <c r="E1925" s="69" t="s">
        <v>10123</v>
      </c>
      <c r="F1925" s="69" t="s">
        <v>10540</v>
      </c>
    </row>
    <row r="1926" spans="1:6" ht="14.25" customHeight="1" x14ac:dyDescent="0.2">
      <c r="A1926" s="65" t="s">
        <v>11330</v>
      </c>
      <c r="B1926" s="76" t="s">
        <v>796</v>
      </c>
      <c r="C1926" s="65" t="s">
        <v>11331</v>
      </c>
      <c r="D1926" s="66">
        <v>41670</v>
      </c>
      <c r="E1926" s="69" t="s">
        <v>6809</v>
      </c>
      <c r="F1926" s="69" t="s">
        <v>10540</v>
      </c>
    </row>
    <row r="1927" spans="1:6" ht="14.25" customHeight="1" x14ac:dyDescent="0.2">
      <c r="A1927" s="65" t="s">
        <v>11332</v>
      </c>
      <c r="B1927" s="76" t="s">
        <v>11333</v>
      </c>
      <c r="C1927" s="65" t="s">
        <v>10939</v>
      </c>
      <c r="D1927" s="66">
        <v>41669</v>
      </c>
      <c r="E1927" s="69" t="s">
        <v>6809</v>
      </c>
      <c r="F1927" s="69" t="s">
        <v>6814</v>
      </c>
    </row>
    <row r="1928" spans="1:6" ht="14.25" customHeight="1" x14ac:dyDescent="0.2">
      <c r="A1928" s="65" t="s">
        <v>11334</v>
      </c>
      <c r="B1928" s="76" t="s">
        <v>6809</v>
      </c>
      <c r="C1928" s="65" t="s">
        <v>11335</v>
      </c>
      <c r="D1928" s="66">
        <v>41669</v>
      </c>
      <c r="E1928" s="69" t="s">
        <v>6809</v>
      </c>
      <c r="F1928" s="69" t="s">
        <v>6814</v>
      </c>
    </row>
    <row r="1929" spans="1:6" ht="14.25" customHeight="1" x14ac:dyDescent="0.2">
      <c r="A1929" s="65" t="s">
        <v>11336</v>
      </c>
      <c r="B1929" s="76" t="s">
        <v>6809</v>
      </c>
      <c r="C1929" s="65" t="s">
        <v>11337</v>
      </c>
      <c r="D1929" s="66">
        <v>41669</v>
      </c>
      <c r="E1929" s="69" t="s">
        <v>6809</v>
      </c>
      <c r="F1929" s="69" t="s">
        <v>6814</v>
      </c>
    </row>
    <row r="1930" spans="1:6" ht="14.25" customHeight="1" x14ac:dyDescent="0.2">
      <c r="A1930" s="65" t="s">
        <v>11338</v>
      </c>
      <c r="B1930" s="76" t="s">
        <v>11339</v>
      </c>
      <c r="C1930" s="65" t="s">
        <v>11340</v>
      </c>
      <c r="D1930" s="66">
        <v>41667</v>
      </c>
      <c r="E1930" s="69" t="s">
        <v>6809</v>
      </c>
      <c r="F1930" s="69" t="s">
        <v>6810</v>
      </c>
    </row>
    <row r="1931" spans="1:6" ht="14.25" customHeight="1" x14ac:dyDescent="0.2">
      <c r="A1931" s="65" t="s">
        <v>11341</v>
      </c>
      <c r="B1931" s="76" t="s">
        <v>11342</v>
      </c>
      <c r="C1931" s="65" t="s">
        <v>11343</v>
      </c>
      <c r="D1931" s="66">
        <v>41667</v>
      </c>
      <c r="E1931" s="69" t="s">
        <v>6809</v>
      </c>
      <c r="F1931" s="69" t="s">
        <v>6810</v>
      </c>
    </row>
    <row r="1932" spans="1:6" ht="14.25" customHeight="1" x14ac:dyDescent="0.2">
      <c r="A1932" s="65" t="s">
        <v>11344</v>
      </c>
      <c r="B1932" s="76" t="s">
        <v>11345</v>
      </c>
      <c r="C1932" s="65" t="s">
        <v>11346</v>
      </c>
      <c r="D1932" s="66">
        <v>41667</v>
      </c>
      <c r="E1932" s="69" t="s">
        <v>6809</v>
      </c>
      <c r="F1932" s="69" t="s">
        <v>6810</v>
      </c>
    </row>
    <row r="1933" spans="1:6" ht="14.25" customHeight="1" x14ac:dyDescent="0.2">
      <c r="A1933" s="65" t="s">
        <v>11347</v>
      </c>
      <c r="B1933" s="76" t="s">
        <v>9088</v>
      </c>
      <c r="C1933" s="65" t="s">
        <v>11348</v>
      </c>
      <c r="D1933" s="66">
        <v>41666</v>
      </c>
      <c r="E1933" s="69" t="s">
        <v>6809</v>
      </c>
      <c r="F1933" s="69" t="s">
        <v>9499</v>
      </c>
    </row>
    <row r="1934" spans="1:6" ht="14.25" customHeight="1" x14ac:dyDescent="0.2">
      <c r="A1934" s="65" t="s">
        <v>11349</v>
      </c>
      <c r="B1934" s="76" t="s">
        <v>9702</v>
      </c>
      <c r="C1934" s="65" t="s">
        <v>11350</v>
      </c>
      <c r="D1934" s="66">
        <v>41666</v>
      </c>
      <c r="E1934" s="69" t="s">
        <v>6809</v>
      </c>
      <c r="F1934" s="69" t="s">
        <v>10192</v>
      </c>
    </row>
    <row r="1935" spans="1:6" ht="14.25" customHeight="1" x14ac:dyDescent="0.2">
      <c r="A1935" s="65" t="s">
        <v>11351</v>
      </c>
      <c r="B1935" s="76" t="s">
        <v>11352</v>
      </c>
      <c r="C1935" s="65" t="s">
        <v>11353</v>
      </c>
      <c r="D1935" s="66">
        <v>41661</v>
      </c>
      <c r="E1935" s="69" t="s">
        <v>6809</v>
      </c>
      <c r="F1935" s="69" t="s">
        <v>6814</v>
      </c>
    </row>
    <row r="1936" spans="1:6" ht="14.25" customHeight="1" x14ac:dyDescent="0.2">
      <c r="A1936" s="65" t="s">
        <v>11354</v>
      </c>
      <c r="B1936" s="76" t="s">
        <v>11355</v>
      </c>
      <c r="C1936" s="65" t="s">
        <v>11356</v>
      </c>
      <c r="D1936" s="66">
        <v>41660</v>
      </c>
      <c r="E1936" s="69" t="s">
        <v>6809</v>
      </c>
      <c r="F1936" s="69" t="s">
        <v>6810</v>
      </c>
    </row>
    <row r="1937" spans="1:6" ht="14.25" customHeight="1" x14ac:dyDescent="0.2">
      <c r="A1937" s="65" t="s">
        <v>11357</v>
      </c>
      <c r="B1937" s="76" t="s">
        <v>11358</v>
      </c>
      <c r="C1937" s="65" t="s">
        <v>11359</v>
      </c>
      <c r="D1937" s="66">
        <v>41659</v>
      </c>
      <c r="E1937" s="69" t="s">
        <v>6809</v>
      </c>
      <c r="F1937" s="69" t="s">
        <v>6810</v>
      </c>
    </row>
    <row r="1938" spans="1:6" ht="14.25" customHeight="1" x14ac:dyDescent="0.2">
      <c r="A1938" s="70" t="s">
        <v>11360</v>
      </c>
      <c r="B1938" s="76" t="s">
        <v>11361</v>
      </c>
      <c r="C1938" s="65" t="s">
        <v>11362</v>
      </c>
      <c r="D1938" s="71">
        <v>41655</v>
      </c>
      <c r="E1938" s="69" t="s">
        <v>6809</v>
      </c>
      <c r="F1938" s="69" t="s">
        <v>6810</v>
      </c>
    </row>
    <row r="1939" spans="1:6" ht="14.25" customHeight="1" x14ac:dyDescent="0.2">
      <c r="A1939" s="65" t="s">
        <v>11363</v>
      </c>
      <c r="B1939" s="76" t="s">
        <v>11364</v>
      </c>
      <c r="C1939" s="65" t="s">
        <v>11365</v>
      </c>
      <c r="D1939" s="66">
        <v>41647</v>
      </c>
      <c r="E1939" s="69" t="s">
        <v>6809</v>
      </c>
      <c r="F1939" s="69" t="s">
        <v>6814</v>
      </c>
    </row>
    <row r="1940" spans="1:6" ht="14.25" customHeight="1" x14ac:dyDescent="0.2">
      <c r="A1940" s="65" t="s">
        <v>11366</v>
      </c>
      <c r="B1940" s="76" t="s">
        <v>11367</v>
      </c>
      <c r="C1940" s="65" t="s">
        <v>11368</v>
      </c>
      <c r="D1940" s="66">
        <v>41647</v>
      </c>
      <c r="E1940" s="69" t="s">
        <v>6809</v>
      </c>
      <c r="F1940" s="69" t="s">
        <v>6814</v>
      </c>
    </row>
    <row r="1941" spans="1:6" ht="14.25" customHeight="1" x14ac:dyDescent="0.2">
      <c r="A1941" s="65" t="s">
        <v>11369</v>
      </c>
      <c r="B1941" s="76" t="s">
        <v>11370</v>
      </c>
      <c r="C1941" s="65" t="s">
        <v>11371</v>
      </c>
      <c r="D1941" s="66">
        <v>41647</v>
      </c>
      <c r="E1941" s="69" t="s">
        <v>6809</v>
      </c>
      <c r="F1941" s="69" t="s">
        <v>6814</v>
      </c>
    </row>
    <row r="1942" spans="1:6" ht="14.25" customHeight="1" x14ac:dyDescent="0.2">
      <c r="A1942" s="65" t="s">
        <v>11372</v>
      </c>
      <c r="B1942" s="76" t="s">
        <v>11373</v>
      </c>
      <c r="C1942" s="65" t="s">
        <v>11004</v>
      </c>
      <c r="D1942" s="66">
        <v>41647</v>
      </c>
      <c r="E1942" s="69" t="s">
        <v>6809</v>
      </c>
      <c r="F1942" s="69" t="s">
        <v>6814</v>
      </c>
    </row>
    <row r="1943" spans="1:6" ht="14.25" customHeight="1" x14ac:dyDescent="0.2">
      <c r="A1943" s="65" t="s">
        <v>11374</v>
      </c>
      <c r="B1943" s="76" t="s">
        <v>11375</v>
      </c>
      <c r="C1943" s="65" t="s">
        <v>11178</v>
      </c>
      <c r="D1943" s="66">
        <v>41647</v>
      </c>
      <c r="E1943" s="69" t="s">
        <v>6809</v>
      </c>
      <c r="F1943" s="69" t="s">
        <v>6814</v>
      </c>
    </row>
    <row r="1944" spans="1:6" ht="14.25" customHeight="1" x14ac:dyDescent="0.2">
      <c r="A1944" s="65" t="s">
        <v>11376</v>
      </c>
      <c r="B1944" s="76" t="s">
        <v>4088</v>
      </c>
      <c r="C1944" s="65" t="s">
        <v>11377</v>
      </c>
      <c r="D1944" s="66">
        <v>41647</v>
      </c>
      <c r="E1944" s="69" t="s">
        <v>6809</v>
      </c>
      <c r="F1944" s="69" t="s">
        <v>6814</v>
      </c>
    </row>
    <row r="1945" spans="1:6" ht="14.25" customHeight="1" x14ac:dyDescent="0.2">
      <c r="A1945" s="65" t="s">
        <v>11378</v>
      </c>
      <c r="B1945" s="76" t="s">
        <v>8554</v>
      </c>
      <c r="C1945" s="65" t="s">
        <v>11379</v>
      </c>
      <c r="D1945" s="66">
        <v>41647</v>
      </c>
      <c r="E1945" s="69" t="s">
        <v>6809</v>
      </c>
      <c r="F1945" s="69" t="s">
        <v>10192</v>
      </c>
    </row>
    <row r="1946" spans="1:6" ht="14.25" customHeight="1" x14ac:dyDescent="0.2">
      <c r="A1946" s="65" t="s">
        <v>11380</v>
      </c>
      <c r="B1946" s="76" t="s">
        <v>11381</v>
      </c>
      <c r="C1946" s="65" t="s">
        <v>7949</v>
      </c>
      <c r="D1946" s="66">
        <v>41647</v>
      </c>
      <c r="E1946" s="69" t="s">
        <v>6809</v>
      </c>
      <c r="F1946" s="69" t="s">
        <v>9499</v>
      </c>
    </row>
    <row r="1947" spans="1:6" ht="14.25" customHeight="1" x14ac:dyDescent="0.2">
      <c r="A1947" s="65" t="s">
        <v>11382</v>
      </c>
      <c r="B1947" s="76" t="s">
        <v>4830</v>
      </c>
      <c r="C1947" s="65" t="s">
        <v>11383</v>
      </c>
      <c r="D1947" s="66">
        <v>41647</v>
      </c>
      <c r="E1947" s="69" t="s">
        <v>6809</v>
      </c>
      <c r="F1947" s="69" t="s">
        <v>11384</v>
      </c>
    </row>
    <row r="1948" spans="1:6" ht="14.25" customHeight="1" x14ac:dyDescent="0.2">
      <c r="A1948" s="65" t="s">
        <v>11385</v>
      </c>
      <c r="B1948" s="76" t="s">
        <v>11386</v>
      </c>
      <c r="C1948" s="65" t="s">
        <v>11387</v>
      </c>
      <c r="D1948" s="66">
        <v>41647</v>
      </c>
      <c r="E1948" s="69" t="s">
        <v>6809</v>
      </c>
      <c r="F1948" s="69" t="s">
        <v>6810</v>
      </c>
    </row>
    <row r="1949" spans="1:6" ht="14.25" customHeight="1" x14ac:dyDescent="0.2">
      <c r="A1949" s="65" t="s">
        <v>11388</v>
      </c>
      <c r="B1949" s="76" t="s">
        <v>11389</v>
      </c>
      <c r="C1949" s="65" t="s">
        <v>11390</v>
      </c>
      <c r="D1949" s="66">
        <v>41647</v>
      </c>
      <c r="E1949" s="69" t="s">
        <v>6809</v>
      </c>
      <c r="F1949" s="69" t="s">
        <v>6810</v>
      </c>
    </row>
    <row r="1950" spans="1:6" ht="14.25" customHeight="1" x14ac:dyDescent="0.2">
      <c r="A1950" s="65" t="s">
        <v>11391</v>
      </c>
      <c r="B1950" s="76" t="s">
        <v>913</v>
      </c>
      <c r="C1950" s="65" t="s">
        <v>11392</v>
      </c>
      <c r="D1950" s="66">
        <v>41645</v>
      </c>
      <c r="E1950" s="69" t="s">
        <v>6809</v>
      </c>
      <c r="F1950" s="69" t="s">
        <v>6814</v>
      </c>
    </row>
    <row r="1951" spans="1:6" ht="14.25" customHeight="1" x14ac:dyDescent="0.2">
      <c r="A1951" s="65" t="s">
        <v>10663</v>
      </c>
      <c r="B1951" s="76" t="s">
        <v>4689</v>
      </c>
      <c r="C1951" s="65" t="s">
        <v>10664</v>
      </c>
      <c r="D1951" s="66">
        <v>41645</v>
      </c>
      <c r="E1951" s="69" t="s">
        <v>6809</v>
      </c>
      <c r="F1951" s="69" t="s">
        <v>6814</v>
      </c>
    </row>
    <row r="1952" spans="1:6" ht="14.25" customHeight="1" x14ac:dyDescent="0.2">
      <c r="A1952" s="65" t="s">
        <v>11393</v>
      </c>
      <c r="B1952" s="76" t="s">
        <v>11394</v>
      </c>
      <c r="C1952" s="65" t="s">
        <v>11395</v>
      </c>
      <c r="D1952" s="66">
        <v>41644</v>
      </c>
      <c r="E1952" s="69" t="s">
        <v>6809</v>
      </c>
      <c r="F1952" s="69" t="s">
        <v>10540</v>
      </c>
    </row>
    <row r="1953" spans="1:6" ht="14.25" customHeight="1" x14ac:dyDescent="0.2">
      <c r="A1953" s="65" t="s">
        <v>11396</v>
      </c>
      <c r="B1953" s="76" t="s">
        <v>11397</v>
      </c>
      <c r="C1953" s="65" t="s">
        <v>10421</v>
      </c>
      <c r="D1953" s="66">
        <v>41644</v>
      </c>
      <c r="E1953" s="69" t="s">
        <v>6809</v>
      </c>
      <c r="F1953" s="69" t="s">
        <v>6814</v>
      </c>
    </row>
    <row r="1954" spans="1:6" ht="14.25" customHeight="1" x14ac:dyDescent="0.2">
      <c r="A1954" s="65" t="s">
        <v>11398</v>
      </c>
      <c r="B1954" s="76" t="s">
        <v>11399</v>
      </c>
      <c r="C1954" s="65" t="s">
        <v>11400</v>
      </c>
      <c r="D1954" s="66">
        <v>41644</v>
      </c>
      <c r="E1954" s="69" t="s">
        <v>6809</v>
      </c>
      <c r="F1954" s="69" t="s">
        <v>6814</v>
      </c>
    </row>
    <row r="1955" spans="1:6" ht="14.25" customHeight="1" x14ac:dyDescent="0.2">
      <c r="A1955" s="65" t="s">
        <v>11401</v>
      </c>
      <c r="B1955" s="76" t="s">
        <v>11402</v>
      </c>
      <c r="C1955" s="65" t="s">
        <v>11403</v>
      </c>
      <c r="D1955" s="66">
        <v>41644</v>
      </c>
      <c r="E1955" s="69" t="s">
        <v>6809</v>
      </c>
      <c r="F1955" s="69" t="s">
        <v>6814</v>
      </c>
    </row>
    <row r="1956" spans="1:6" ht="14.25" customHeight="1" x14ac:dyDescent="0.2">
      <c r="A1956" s="65" t="s">
        <v>11404</v>
      </c>
      <c r="B1956" s="76" t="s">
        <v>11405</v>
      </c>
      <c r="C1956" s="65" t="s">
        <v>11406</v>
      </c>
      <c r="D1956" s="66">
        <v>41644</v>
      </c>
      <c r="E1956" s="69" t="s">
        <v>6809</v>
      </c>
      <c r="F1956" s="69" t="s">
        <v>6814</v>
      </c>
    </row>
    <row r="1957" spans="1:6" ht="14.25" customHeight="1" x14ac:dyDescent="0.2">
      <c r="A1957" s="65" t="s">
        <v>11407</v>
      </c>
      <c r="B1957" s="76" t="s">
        <v>11408</v>
      </c>
      <c r="C1957" s="65" t="s">
        <v>11409</v>
      </c>
      <c r="D1957" s="66">
        <v>41644</v>
      </c>
      <c r="E1957" s="69" t="s">
        <v>6809</v>
      </c>
      <c r="F1957" s="69" t="s">
        <v>6814</v>
      </c>
    </row>
    <row r="1958" spans="1:6" ht="14.25" customHeight="1" x14ac:dyDescent="0.2">
      <c r="A1958" s="65" t="s">
        <v>11410</v>
      </c>
      <c r="B1958" s="76" t="s">
        <v>4947</v>
      </c>
      <c r="C1958" s="65" t="s">
        <v>11411</v>
      </c>
      <c r="D1958" s="66">
        <v>41644</v>
      </c>
      <c r="E1958" s="69" t="s">
        <v>6809</v>
      </c>
      <c r="F1958" s="69" t="s">
        <v>10540</v>
      </c>
    </row>
    <row r="1959" spans="1:6" ht="14.25" customHeight="1" x14ac:dyDescent="0.2">
      <c r="A1959" s="70" t="s">
        <v>11412</v>
      </c>
      <c r="B1959" s="76" t="s">
        <v>11413</v>
      </c>
      <c r="C1959" s="70" t="s">
        <v>11414</v>
      </c>
      <c r="D1959" s="71">
        <v>41641</v>
      </c>
      <c r="E1959" s="69" t="s">
        <v>6809</v>
      </c>
      <c r="F1959" s="69" t="s">
        <v>6810</v>
      </c>
    </row>
    <row r="1960" spans="1:6" ht="14.25" customHeight="1" x14ac:dyDescent="0.2">
      <c r="A1960" s="70" t="s">
        <v>11415</v>
      </c>
      <c r="B1960" s="76" t="s">
        <v>11416</v>
      </c>
      <c r="C1960" s="70" t="s">
        <v>11417</v>
      </c>
      <c r="D1960" s="71">
        <v>41641</v>
      </c>
      <c r="E1960" s="69" t="s">
        <v>6809</v>
      </c>
      <c r="F1960" s="69" t="s">
        <v>6810</v>
      </c>
    </row>
    <row r="1961" spans="1:6" ht="14.25" customHeight="1" x14ac:dyDescent="0.2">
      <c r="A1961" s="70" t="s">
        <v>9009</v>
      </c>
      <c r="B1961" s="76" t="s">
        <v>9010</v>
      </c>
      <c r="C1961" s="70" t="s">
        <v>9011</v>
      </c>
      <c r="D1961" s="71">
        <v>41641</v>
      </c>
      <c r="E1961" s="69" t="s">
        <v>6809</v>
      </c>
      <c r="F1961" s="69" t="s">
        <v>6810</v>
      </c>
    </row>
    <row r="1962" spans="1:6" ht="14.25" customHeight="1" x14ac:dyDescent="0.2">
      <c r="A1962" s="70" t="s">
        <v>11418</v>
      </c>
      <c r="B1962" s="76" t="s">
        <v>1042</v>
      </c>
      <c r="C1962" s="70" t="s">
        <v>11419</v>
      </c>
      <c r="D1962" s="71">
        <v>41641</v>
      </c>
      <c r="E1962" s="69" t="s">
        <v>6809</v>
      </c>
      <c r="F1962" s="69" t="s">
        <v>10192</v>
      </c>
    </row>
    <row r="1963" spans="1:6" ht="14.25" customHeight="1" x14ac:dyDescent="0.2">
      <c r="A1963" s="65" t="s">
        <v>11420</v>
      </c>
      <c r="B1963" s="76" t="s">
        <v>10958</v>
      </c>
      <c r="C1963" s="65" t="s">
        <v>11421</v>
      </c>
      <c r="D1963" s="66">
        <v>41635</v>
      </c>
      <c r="E1963" s="69" t="s">
        <v>10123</v>
      </c>
      <c r="F1963" s="69" t="s">
        <v>10540</v>
      </c>
    </row>
    <row r="1964" spans="1:6" ht="14.25" customHeight="1" x14ac:dyDescent="0.2">
      <c r="A1964" s="65" t="s">
        <v>11422</v>
      </c>
      <c r="B1964" s="76" t="s">
        <v>1837</v>
      </c>
      <c r="C1964" s="65" t="s">
        <v>11423</v>
      </c>
      <c r="D1964" s="66">
        <v>41635</v>
      </c>
      <c r="E1964" s="69" t="s">
        <v>10123</v>
      </c>
      <c r="F1964" s="69" t="s">
        <v>10540</v>
      </c>
    </row>
    <row r="1965" spans="1:6" ht="14.25" customHeight="1" x14ac:dyDescent="0.2">
      <c r="A1965" s="65" t="s">
        <v>11424</v>
      </c>
      <c r="B1965" s="76" t="s">
        <v>9336</v>
      </c>
      <c r="C1965" s="65" t="s">
        <v>11425</v>
      </c>
      <c r="D1965" s="66">
        <v>41635</v>
      </c>
      <c r="E1965" s="69" t="s">
        <v>10123</v>
      </c>
      <c r="F1965" s="69" t="s">
        <v>6814</v>
      </c>
    </row>
    <row r="1966" spans="1:6" ht="14.25" customHeight="1" x14ac:dyDescent="0.2">
      <c r="A1966" s="65" t="s">
        <v>11426</v>
      </c>
      <c r="B1966" s="76" t="s">
        <v>11427</v>
      </c>
      <c r="C1966" s="65" t="s">
        <v>11428</v>
      </c>
      <c r="D1966" s="66">
        <v>41635</v>
      </c>
      <c r="E1966" s="69" t="s">
        <v>6809</v>
      </c>
      <c r="F1966" s="69" t="s">
        <v>6814</v>
      </c>
    </row>
    <row r="1967" spans="1:6" ht="14.25" customHeight="1" x14ac:dyDescent="0.2">
      <c r="A1967" s="65" t="s">
        <v>11429</v>
      </c>
      <c r="B1967" s="76" t="s">
        <v>11430</v>
      </c>
      <c r="C1967" s="65" t="s">
        <v>11431</v>
      </c>
      <c r="D1967" s="66">
        <v>41635</v>
      </c>
      <c r="E1967" s="69" t="s">
        <v>6809</v>
      </c>
      <c r="F1967" s="69" t="s">
        <v>6810</v>
      </c>
    </row>
    <row r="1968" spans="1:6" ht="14.25" customHeight="1" x14ac:dyDescent="0.2">
      <c r="A1968" s="65" t="s">
        <v>11432</v>
      </c>
      <c r="B1968" s="76" t="s">
        <v>11433</v>
      </c>
      <c r="C1968" s="65" t="s">
        <v>11434</v>
      </c>
      <c r="D1968" s="66">
        <v>41635</v>
      </c>
      <c r="E1968" s="69" t="s">
        <v>6809</v>
      </c>
      <c r="F1968" s="69" t="s">
        <v>6810</v>
      </c>
    </row>
    <row r="1969" spans="1:6" ht="14.25" customHeight="1" x14ac:dyDescent="0.2">
      <c r="A1969" s="65" t="s">
        <v>11435</v>
      </c>
      <c r="B1969" s="76" t="s">
        <v>11436</v>
      </c>
      <c r="C1969" s="65" t="s">
        <v>11437</v>
      </c>
      <c r="D1969" s="66">
        <v>41635</v>
      </c>
      <c r="E1969" s="69" t="s">
        <v>6809</v>
      </c>
      <c r="F1969" s="69" t="s">
        <v>6810</v>
      </c>
    </row>
    <row r="1970" spans="1:6" ht="14.25" customHeight="1" x14ac:dyDescent="0.2">
      <c r="A1970" s="65" t="s">
        <v>11438</v>
      </c>
      <c r="B1970" s="76" t="s">
        <v>11439</v>
      </c>
      <c r="C1970" s="65" t="s">
        <v>11440</v>
      </c>
      <c r="D1970" s="66">
        <v>41632</v>
      </c>
      <c r="E1970" s="69" t="s">
        <v>6809</v>
      </c>
      <c r="F1970" s="69" t="s">
        <v>6810</v>
      </c>
    </row>
    <row r="1971" spans="1:6" ht="14.25" customHeight="1" x14ac:dyDescent="0.2">
      <c r="A1971" s="65" t="s">
        <v>11441</v>
      </c>
      <c r="B1971" s="76" t="s">
        <v>11442</v>
      </c>
      <c r="C1971" s="65" t="s">
        <v>11443</v>
      </c>
      <c r="D1971" s="66">
        <v>41626</v>
      </c>
      <c r="E1971" s="69" t="s">
        <v>6809</v>
      </c>
      <c r="F1971" s="69" t="s">
        <v>6814</v>
      </c>
    </row>
    <row r="1972" spans="1:6" ht="14.25" customHeight="1" x14ac:dyDescent="0.2">
      <c r="A1972" s="65" t="s">
        <v>11444</v>
      </c>
      <c r="B1972" s="76" t="s">
        <v>11445</v>
      </c>
      <c r="C1972" s="65" t="s">
        <v>11446</v>
      </c>
      <c r="D1972" s="66">
        <v>41626</v>
      </c>
      <c r="E1972" s="69" t="s">
        <v>6809</v>
      </c>
      <c r="F1972" s="69" t="s">
        <v>10192</v>
      </c>
    </row>
    <row r="1973" spans="1:6" ht="14.25" customHeight="1" x14ac:dyDescent="0.2">
      <c r="A1973" s="65" t="s">
        <v>11447</v>
      </c>
      <c r="B1973" s="76" t="s">
        <v>11448</v>
      </c>
      <c r="C1973" s="65" t="s">
        <v>11449</v>
      </c>
      <c r="D1973" s="66">
        <v>41626</v>
      </c>
      <c r="E1973" s="69" t="s">
        <v>6809</v>
      </c>
      <c r="F1973" s="69" t="s">
        <v>9499</v>
      </c>
    </row>
    <row r="1974" spans="1:6" ht="14.25" customHeight="1" x14ac:dyDescent="0.2">
      <c r="A1974" s="65" t="s">
        <v>11450</v>
      </c>
      <c r="B1974" s="76" t="s">
        <v>11451</v>
      </c>
      <c r="C1974" s="65" t="s">
        <v>11452</v>
      </c>
      <c r="D1974" s="66">
        <v>41624</v>
      </c>
      <c r="E1974" s="69" t="s">
        <v>6809</v>
      </c>
      <c r="F1974" s="69" t="s">
        <v>6810</v>
      </c>
    </row>
    <row r="1975" spans="1:6" ht="14.25" customHeight="1" x14ac:dyDescent="0.2">
      <c r="A1975" s="65" t="s">
        <v>11453</v>
      </c>
      <c r="B1975" s="76" t="s">
        <v>11454</v>
      </c>
      <c r="C1975" s="65" t="s">
        <v>11455</v>
      </c>
      <c r="D1975" s="66">
        <v>41624</v>
      </c>
      <c r="E1975" s="69" t="s">
        <v>6809</v>
      </c>
      <c r="F1975" s="69" t="s">
        <v>9499</v>
      </c>
    </row>
    <row r="1976" spans="1:6" ht="14.25" customHeight="1" x14ac:dyDescent="0.2">
      <c r="A1976" s="65" t="s">
        <v>11456</v>
      </c>
      <c r="B1976" s="76" t="s">
        <v>11457</v>
      </c>
      <c r="C1976" s="65" t="s">
        <v>11458</v>
      </c>
      <c r="D1976" s="66">
        <v>41620</v>
      </c>
      <c r="E1976" s="69" t="s">
        <v>6809</v>
      </c>
      <c r="F1976" s="69" t="s">
        <v>6810</v>
      </c>
    </row>
    <row r="1977" spans="1:6" ht="14.25" customHeight="1" x14ac:dyDescent="0.2">
      <c r="A1977" s="65" t="s">
        <v>11459</v>
      </c>
      <c r="B1977" s="76" t="s">
        <v>11460</v>
      </c>
      <c r="C1977" s="65" t="s">
        <v>11461</v>
      </c>
      <c r="D1977" s="66">
        <v>41619</v>
      </c>
      <c r="E1977" s="69" t="s">
        <v>6809</v>
      </c>
      <c r="F1977" s="69" t="s">
        <v>10192</v>
      </c>
    </row>
    <row r="1978" spans="1:6" ht="14.25" customHeight="1" x14ac:dyDescent="0.2">
      <c r="A1978" s="65" t="s">
        <v>11462</v>
      </c>
      <c r="B1978" s="76" t="s">
        <v>11463</v>
      </c>
      <c r="C1978" s="65" t="s">
        <v>11464</v>
      </c>
      <c r="D1978" s="66">
        <v>41614</v>
      </c>
      <c r="E1978" s="69" t="s">
        <v>6809</v>
      </c>
      <c r="F1978" s="69" t="s">
        <v>6814</v>
      </c>
    </row>
    <row r="1979" spans="1:6" ht="14.25" customHeight="1" x14ac:dyDescent="0.2">
      <c r="A1979" s="65" t="s">
        <v>11465</v>
      </c>
      <c r="B1979" s="76" t="s">
        <v>9370</v>
      </c>
      <c r="C1979" s="65" t="s">
        <v>9287</v>
      </c>
      <c r="D1979" s="66">
        <v>41614</v>
      </c>
      <c r="E1979" s="69" t="s">
        <v>10123</v>
      </c>
      <c r="F1979" s="69" t="s">
        <v>6810</v>
      </c>
    </row>
    <row r="1980" spans="1:6" ht="14.25" customHeight="1" x14ac:dyDescent="0.2">
      <c r="A1980" s="65" t="s">
        <v>11466</v>
      </c>
      <c r="B1980" s="76" t="s">
        <v>11467</v>
      </c>
      <c r="C1980" s="65" t="s">
        <v>11468</v>
      </c>
      <c r="D1980" s="66">
        <v>41614</v>
      </c>
      <c r="E1980" s="69" t="s">
        <v>6809</v>
      </c>
      <c r="F1980" s="69" t="s">
        <v>6814</v>
      </c>
    </row>
    <row r="1981" spans="1:6" ht="14.25" customHeight="1" x14ac:dyDescent="0.2">
      <c r="A1981" s="65" t="s">
        <v>10092</v>
      </c>
      <c r="B1981" s="76" t="s">
        <v>1294</v>
      </c>
      <c r="C1981" s="65" t="s">
        <v>10093</v>
      </c>
      <c r="D1981" s="66">
        <v>41614</v>
      </c>
      <c r="E1981" s="69" t="s">
        <v>6809</v>
      </c>
      <c r="F1981" s="69" t="s">
        <v>6810</v>
      </c>
    </row>
    <row r="1982" spans="1:6" ht="14.25" customHeight="1" x14ac:dyDescent="0.2">
      <c r="A1982" s="65" t="s">
        <v>11469</v>
      </c>
      <c r="B1982" s="76" t="s">
        <v>11470</v>
      </c>
      <c r="C1982" s="65" t="s">
        <v>9371</v>
      </c>
      <c r="D1982" s="66">
        <v>41614</v>
      </c>
      <c r="E1982" s="69" t="s">
        <v>6809</v>
      </c>
      <c r="F1982" s="69" t="s">
        <v>6810</v>
      </c>
    </row>
    <row r="1983" spans="1:6" ht="14.25" customHeight="1" x14ac:dyDescent="0.2">
      <c r="A1983" s="65" t="s">
        <v>11471</v>
      </c>
      <c r="B1983" s="76" t="s">
        <v>11472</v>
      </c>
      <c r="C1983" s="65" t="s">
        <v>11473</v>
      </c>
      <c r="D1983" s="66">
        <v>41612</v>
      </c>
      <c r="E1983" s="69" t="s">
        <v>6809</v>
      </c>
      <c r="F1983" s="69" t="s">
        <v>10540</v>
      </c>
    </row>
    <row r="1984" spans="1:6" ht="14.25" customHeight="1" x14ac:dyDescent="0.2">
      <c r="A1984" s="65" t="s">
        <v>11474</v>
      </c>
      <c r="B1984" s="76" t="s">
        <v>11475</v>
      </c>
      <c r="C1984" s="65" t="s">
        <v>11476</v>
      </c>
      <c r="D1984" s="66">
        <v>41612</v>
      </c>
      <c r="E1984" s="69" t="s">
        <v>6809</v>
      </c>
      <c r="F1984" s="69" t="s">
        <v>6814</v>
      </c>
    </row>
    <row r="1985" spans="1:6" ht="14.25" customHeight="1" x14ac:dyDescent="0.2">
      <c r="A1985" s="65" t="s">
        <v>11477</v>
      </c>
      <c r="B1985" s="76" t="s">
        <v>11478</v>
      </c>
      <c r="C1985" s="65" t="s">
        <v>11479</v>
      </c>
      <c r="D1985" s="66">
        <v>41612</v>
      </c>
      <c r="E1985" s="69" t="s">
        <v>6809</v>
      </c>
      <c r="F1985" s="69" t="s">
        <v>6814</v>
      </c>
    </row>
    <row r="1986" spans="1:6" ht="14.25" customHeight="1" x14ac:dyDescent="0.2">
      <c r="A1986" s="65" t="s">
        <v>11480</v>
      </c>
      <c r="B1986" s="76" t="s">
        <v>11481</v>
      </c>
      <c r="C1986" s="65" t="s">
        <v>11482</v>
      </c>
      <c r="D1986" s="66">
        <v>41612</v>
      </c>
      <c r="E1986" s="69" t="s">
        <v>6809</v>
      </c>
      <c r="F1986" s="69" t="s">
        <v>10540</v>
      </c>
    </row>
    <row r="1987" spans="1:6" ht="14.25" customHeight="1" x14ac:dyDescent="0.2">
      <c r="A1987" s="65" t="s">
        <v>11483</v>
      </c>
      <c r="B1987" s="76" t="s">
        <v>11484</v>
      </c>
      <c r="C1987" s="65" t="s">
        <v>11485</v>
      </c>
      <c r="D1987" s="66">
        <v>41612</v>
      </c>
      <c r="E1987" s="69" t="s">
        <v>6809</v>
      </c>
      <c r="F1987" s="69" t="s">
        <v>6814</v>
      </c>
    </row>
    <row r="1988" spans="1:6" ht="14.25" customHeight="1" x14ac:dyDescent="0.2">
      <c r="A1988" s="65" t="s">
        <v>11486</v>
      </c>
      <c r="B1988" s="76">
        <v>0</v>
      </c>
      <c r="C1988" s="65" t="s">
        <v>11487</v>
      </c>
      <c r="D1988" s="66">
        <v>41611</v>
      </c>
      <c r="E1988" s="69" t="s">
        <v>6809</v>
      </c>
      <c r="F1988" s="69" t="s">
        <v>10192</v>
      </c>
    </row>
    <row r="1989" spans="1:6" ht="14.25" customHeight="1" x14ac:dyDescent="0.2">
      <c r="A1989" s="65" t="s">
        <v>11488</v>
      </c>
      <c r="B1989" s="76" t="s">
        <v>11489</v>
      </c>
      <c r="C1989" s="65" t="s">
        <v>11490</v>
      </c>
      <c r="D1989" s="66">
        <v>41606</v>
      </c>
      <c r="E1989" s="69" t="s">
        <v>6809</v>
      </c>
      <c r="F1989" s="69" t="s">
        <v>6814</v>
      </c>
    </row>
    <row r="1990" spans="1:6" ht="14.25" customHeight="1" x14ac:dyDescent="0.2">
      <c r="A1990" s="65" t="s">
        <v>11491</v>
      </c>
      <c r="B1990" s="76" t="s">
        <v>11492</v>
      </c>
      <c r="C1990" s="65" t="s">
        <v>11493</v>
      </c>
      <c r="D1990" s="66">
        <v>41606</v>
      </c>
      <c r="E1990" s="69" t="s">
        <v>6809</v>
      </c>
      <c r="F1990" s="69" t="s">
        <v>6814</v>
      </c>
    </row>
    <row r="1991" spans="1:6" ht="14.25" customHeight="1" x14ac:dyDescent="0.2">
      <c r="A1991" s="65" t="s">
        <v>11494</v>
      </c>
      <c r="B1991" s="76" t="s">
        <v>2349</v>
      </c>
      <c r="C1991" s="65" t="s">
        <v>11495</v>
      </c>
      <c r="D1991" s="66">
        <v>41605</v>
      </c>
      <c r="E1991" s="69" t="s">
        <v>6809</v>
      </c>
      <c r="F1991" s="69" t="s">
        <v>6810</v>
      </c>
    </row>
    <row r="1992" spans="1:6" ht="14.25" customHeight="1" x14ac:dyDescent="0.2">
      <c r="A1992" s="65" t="s">
        <v>11496</v>
      </c>
      <c r="B1992" s="76" t="s">
        <v>11497</v>
      </c>
      <c r="C1992" s="65" t="s">
        <v>11498</v>
      </c>
      <c r="D1992" s="66">
        <v>41605</v>
      </c>
      <c r="E1992" s="69" t="s">
        <v>6809</v>
      </c>
      <c r="F1992" s="69" t="s">
        <v>6810</v>
      </c>
    </row>
    <row r="1993" spans="1:6" ht="14.25" customHeight="1" x14ac:dyDescent="0.2">
      <c r="A1993" s="65" t="s">
        <v>11499</v>
      </c>
      <c r="B1993" s="76" t="s">
        <v>11500</v>
      </c>
      <c r="C1993" s="65" t="s">
        <v>11501</v>
      </c>
      <c r="D1993" s="66">
        <v>41605</v>
      </c>
      <c r="E1993" s="69" t="s">
        <v>6809</v>
      </c>
      <c r="F1993" s="69" t="s">
        <v>6810</v>
      </c>
    </row>
    <row r="1994" spans="1:6" ht="14.25" customHeight="1" x14ac:dyDescent="0.2">
      <c r="A1994" s="65" t="s">
        <v>11502</v>
      </c>
      <c r="B1994" s="76" t="s">
        <v>1054</v>
      </c>
      <c r="C1994" s="65" t="s">
        <v>11503</v>
      </c>
      <c r="D1994" s="66">
        <v>41598</v>
      </c>
      <c r="E1994" s="69" t="s">
        <v>6809</v>
      </c>
      <c r="F1994" s="69" t="s">
        <v>10192</v>
      </c>
    </row>
    <row r="1995" spans="1:6" ht="14.25" customHeight="1" x14ac:dyDescent="0.2">
      <c r="A1995" s="65" t="s">
        <v>11504</v>
      </c>
      <c r="B1995" s="76" t="s">
        <v>11505</v>
      </c>
      <c r="C1995" s="65" t="s">
        <v>11506</v>
      </c>
      <c r="D1995" s="66">
        <v>41597</v>
      </c>
      <c r="E1995" s="69" t="s">
        <v>6809</v>
      </c>
      <c r="F1995" s="69" t="s">
        <v>6814</v>
      </c>
    </row>
    <row r="1996" spans="1:6" ht="14.25" customHeight="1" x14ac:dyDescent="0.2">
      <c r="A1996" s="65" t="s">
        <v>11507</v>
      </c>
      <c r="B1996" s="76" t="s">
        <v>11508</v>
      </c>
      <c r="C1996" s="65" t="s">
        <v>11509</v>
      </c>
      <c r="D1996" s="66">
        <v>41593</v>
      </c>
      <c r="E1996" s="69" t="s">
        <v>6809</v>
      </c>
      <c r="F1996" s="69" t="s">
        <v>6814</v>
      </c>
    </row>
    <row r="1997" spans="1:6" ht="14.25" customHeight="1" x14ac:dyDescent="0.2">
      <c r="A1997" s="65" t="s">
        <v>11510</v>
      </c>
      <c r="B1997" s="76" t="s">
        <v>11511</v>
      </c>
      <c r="C1997" s="65" t="s">
        <v>11512</v>
      </c>
      <c r="D1997" s="66">
        <v>41592</v>
      </c>
      <c r="E1997" s="69" t="s">
        <v>6809</v>
      </c>
      <c r="F1997" s="69" t="s">
        <v>6810</v>
      </c>
    </row>
    <row r="1998" spans="1:6" ht="14.25" customHeight="1" x14ac:dyDescent="0.2">
      <c r="A1998" s="65" t="s">
        <v>11513</v>
      </c>
      <c r="B1998" s="76" t="s">
        <v>11514</v>
      </c>
      <c r="C1998" s="65" t="s">
        <v>11515</v>
      </c>
      <c r="D1998" s="66">
        <v>41592</v>
      </c>
      <c r="E1998" s="69" t="s">
        <v>6809</v>
      </c>
      <c r="F1998" s="69" t="s">
        <v>6810</v>
      </c>
    </row>
    <row r="1999" spans="1:6" ht="14.25" customHeight="1" x14ac:dyDescent="0.2">
      <c r="A1999" s="65" t="s">
        <v>11516</v>
      </c>
      <c r="B1999" s="76" t="s">
        <v>11517</v>
      </c>
      <c r="C1999" s="65" t="s">
        <v>11518</v>
      </c>
      <c r="D1999" s="66">
        <v>41591</v>
      </c>
      <c r="E1999" s="69" t="s">
        <v>6809</v>
      </c>
      <c r="F1999" s="69" t="s">
        <v>6810</v>
      </c>
    </row>
    <row r="2000" spans="1:6" ht="14.25" customHeight="1" x14ac:dyDescent="0.2">
      <c r="A2000" s="65" t="s">
        <v>11519</v>
      </c>
      <c r="B2000" s="76" t="s">
        <v>11520</v>
      </c>
      <c r="C2000" s="65" t="s">
        <v>11521</v>
      </c>
      <c r="D2000" s="66">
        <v>41590</v>
      </c>
      <c r="E2000" s="69" t="s">
        <v>6809</v>
      </c>
      <c r="F2000" s="69" t="s">
        <v>6814</v>
      </c>
    </row>
    <row r="2001" spans="1:6" ht="14.25" customHeight="1" x14ac:dyDescent="0.2">
      <c r="A2001" s="65" t="s">
        <v>11522</v>
      </c>
      <c r="B2001" s="76" t="s">
        <v>11523</v>
      </c>
      <c r="C2001" s="65" t="s">
        <v>11524</v>
      </c>
      <c r="D2001" s="66">
        <v>41590</v>
      </c>
      <c r="E2001" s="69" t="s">
        <v>6809</v>
      </c>
      <c r="F2001" s="69" t="s">
        <v>6814</v>
      </c>
    </row>
    <row r="2002" spans="1:6" ht="14.25" customHeight="1" x14ac:dyDescent="0.2">
      <c r="A2002" s="65" t="s">
        <v>11525</v>
      </c>
      <c r="B2002" s="76" t="s">
        <v>11526</v>
      </c>
      <c r="C2002" s="65" t="s">
        <v>11527</v>
      </c>
      <c r="D2002" s="66">
        <v>41590</v>
      </c>
      <c r="E2002" s="69" t="s">
        <v>6809</v>
      </c>
      <c r="F2002" s="69" t="s">
        <v>6814</v>
      </c>
    </row>
    <row r="2003" spans="1:6" ht="14.25" customHeight="1" x14ac:dyDescent="0.2">
      <c r="A2003" s="65" t="s">
        <v>11528</v>
      </c>
      <c r="B2003" s="76" t="s">
        <v>11529</v>
      </c>
      <c r="C2003" s="65" t="s">
        <v>11530</v>
      </c>
      <c r="D2003" s="66">
        <v>41590</v>
      </c>
      <c r="E2003" s="69" t="s">
        <v>6809</v>
      </c>
      <c r="F2003" s="69" t="s">
        <v>6814</v>
      </c>
    </row>
    <row r="2004" spans="1:6" ht="14.25" customHeight="1" x14ac:dyDescent="0.2">
      <c r="A2004" s="65" t="s">
        <v>11531</v>
      </c>
      <c r="B2004" s="76" t="s">
        <v>11532</v>
      </c>
      <c r="C2004" s="65" t="s">
        <v>11533</v>
      </c>
      <c r="D2004" s="66">
        <v>41590</v>
      </c>
      <c r="E2004" s="69" t="s">
        <v>6809</v>
      </c>
      <c r="F2004" s="69" t="s">
        <v>6814</v>
      </c>
    </row>
    <row r="2005" spans="1:6" ht="14.25" customHeight="1" x14ac:dyDescent="0.2">
      <c r="A2005" s="65" t="s">
        <v>11534</v>
      </c>
      <c r="B2005" s="76" t="s">
        <v>11535</v>
      </c>
      <c r="C2005" s="65" t="s">
        <v>11536</v>
      </c>
      <c r="D2005" s="66">
        <v>41590</v>
      </c>
      <c r="E2005" s="69" t="s">
        <v>6809</v>
      </c>
      <c r="F2005" s="69" t="s">
        <v>6814</v>
      </c>
    </row>
    <row r="2006" spans="1:6" ht="14.25" customHeight="1" x14ac:dyDescent="0.2">
      <c r="A2006" s="65" t="s">
        <v>11537</v>
      </c>
      <c r="B2006" s="76" t="s">
        <v>11538</v>
      </c>
      <c r="C2006" s="65" t="s">
        <v>11539</v>
      </c>
      <c r="D2006" s="66">
        <v>41590</v>
      </c>
      <c r="E2006" s="69" t="s">
        <v>6809</v>
      </c>
      <c r="F2006" s="69" t="s">
        <v>6814</v>
      </c>
    </row>
    <row r="2007" spans="1:6" ht="14.25" customHeight="1" x14ac:dyDescent="0.2">
      <c r="A2007" s="65" t="s">
        <v>11540</v>
      </c>
      <c r="B2007" s="76" t="s">
        <v>11541</v>
      </c>
      <c r="C2007" s="65" t="s">
        <v>11542</v>
      </c>
      <c r="D2007" s="66">
        <v>41590</v>
      </c>
      <c r="E2007" s="69" t="s">
        <v>6809</v>
      </c>
      <c r="F2007" s="69" t="s">
        <v>6814</v>
      </c>
    </row>
    <row r="2008" spans="1:6" ht="14.25" customHeight="1" x14ac:dyDescent="0.2">
      <c r="A2008" s="65" t="s">
        <v>11543</v>
      </c>
      <c r="B2008" s="76" t="s">
        <v>11544</v>
      </c>
      <c r="C2008" s="65" t="s">
        <v>11545</v>
      </c>
      <c r="D2008" s="66">
        <v>41590</v>
      </c>
      <c r="E2008" s="69" t="s">
        <v>6809</v>
      </c>
      <c r="F2008" s="69" t="s">
        <v>6814</v>
      </c>
    </row>
    <row r="2009" spans="1:6" ht="14.25" customHeight="1" x14ac:dyDescent="0.2">
      <c r="A2009" s="65" t="s">
        <v>11546</v>
      </c>
      <c r="B2009" s="76" t="s">
        <v>11547</v>
      </c>
      <c r="C2009" s="65" t="s">
        <v>11548</v>
      </c>
      <c r="D2009" s="66">
        <v>41590</v>
      </c>
      <c r="E2009" s="69" t="s">
        <v>6809</v>
      </c>
      <c r="F2009" s="69" t="s">
        <v>6814</v>
      </c>
    </row>
    <row r="2010" spans="1:6" ht="14.25" customHeight="1" x14ac:dyDescent="0.2">
      <c r="A2010" s="65" t="s">
        <v>11549</v>
      </c>
      <c r="B2010" s="76" t="s">
        <v>11550</v>
      </c>
      <c r="C2010" s="65" t="s">
        <v>11551</v>
      </c>
      <c r="D2010" s="66">
        <v>41590</v>
      </c>
      <c r="E2010" s="69" t="s">
        <v>6809</v>
      </c>
      <c r="F2010" s="69" t="s">
        <v>6814</v>
      </c>
    </row>
    <row r="2011" spans="1:6" ht="14.25" customHeight="1" x14ac:dyDescent="0.2">
      <c r="A2011" s="65" t="s">
        <v>11552</v>
      </c>
      <c r="B2011" s="76" t="s">
        <v>11553</v>
      </c>
      <c r="C2011" s="65" t="s">
        <v>11554</v>
      </c>
      <c r="D2011" s="66">
        <v>41590</v>
      </c>
      <c r="E2011" s="69" t="s">
        <v>6809</v>
      </c>
      <c r="F2011" s="69" t="s">
        <v>6814</v>
      </c>
    </row>
    <row r="2012" spans="1:6" ht="14.25" customHeight="1" x14ac:dyDescent="0.2">
      <c r="A2012" s="65" t="s">
        <v>11555</v>
      </c>
      <c r="B2012" s="76" t="s">
        <v>11556</v>
      </c>
      <c r="C2012" s="65" t="s">
        <v>11557</v>
      </c>
      <c r="D2012" s="66">
        <v>41590</v>
      </c>
      <c r="E2012" s="69" t="s">
        <v>6809</v>
      </c>
      <c r="F2012" s="69" t="s">
        <v>6814</v>
      </c>
    </row>
    <row r="2013" spans="1:6" ht="14.25" customHeight="1" x14ac:dyDescent="0.2">
      <c r="A2013" s="65" t="s">
        <v>11558</v>
      </c>
      <c r="B2013" s="76" t="s">
        <v>11559</v>
      </c>
      <c r="C2013" s="65" t="s">
        <v>11560</v>
      </c>
      <c r="D2013" s="66">
        <v>41590</v>
      </c>
      <c r="E2013" s="69" t="s">
        <v>6809</v>
      </c>
      <c r="F2013" s="69" t="s">
        <v>6814</v>
      </c>
    </row>
    <row r="2014" spans="1:6" ht="14.25" customHeight="1" x14ac:dyDescent="0.2">
      <c r="A2014" s="65" t="s">
        <v>11561</v>
      </c>
      <c r="B2014" s="76" t="s">
        <v>11562</v>
      </c>
      <c r="C2014" s="65" t="s">
        <v>11563</v>
      </c>
      <c r="D2014" s="66">
        <v>41589</v>
      </c>
      <c r="E2014" s="69" t="s">
        <v>6809</v>
      </c>
      <c r="F2014" s="69" t="s">
        <v>10540</v>
      </c>
    </row>
    <row r="2015" spans="1:6" ht="14.25" customHeight="1" x14ac:dyDescent="0.2">
      <c r="A2015" s="65" t="s">
        <v>11564</v>
      </c>
      <c r="B2015" s="76" t="s">
        <v>11565</v>
      </c>
      <c r="C2015" s="65" t="s">
        <v>11566</v>
      </c>
      <c r="D2015" s="66">
        <v>41589</v>
      </c>
      <c r="E2015" s="69" t="s">
        <v>6809</v>
      </c>
      <c r="F2015" s="69" t="s">
        <v>10540</v>
      </c>
    </row>
    <row r="2016" spans="1:6" ht="14.25" customHeight="1" x14ac:dyDescent="0.2">
      <c r="A2016" s="65" t="s">
        <v>11567</v>
      </c>
      <c r="B2016" s="76" t="s">
        <v>11568</v>
      </c>
      <c r="C2016" s="65" t="s">
        <v>11569</v>
      </c>
      <c r="D2016" s="66">
        <v>41585</v>
      </c>
      <c r="E2016" s="69" t="s">
        <v>6809</v>
      </c>
      <c r="F2016" s="69" t="s">
        <v>6814</v>
      </c>
    </row>
    <row r="2017" spans="1:6" ht="14.25" customHeight="1" x14ac:dyDescent="0.2">
      <c r="A2017" s="65" t="s">
        <v>11570</v>
      </c>
      <c r="B2017" s="76" t="s">
        <v>11571</v>
      </c>
      <c r="C2017" s="65" t="s">
        <v>11572</v>
      </c>
      <c r="D2017" s="66">
        <v>41583</v>
      </c>
      <c r="E2017" s="69" t="s">
        <v>6809</v>
      </c>
      <c r="F2017" s="69" t="s">
        <v>6810</v>
      </c>
    </row>
    <row r="2018" spans="1:6" ht="14.25" customHeight="1" x14ac:dyDescent="0.2">
      <c r="A2018" s="65" t="s">
        <v>11573</v>
      </c>
      <c r="B2018" s="76" t="s">
        <v>11574</v>
      </c>
      <c r="C2018" s="65" t="s">
        <v>11575</v>
      </c>
      <c r="D2018" s="66">
        <v>41583</v>
      </c>
      <c r="E2018" s="69" t="s">
        <v>6809</v>
      </c>
      <c r="F2018" s="69" t="s">
        <v>6810</v>
      </c>
    </row>
    <row r="2019" spans="1:6" ht="14.25" customHeight="1" x14ac:dyDescent="0.2">
      <c r="A2019" s="65" t="s">
        <v>11576</v>
      </c>
      <c r="B2019" s="76" t="s">
        <v>3793</v>
      </c>
      <c r="C2019" s="65" t="s">
        <v>11577</v>
      </c>
      <c r="D2019" s="66">
        <v>41583</v>
      </c>
      <c r="E2019" s="69" t="s">
        <v>6809</v>
      </c>
      <c r="F2019" s="69" t="s">
        <v>6810</v>
      </c>
    </row>
    <row r="2020" spans="1:6" ht="14.25" customHeight="1" x14ac:dyDescent="0.2">
      <c r="A2020" s="65" t="s">
        <v>11578</v>
      </c>
      <c r="B2020" s="76" t="s">
        <v>11579</v>
      </c>
      <c r="C2020" s="65" t="s">
        <v>11580</v>
      </c>
      <c r="D2020" s="66">
        <v>41582</v>
      </c>
      <c r="E2020" s="69" t="s">
        <v>6809</v>
      </c>
      <c r="F2020" s="69" t="s">
        <v>6810</v>
      </c>
    </row>
    <row r="2021" spans="1:6" ht="14.25" customHeight="1" x14ac:dyDescent="0.2">
      <c r="A2021" s="65" t="s">
        <v>11581</v>
      </c>
      <c r="B2021" s="76" t="s">
        <v>11582</v>
      </c>
      <c r="C2021" s="65" t="s">
        <v>11583</v>
      </c>
      <c r="D2021" s="66">
        <v>41579</v>
      </c>
      <c r="E2021" s="68" t="s">
        <v>6809</v>
      </c>
      <c r="F2021" s="69" t="s">
        <v>6814</v>
      </c>
    </row>
    <row r="2022" spans="1:6" ht="14.25" customHeight="1" x14ac:dyDescent="0.2">
      <c r="A2022" s="65" t="s">
        <v>11584</v>
      </c>
      <c r="B2022" s="76" t="s">
        <v>11585</v>
      </c>
      <c r="C2022" s="65" t="s">
        <v>11586</v>
      </c>
      <c r="D2022" s="66">
        <v>41579</v>
      </c>
      <c r="E2022" s="68" t="s">
        <v>6809</v>
      </c>
      <c r="F2022" s="69" t="s">
        <v>6814</v>
      </c>
    </row>
    <row r="2023" spans="1:6" ht="14.25" customHeight="1" x14ac:dyDescent="0.2">
      <c r="A2023" s="65" t="s">
        <v>11587</v>
      </c>
      <c r="B2023" s="76" t="s">
        <v>11588</v>
      </c>
      <c r="C2023" s="65" t="s">
        <v>11589</v>
      </c>
      <c r="D2023" s="66">
        <v>41579</v>
      </c>
      <c r="E2023" s="68" t="s">
        <v>6809</v>
      </c>
      <c r="F2023" s="69" t="s">
        <v>6814</v>
      </c>
    </row>
    <row r="2024" spans="1:6" ht="14.25" customHeight="1" x14ac:dyDescent="0.2">
      <c r="A2024" s="65" t="s">
        <v>11590</v>
      </c>
      <c r="B2024" s="76" t="s">
        <v>11591</v>
      </c>
      <c r="C2024" s="65" t="s">
        <v>11592</v>
      </c>
      <c r="D2024" s="66">
        <v>41579</v>
      </c>
      <c r="E2024" s="68" t="s">
        <v>6809</v>
      </c>
      <c r="F2024" s="69" t="s">
        <v>6814</v>
      </c>
    </row>
    <row r="2025" spans="1:6" ht="14.25" customHeight="1" x14ac:dyDescent="0.2">
      <c r="A2025" s="65" t="s">
        <v>11593</v>
      </c>
      <c r="B2025" s="76" t="s">
        <v>11594</v>
      </c>
      <c r="C2025" s="65" t="s">
        <v>11595</v>
      </c>
      <c r="D2025" s="66">
        <v>41579</v>
      </c>
      <c r="E2025" s="68" t="s">
        <v>6809</v>
      </c>
      <c r="F2025" s="69" t="s">
        <v>6814</v>
      </c>
    </row>
    <row r="2026" spans="1:6" ht="14.25" customHeight="1" x14ac:dyDescent="0.2">
      <c r="A2026" s="65" t="s">
        <v>11596</v>
      </c>
      <c r="B2026" s="76" t="s">
        <v>4803</v>
      </c>
      <c r="C2026" s="65" t="s">
        <v>11597</v>
      </c>
      <c r="D2026" s="66">
        <v>41579</v>
      </c>
      <c r="E2026" s="68" t="s">
        <v>6809</v>
      </c>
      <c r="F2026" s="69" t="s">
        <v>6814</v>
      </c>
    </row>
    <row r="2027" spans="1:6" ht="14.25" customHeight="1" x14ac:dyDescent="0.2">
      <c r="A2027" s="65" t="s">
        <v>11598</v>
      </c>
      <c r="B2027" s="76" t="s">
        <v>937</v>
      </c>
      <c r="C2027" s="65" t="s">
        <v>11136</v>
      </c>
      <c r="D2027" s="66">
        <v>41569</v>
      </c>
      <c r="E2027" s="68" t="s">
        <v>6809</v>
      </c>
      <c r="F2027" s="69" t="s">
        <v>10540</v>
      </c>
    </row>
    <row r="2028" spans="1:6" ht="14.25" customHeight="1" x14ac:dyDescent="0.2">
      <c r="A2028" s="65" t="s">
        <v>11599</v>
      </c>
      <c r="B2028" s="76" t="s">
        <v>11600</v>
      </c>
      <c r="C2028" s="65" t="s">
        <v>11601</v>
      </c>
      <c r="D2028" s="66">
        <v>41563</v>
      </c>
      <c r="E2028" s="68" t="s">
        <v>6809</v>
      </c>
      <c r="F2028" s="69" t="s">
        <v>6814</v>
      </c>
    </row>
    <row r="2029" spans="1:6" ht="14.25" customHeight="1" x14ac:dyDescent="0.2">
      <c r="A2029" s="65" t="s">
        <v>11602</v>
      </c>
      <c r="B2029" s="76" t="s">
        <v>11603</v>
      </c>
      <c r="C2029" s="65" t="s">
        <v>11604</v>
      </c>
      <c r="D2029" s="66">
        <v>41563</v>
      </c>
      <c r="E2029" s="68" t="s">
        <v>6809</v>
      </c>
      <c r="F2029" s="69" t="s">
        <v>6814</v>
      </c>
    </row>
    <row r="2030" spans="1:6" ht="14.25" customHeight="1" x14ac:dyDescent="0.2">
      <c r="A2030" s="65" t="s">
        <v>11605</v>
      </c>
      <c r="B2030" s="76" t="s">
        <v>11606</v>
      </c>
      <c r="C2030" s="65" t="s">
        <v>11607</v>
      </c>
      <c r="D2030" s="66">
        <v>41556</v>
      </c>
      <c r="E2030" s="68" t="s">
        <v>6809</v>
      </c>
      <c r="F2030" s="69" t="s">
        <v>6810</v>
      </c>
    </row>
    <row r="2031" spans="1:6" ht="14.25" customHeight="1" x14ac:dyDescent="0.2">
      <c r="A2031" s="65" t="s">
        <v>11608</v>
      </c>
      <c r="B2031" s="76" t="s">
        <v>11609</v>
      </c>
      <c r="C2031" s="65" t="s">
        <v>11610</v>
      </c>
      <c r="D2031" s="66">
        <v>41549</v>
      </c>
      <c r="E2031" s="69" t="s">
        <v>6809</v>
      </c>
      <c r="F2031" s="69" t="s">
        <v>6814</v>
      </c>
    </row>
    <row r="2032" spans="1:6" ht="14.25" customHeight="1" x14ac:dyDescent="0.2">
      <c r="A2032" s="65" t="s">
        <v>11611</v>
      </c>
      <c r="B2032" s="76" t="s">
        <v>11612</v>
      </c>
      <c r="C2032" s="65" t="s">
        <v>11613</v>
      </c>
      <c r="D2032" s="66">
        <v>41549</v>
      </c>
      <c r="E2032" s="69" t="s">
        <v>6809</v>
      </c>
      <c r="F2032" s="69" t="s">
        <v>6814</v>
      </c>
    </row>
    <row r="2033" spans="1:6" ht="14.25" customHeight="1" x14ac:dyDescent="0.2">
      <c r="A2033" s="65" t="s">
        <v>11614</v>
      </c>
      <c r="B2033" s="76" t="s">
        <v>11615</v>
      </c>
      <c r="C2033" s="65" t="s">
        <v>11616</v>
      </c>
      <c r="D2033" s="66">
        <v>41549</v>
      </c>
      <c r="E2033" s="69" t="s">
        <v>6809</v>
      </c>
      <c r="F2033" s="69" t="s">
        <v>6814</v>
      </c>
    </row>
    <row r="2034" spans="1:6" ht="14.25" customHeight="1" x14ac:dyDescent="0.2">
      <c r="A2034" s="65" t="s">
        <v>11617</v>
      </c>
      <c r="B2034" s="76" t="s">
        <v>11618</v>
      </c>
      <c r="C2034" s="65" t="s">
        <v>11619</v>
      </c>
      <c r="D2034" s="66">
        <v>41548</v>
      </c>
      <c r="E2034" s="69" t="s">
        <v>6809</v>
      </c>
      <c r="F2034" s="69" t="s">
        <v>10540</v>
      </c>
    </row>
    <row r="2035" spans="1:6" ht="14.25" customHeight="1" x14ac:dyDescent="0.2">
      <c r="A2035" s="65" t="s">
        <v>11620</v>
      </c>
      <c r="B2035" s="76" t="s">
        <v>9865</v>
      </c>
      <c r="C2035" s="65" t="s">
        <v>11621</v>
      </c>
      <c r="D2035" s="66">
        <v>41548</v>
      </c>
      <c r="E2035" s="69" t="s">
        <v>6809</v>
      </c>
      <c r="F2035" s="69" t="s">
        <v>10540</v>
      </c>
    </row>
    <row r="2036" spans="1:6" ht="14.25" customHeight="1" x14ac:dyDescent="0.2">
      <c r="A2036" s="65" t="s">
        <v>11622</v>
      </c>
      <c r="B2036" s="76" t="s">
        <v>11623</v>
      </c>
      <c r="C2036" s="65" t="s">
        <v>11624</v>
      </c>
      <c r="D2036" s="66">
        <v>41539</v>
      </c>
      <c r="E2036" s="66" t="s">
        <v>10123</v>
      </c>
      <c r="F2036" s="69" t="s">
        <v>10192</v>
      </c>
    </row>
    <row r="2037" spans="1:6" ht="14.25" customHeight="1" x14ac:dyDescent="0.2">
      <c r="A2037" s="65" t="s">
        <v>11625</v>
      </c>
      <c r="B2037" s="76" t="s">
        <v>11626</v>
      </c>
      <c r="C2037" s="65" t="s">
        <v>11627</v>
      </c>
      <c r="D2037" s="66">
        <v>41537</v>
      </c>
      <c r="E2037" s="66" t="s">
        <v>10123</v>
      </c>
      <c r="F2037" s="69" t="s">
        <v>10540</v>
      </c>
    </row>
    <row r="2038" spans="1:6" ht="14.25" customHeight="1" x14ac:dyDescent="0.2">
      <c r="A2038" s="65" t="s">
        <v>11628</v>
      </c>
      <c r="B2038" s="76" t="s">
        <v>11629</v>
      </c>
      <c r="C2038" s="65" t="s">
        <v>11630</v>
      </c>
      <c r="D2038" s="66">
        <v>41537</v>
      </c>
      <c r="E2038" s="66" t="s">
        <v>10123</v>
      </c>
      <c r="F2038" s="69" t="s">
        <v>10540</v>
      </c>
    </row>
    <row r="2039" spans="1:6" ht="14.25" customHeight="1" x14ac:dyDescent="0.2">
      <c r="A2039" s="65" t="s">
        <v>11631</v>
      </c>
      <c r="B2039" s="76" t="s">
        <v>11632</v>
      </c>
      <c r="C2039" s="65" t="s">
        <v>11633</v>
      </c>
      <c r="D2039" s="66">
        <v>41537</v>
      </c>
      <c r="E2039" s="66" t="s">
        <v>6809</v>
      </c>
      <c r="F2039" s="69" t="s">
        <v>6814</v>
      </c>
    </row>
    <row r="2040" spans="1:6" ht="14.25" customHeight="1" x14ac:dyDescent="0.2">
      <c r="A2040" s="65" t="s">
        <v>11634</v>
      </c>
      <c r="B2040" s="76" t="s">
        <v>9898</v>
      </c>
      <c r="C2040" s="65" t="s">
        <v>11635</v>
      </c>
      <c r="D2040" s="66">
        <v>41537</v>
      </c>
      <c r="E2040" s="66" t="s">
        <v>10123</v>
      </c>
      <c r="F2040" s="69" t="s">
        <v>10192</v>
      </c>
    </row>
    <row r="2041" spans="1:6" ht="14.25" customHeight="1" x14ac:dyDescent="0.2">
      <c r="A2041" s="65" t="s">
        <v>11636</v>
      </c>
      <c r="B2041" s="76" t="s">
        <v>11637</v>
      </c>
      <c r="C2041" s="65" t="s">
        <v>11638</v>
      </c>
      <c r="D2041" s="66">
        <v>41535</v>
      </c>
      <c r="E2041" s="72"/>
      <c r="F2041" s="69" t="s">
        <v>6814</v>
      </c>
    </row>
    <row r="2042" spans="1:6" ht="14.25" customHeight="1" x14ac:dyDescent="0.2">
      <c r="A2042" s="65" t="s">
        <v>11639</v>
      </c>
      <c r="B2042" s="76" t="s">
        <v>11640</v>
      </c>
      <c r="C2042" s="65" t="s">
        <v>11641</v>
      </c>
      <c r="D2042" s="66">
        <v>41535</v>
      </c>
      <c r="E2042" s="72"/>
      <c r="F2042" s="69" t="s">
        <v>6810</v>
      </c>
    </row>
    <row r="2043" spans="1:6" ht="14.25" customHeight="1" x14ac:dyDescent="0.2">
      <c r="A2043" s="65" t="s">
        <v>9793</v>
      </c>
      <c r="B2043" s="76" t="s">
        <v>9794</v>
      </c>
      <c r="C2043" s="65" t="s">
        <v>9795</v>
      </c>
      <c r="D2043" s="66">
        <v>41535</v>
      </c>
      <c r="E2043" s="72"/>
      <c r="F2043" s="69" t="s">
        <v>6810</v>
      </c>
    </row>
    <row r="2044" spans="1:6" ht="14.25" customHeight="1" x14ac:dyDescent="0.2">
      <c r="A2044" s="65" t="s">
        <v>11642</v>
      </c>
      <c r="B2044" s="76" t="s">
        <v>11643</v>
      </c>
      <c r="C2044" s="65" t="s">
        <v>11644</v>
      </c>
      <c r="D2044" s="66">
        <v>41535</v>
      </c>
      <c r="E2044" s="72"/>
      <c r="F2044" s="69" t="s">
        <v>6810</v>
      </c>
    </row>
    <row r="2045" spans="1:6" ht="14.25" customHeight="1" x14ac:dyDescent="0.2">
      <c r="A2045" s="65" t="s">
        <v>11645</v>
      </c>
      <c r="B2045" s="76" t="s">
        <v>11646</v>
      </c>
      <c r="C2045" s="65" t="s">
        <v>11647</v>
      </c>
      <c r="D2045" s="66">
        <v>41535</v>
      </c>
      <c r="E2045" s="72"/>
      <c r="F2045" s="69" t="s">
        <v>6810</v>
      </c>
    </row>
    <row r="2046" spans="1:6" ht="14.25" customHeight="1" x14ac:dyDescent="0.2">
      <c r="A2046" s="65" t="s">
        <v>11648</v>
      </c>
      <c r="B2046" s="76" t="s">
        <v>11649</v>
      </c>
      <c r="C2046" s="65" t="s">
        <v>11650</v>
      </c>
      <c r="D2046" s="66">
        <v>41533</v>
      </c>
      <c r="E2046" s="72"/>
      <c r="F2046" s="69" t="s">
        <v>10540</v>
      </c>
    </row>
    <row r="2047" spans="1:6" ht="14.25" customHeight="1" x14ac:dyDescent="0.2">
      <c r="A2047" s="65" t="s">
        <v>11651</v>
      </c>
      <c r="B2047" s="76" t="s">
        <v>11652</v>
      </c>
      <c r="C2047" s="65" t="s">
        <v>11653</v>
      </c>
      <c r="D2047" s="66">
        <v>41533</v>
      </c>
      <c r="E2047" s="72"/>
      <c r="F2047" s="69" t="s">
        <v>10540</v>
      </c>
    </row>
    <row r="2048" spans="1:6" ht="14.25" customHeight="1" x14ac:dyDescent="0.2">
      <c r="A2048" s="65" t="s">
        <v>11194</v>
      </c>
      <c r="B2048" s="76" t="s">
        <v>1639</v>
      </c>
      <c r="C2048" s="65" t="s">
        <v>11195</v>
      </c>
      <c r="D2048" s="66">
        <v>41533</v>
      </c>
      <c r="E2048" s="72"/>
      <c r="F2048" s="69" t="s">
        <v>6810</v>
      </c>
    </row>
    <row r="2049" spans="1:6" ht="14.25" customHeight="1" x14ac:dyDescent="0.2">
      <c r="A2049" s="65" t="s">
        <v>11654</v>
      </c>
      <c r="B2049" s="76" t="s">
        <v>11655</v>
      </c>
      <c r="C2049" s="65" t="s">
        <v>11656</v>
      </c>
      <c r="D2049" s="66">
        <v>41533</v>
      </c>
      <c r="E2049" s="72"/>
      <c r="F2049" s="69" t="s">
        <v>6810</v>
      </c>
    </row>
    <row r="2050" spans="1:6" ht="14.25" customHeight="1" x14ac:dyDescent="0.2">
      <c r="A2050" s="65" t="s">
        <v>11657</v>
      </c>
      <c r="B2050" s="76" t="s">
        <v>11658</v>
      </c>
      <c r="C2050" s="65" t="s">
        <v>11659</v>
      </c>
      <c r="D2050" s="66">
        <v>41529</v>
      </c>
      <c r="E2050" s="72"/>
      <c r="F2050" s="69" t="s">
        <v>6814</v>
      </c>
    </row>
    <row r="2051" spans="1:6" ht="14.25" customHeight="1" x14ac:dyDescent="0.2">
      <c r="A2051" s="65" t="s">
        <v>11660</v>
      </c>
      <c r="B2051" s="76" t="s">
        <v>11661</v>
      </c>
      <c r="C2051" s="65" t="s">
        <v>11662</v>
      </c>
      <c r="D2051" s="66">
        <v>41529</v>
      </c>
      <c r="E2051" s="72"/>
      <c r="F2051" s="69" t="s">
        <v>6814</v>
      </c>
    </row>
    <row r="2052" spans="1:6" ht="14.25" customHeight="1" x14ac:dyDescent="0.2">
      <c r="A2052" s="65" t="s">
        <v>11663</v>
      </c>
      <c r="B2052" s="76" t="s">
        <v>11664</v>
      </c>
      <c r="C2052" s="65" t="s">
        <v>11665</v>
      </c>
      <c r="D2052" s="66">
        <v>41529</v>
      </c>
      <c r="E2052" s="72"/>
      <c r="F2052" s="69" t="s">
        <v>6814</v>
      </c>
    </row>
    <row r="2053" spans="1:6" ht="14.25" customHeight="1" x14ac:dyDescent="0.2">
      <c r="A2053" s="65" t="s">
        <v>11666</v>
      </c>
      <c r="B2053" s="76" t="s">
        <v>11667</v>
      </c>
      <c r="C2053" s="65" t="s">
        <v>11668</v>
      </c>
      <c r="D2053" s="66">
        <v>41529</v>
      </c>
      <c r="E2053" s="72"/>
      <c r="F2053" s="69" t="s">
        <v>6814</v>
      </c>
    </row>
    <row r="2054" spans="1:6" ht="14.25" customHeight="1" x14ac:dyDescent="0.2">
      <c r="A2054" s="65" t="s">
        <v>11669</v>
      </c>
      <c r="B2054" s="76" t="s">
        <v>11670</v>
      </c>
      <c r="C2054" s="65" t="s">
        <v>11671</v>
      </c>
      <c r="D2054" s="66">
        <v>41528</v>
      </c>
      <c r="E2054" s="72"/>
      <c r="F2054" s="69" t="s">
        <v>6814</v>
      </c>
    </row>
    <row r="2055" spans="1:6" ht="14.25" customHeight="1" x14ac:dyDescent="0.2">
      <c r="A2055" s="65" t="s">
        <v>11672</v>
      </c>
      <c r="B2055" s="76" t="s">
        <v>8572</v>
      </c>
      <c r="C2055" s="65" t="s">
        <v>11673</v>
      </c>
      <c r="D2055" s="66">
        <v>41523</v>
      </c>
      <c r="E2055" s="72"/>
      <c r="F2055" s="69" t="s">
        <v>6814</v>
      </c>
    </row>
    <row r="2056" spans="1:6" ht="14.25" customHeight="1" x14ac:dyDescent="0.2">
      <c r="A2056" s="65" t="s">
        <v>11674</v>
      </c>
      <c r="B2056" s="76" t="s">
        <v>11675</v>
      </c>
      <c r="C2056" s="65" t="s">
        <v>11676</v>
      </c>
      <c r="D2056" s="66">
        <v>41513</v>
      </c>
      <c r="E2056" s="72"/>
      <c r="F2056" s="69" t="s">
        <v>6810</v>
      </c>
    </row>
    <row r="2057" spans="1:6" ht="14.25" customHeight="1" x14ac:dyDescent="0.2">
      <c r="A2057" s="65" t="s">
        <v>11677</v>
      </c>
      <c r="B2057" s="76" t="s">
        <v>11678</v>
      </c>
      <c r="C2057" s="65" t="s">
        <v>11679</v>
      </c>
      <c r="D2057" s="66">
        <v>41509</v>
      </c>
      <c r="E2057" s="72"/>
      <c r="F2057" s="69" t="s">
        <v>10540</v>
      </c>
    </row>
    <row r="2058" spans="1:6" ht="14.25" customHeight="1" x14ac:dyDescent="0.2">
      <c r="A2058" s="65" t="s">
        <v>11680</v>
      </c>
      <c r="B2058" s="76" t="s">
        <v>7374</v>
      </c>
      <c r="C2058" s="65" t="s">
        <v>11681</v>
      </c>
      <c r="D2058" s="66">
        <v>41509</v>
      </c>
      <c r="E2058" s="72"/>
      <c r="F2058" s="69" t="s">
        <v>10540</v>
      </c>
    </row>
    <row r="2059" spans="1:6" ht="14.25" customHeight="1" x14ac:dyDescent="0.2">
      <c r="A2059" s="65" t="s">
        <v>11682</v>
      </c>
      <c r="B2059" s="76" t="s">
        <v>1134</v>
      </c>
      <c r="C2059" s="65" t="s">
        <v>11683</v>
      </c>
      <c r="D2059" s="66">
        <v>41509</v>
      </c>
      <c r="E2059" s="72"/>
      <c r="F2059" s="69" t="s">
        <v>11684</v>
      </c>
    </row>
    <row r="2060" spans="1:6" ht="14.25" customHeight="1" x14ac:dyDescent="0.2">
      <c r="A2060" s="65" t="s">
        <v>11685</v>
      </c>
      <c r="B2060" s="76" t="s">
        <v>11686</v>
      </c>
      <c r="C2060" s="65" t="s">
        <v>10278</v>
      </c>
      <c r="D2060" s="66">
        <v>41509</v>
      </c>
      <c r="E2060" s="72"/>
      <c r="F2060" s="69" t="s">
        <v>10192</v>
      </c>
    </row>
    <row r="2061" spans="1:6" ht="14.25" customHeight="1" x14ac:dyDescent="0.2">
      <c r="A2061" s="65" t="s">
        <v>11687</v>
      </c>
      <c r="B2061" s="76" t="s">
        <v>11688</v>
      </c>
      <c r="C2061" s="65" t="s">
        <v>11689</v>
      </c>
      <c r="D2061" s="66">
        <v>41507</v>
      </c>
      <c r="E2061" s="72"/>
      <c r="F2061" s="69" t="s">
        <v>6814</v>
      </c>
    </row>
    <row r="2062" spans="1:6" ht="14.25" customHeight="1" x14ac:dyDescent="0.2">
      <c r="A2062" s="65" t="s">
        <v>11690</v>
      </c>
      <c r="B2062" s="76" t="s">
        <v>11691</v>
      </c>
      <c r="C2062" s="65" t="s">
        <v>11692</v>
      </c>
      <c r="D2062" s="66">
        <v>41506</v>
      </c>
      <c r="E2062" s="72"/>
      <c r="F2062" s="69" t="s">
        <v>6810</v>
      </c>
    </row>
    <row r="2063" spans="1:6" ht="14.25" customHeight="1" x14ac:dyDescent="0.2">
      <c r="A2063" s="65" t="s">
        <v>11693</v>
      </c>
      <c r="B2063" s="76" t="s">
        <v>11694</v>
      </c>
      <c r="C2063" s="65" t="s">
        <v>11695</v>
      </c>
      <c r="D2063" s="66">
        <v>41505</v>
      </c>
      <c r="E2063" s="72"/>
      <c r="F2063" s="69" t="s">
        <v>6810</v>
      </c>
    </row>
    <row r="2064" spans="1:6" ht="14.25" customHeight="1" x14ac:dyDescent="0.2">
      <c r="A2064" s="65" t="s">
        <v>11696</v>
      </c>
      <c r="B2064" s="76" t="s">
        <v>11697</v>
      </c>
      <c r="C2064" s="65" t="s">
        <v>11698</v>
      </c>
      <c r="D2064" s="66">
        <v>41500</v>
      </c>
      <c r="E2064" s="72"/>
      <c r="F2064" s="69" t="s">
        <v>6810</v>
      </c>
    </row>
    <row r="2065" spans="1:6" ht="14.25" customHeight="1" x14ac:dyDescent="0.2">
      <c r="A2065" s="65" t="s">
        <v>11699</v>
      </c>
      <c r="B2065" s="76" t="s">
        <v>4834</v>
      </c>
      <c r="C2065" s="65" t="s">
        <v>10324</v>
      </c>
      <c r="D2065" s="66">
        <v>41499</v>
      </c>
      <c r="E2065" s="72"/>
      <c r="F2065" s="69" t="s">
        <v>10192</v>
      </c>
    </row>
    <row r="2066" spans="1:6" ht="14.25" customHeight="1" x14ac:dyDescent="0.2">
      <c r="A2066" s="65" t="s">
        <v>11700</v>
      </c>
      <c r="B2066" s="76" t="s">
        <v>11701</v>
      </c>
      <c r="C2066" s="65" t="s">
        <v>11702</v>
      </c>
      <c r="D2066" s="66">
        <v>41495</v>
      </c>
      <c r="E2066" s="72"/>
      <c r="F2066" s="69" t="s">
        <v>6810</v>
      </c>
    </row>
    <row r="2067" spans="1:6" ht="14.25" customHeight="1" x14ac:dyDescent="0.2">
      <c r="A2067" s="65" t="s">
        <v>11703</v>
      </c>
      <c r="B2067" s="76" t="s">
        <v>11704</v>
      </c>
      <c r="C2067" s="65" t="s">
        <v>11705</v>
      </c>
      <c r="D2067" s="66">
        <v>41493</v>
      </c>
      <c r="E2067" s="72"/>
      <c r="F2067" s="69" t="s">
        <v>6814</v>
      </c>
    </row>
    <row r="2068" spans="1:6" ht="14.25" customHeight="1" x14ac:dyDescent="0.2">
      <c r="A2068" s="65" t="s">
        <v>11706</v>
      </c>
      <c r="B2068" s="76" t="s">
        <v>11707</v>
      </c>
      <c r="C2068" s="65" t="s">
        <v>11708</v>
      </c>
      <c r="D2068" s="66">
        <v>41493</v>
      </c>
      <c r="E2068" s="72"/>
      <c r="F2068" s="69" t="s">
        <v>6814</v>
      </c>
    </row>
    <row r="2069" spans="1:6" ht="14.25" customHeight="1" x14ac:dyDescent="0.2">
      <c r="A2069" s="65" t="s">
        <v>11709</v>
      </c>
      <c r="B2069" s="76" t="s">
        <v>11710</v>
      </c>
      <c r="C2069" s="65" t="s">
        <v>11711</v>
      </c>
      <c r="D2069" s="66">
        <v>41493</v>
      </c>
      <c r="E2069" s="72"/>
      <c r="F2069" s="69" t="s">
        <v>6814</v>
      </c>
    </row>
    <row r="2070" spans="1:6" ht="14.25" customHeight="1" x14ac:dyDescent="0.2">
      <c r="A2070" s="65" t="s">
        <v>11712</v>
      </c>
      <c r="B2070" s="76" t="s">
        <v>11713</v>
      </c>
      <c r="C2070" s="65" t="s">
        <v>11714</v>
      </c>
      <c r="D2070" s="66">
        <v>41493</v>
      </c>
      <c r="E2070" s="72"/>
      <c r="F2070" s="69" t="s">
        <v>6814</v>
      </c>
    </row>
    <row r="2071" spans="1:6" ht="14.25" customHeight="1" x14ac:dyDescent="0.2">
      <c r="A2071" s="65" t="s">
        <v>11715</v>
      </c>
      <c r="B2071" s="76" t="s">
        <v>11716</v>
      </c>
      <c r="C2071" s="65" t="s">
        <v>11717</v>
      </c>
      <c r="D2071" s="66">
        <v>41493</v>
      </c>
      <c r="E2071" s="72"/>
      <c r="F2071" s="69" t="s">
        <v>6814</v>
      </c>
    </row>
    <row r="2072" spans="1:6" ht="14.25" customHeight="1" x14ac:dyDescent="0.2">
      <c r="A2072" s="65" t="s">
        <v>11718</v>
      </c>
      <c r="B2072" s="76" t="s">
        <v>11719</v>
      </c>
      <c r="C2072" s="65" t="s">
        <v>11720</v>
      </c>
      <c r="D2072" s="66">
        <v>41493</v>
      </c>
      <c r="E2072" s="72"/>
      <c r="F2072" s="69" t="s">
        <v>6814</v>
      </c>
    </row>
    <row r="2073" spans="1:6" ht="14.25" customHeight="1" x14ac:dyDescent="0.2">
      <c r="A2073" s="65" t="s">
        <v>11721</v>
      </c>
      <c r="B2073" s="76" t="s">
        <v>11722</v>
      </c>
      <c r="C2073" s="65" t="s">
        <v>11723</v>
      </c>
      <c r="D2073" s="66">
        <v>41493</v>
      </c>
      <c r="E2073" s="72"/>
      <c r="F2073" s="69" t="s">
        <v>6814</v>
      </c>
    </row>
    <row r="2074" spans="1:6" ht="14.25" customHeight="1" x14ac:dyDescent="0.2">
      <c r="A2074" s="65" t="s">
        <v>11724</v>
      </c>
      <c r="B2074" s="76" t="s">
        <v>11725</v>
      </c>
      <c r="C2074" s="65" t="s">
        <v>11726</v>
      </c>
      <c r="D2074" s="66">
        <v>41493</v>
      </c>
      <c r="E2074" s="72"/>
      <c r="F2074" s="69" t="s">
        <v>6814</v>
      </c>
    </row>
    <row r="2075" spans="1:6" ht="14.25" customHeight="1" x14ac:dyDescent="0.2">
      <c r="A2075" s="65" t="s">
        <v>11727</v>
      </c>
      <c r="B2075" s="76" t="s">
        <v>11728</v>
      </c>
      <c r="C2075" s="65" t="s">
        <v>11729</v>
      </c>
      <c r="D2075" s="66">
        <v>41493</v>
      </c>
      <c r="E2075" s="72"/>
      <c r="F2075" s="69" t="s">
        <v>6814</v>
      </c>
    </row>
    <row r="2076" spans="1:6" ht="14.25" customHeight="1" x14ac:dyDescent="0.2">
      <c r="A2076" s="65" t="s">
        <v>11730</v>
      </c>
      <c r="B2076" s="76" t="s">
        <v>2702</v>
      </c>
      <c r="C2076" s="65" t="s">
        <v>11731</v>
      </c>
      <c r="D2076" s="66">
        <v>41493</v>
      </c>
      <c r="E2076" s="72"/>
      <c r="F2076" s="69" t="s">
        <v>6814</v>
      </c>
    </row>
    <row r="2077" spans="1:6" ht="14.25" customHeight="1" x14ac:dyDescent="0.2">
      <c r="A2077" s="65" t="s">
        <v>11732</v>
      </c>
      <c r="B2077" s="76" t="s">
        <v>11733</v>
      </c>
      <c r="C2077" s="65" t="s">
        <v>11734</v>
      </c>
      <c r="D2077" s="66">
        <v>41493</v>
      </c>
      <c r="E2077" s="72"/>
      <c r="F2077" s="69" t="s">
        <v>6814</v>
      </c>
    </row>
    <row r="2078" spans="1:6" ht="14.25" customHeight="1" x14ac:dyDescent="0.2">
      <c r="A2078" s="65" t="s">
        <v>11735</v>
      </c>
      <c r="B2078" s="76" t="s">
        <v>11736</v>
      </c>
      <c r="C2078" s="65" t="s">
        <v>11737</v>
      </c>
      <c r="D2078" s="66">
        <v>41493</v>
      </c>
      <c r="E2078" s="72"/>
      <c r="F2078" s="69" t="s">
        <v>6814</v>
      </c>
    </row>
    <row r="2079" spans="1:6" ht="14.25" customHeight="1" x14ac:dyDescent="0.2">
      <c r="A2079" s="65" t="s">
        <v>11738</v>
      </c>
      <c r="B2079" s="76" t="s">
        <v>11739</v>
      </c>
      <c r="C2079" s="65" t="s">
        <v>11740</v>
      </c>
      <c r="D2079" s="66">
        <v>41493</v>
      </c>
      <c r="E2079" s="72"/>
      <c r="F2079" s="69" t="s">
        <v>6814</v>
      </c>
    </row>
    <row r="2080" spans="1:6" ht="14.25" customHeight="1" x14ac:dyDescent="0.2">
      <c r="A2080" s="65" t="s">
        <v>11741</v>
      </c>
      <c r="B2080" s="76" t="s">
        <v>11742</v>
      </c>
      <c r="C2080" s="65" t="s">
        <v>11743</v>
      </c>
      <c r="D2080" s="66">
        <v>41493</v>
      </c>
      <c r="E2080" s="72"/>
      <c r="F2080" s="69" t="s">
        <v>6814</v>
      </c>
    </row>
    <row r="2081" spans="1:6" ht="14.25" customHeight="1" x14ac:dyDescent="0.2">
      <c r="A2081" s="65" t="s">
        <v>11744</v>
      </c>
      <c r="B2081" s="76" t="s">
        <v>11745</v>
      </c>
      <c r="C2081" s="65" t="s">
        <v>11746</v>
      </c>
      <c r="D2081" s="66">
        <v>41493</v>
      </c>
      <c r="E2081" s="72"/>
      <c r="F2081" s="69" t="s">
        <v>6814</v>
      </c>
    </row>
    <row r="2082" spans="1:6" ht="14.25" customHeight="1" x14ac:dyDescent="0.2">
      <c r="A2082" s="65" t="s">
        <v>11747</v>
      </c>
      <c r="B2082" s="76" t="s">
        <v>11457</v>
      </c>
      <c r="C2082" s="65" t="s">
        <v>11748</v>
      </c>
      <c r="D2082" s="66">
        <v>41492</v>
      </c>
      <c r="E2082" s="72"/>
      <c r="F2082" s="69" t="s">
        <v>6810</v>
      </c>
    </row>
    <row r="2083" spans="1:6" ht="14.25" customHeight="1" x14ac:dyDescent="0.2">
      <c r="A2083" s="65" t="s">
        <v>11749</v>
      </c>
      <c r="B2083" s="76" t="s">
        <v>1274</v>
      </c>
      <c r="C2083" s="65" t="s">
        <v>11750</v>
      </c>
      <c r="D2083" s="66">
        <v>41491</v>
      </c>
      <c r="E2083" s="72"/>
      <c r="F2083" s="69" t="s">
        <v>6810</v>
      </c>
    </row>
    <row r="2084" spans="1:6" ht="14.25" customHeight="1" x14ac:dyDescent="0.2">
      <c r="A2084" s="65" t="s">
        <v>11751</v>
      </c>
      <c r="B2084" s="76" t="s">
        <v>11752</v>
      </c>
      <c r="C2084" s="65" t="s">
        <v>11753</v>
      </c>
      <c r="D2084" s="66">
        <v>41486</v>
      </c>
      <c r="E2084" s="72"/>
      <c r="F2084" s="69" t="s">
        <v>6814</v>
      </c>
    </row>
    <row r="2085" spans="1:6" ht="14.25" customHeight="1" x14ac:dyDescent="0.2">
      <c r="A2085" s="65" t="s">
        <v>11754</v>
      </c>
      <c r="B2085" s="76" t="s">
        <v>6809</v>
      </c>
      <c r="C2085" s="65" t="s">
        <v>10455</v>
      </c>
      <c r="D2085" s="66">
        <v>41484</v>
      </c>
      <c r="E2085" s="72"/>
      <c r="F2085" s="69" t="s">
        <v>6810</v>
      </c>
    </row>
    <row r="2086" spans="1:6" ht="14.25" customHeight="1" x14ac:dyDescent="0.2">
      <c r="A2086" s="65" t="s">
        <v>11755</v>
      </c>
      <c r="B2086" s="76" t="s">
        <v>6809</v>
      </c>
      <c r="C2086" s="65" t="s">
        <v>11756</v>
      </c>
      <c r="D2086" s="66">
        <v>41481</v>
      </c>
      <c r="E2086" s="72"/>
      <c r="F2086" s="69" t="s">
        <v>10540</v>
      </c>
    </row>
    <row r="2087" spans="1:6" ht="14.25" customHeight="1" x14ac:dyDescent="0.2">
      <c r="A2087" s="65" t="s">
        <v>11757</v>
      </c>
      <c r="B2087" s="76" t="s">
        <v>6809</v>
      </c>
      <c r="C2087" s="65" t="s">
        <v>11758</v>
      </c>
      <c r="D2087" s="66">
        <v>41481</v>
      </c>
      <c r="E2087" s="72"/>
      <c r="F2087" s="69" t="s">
        <v>10540</v>
      </c>
    </row>
    <row r="2088" spans="1:6" ht="14.25" customHeight="1" x14ac:dyDescent="0.2">
      <c r="A2088" s="65" t="s">
        <v>11759</v>
      </c>
      <c r="B2088" s="76" t="s">
        <v>6809</v>
      </c>
      <c r="C2088" s="65" t="s">
        <v>11760</v>
      </c>
      <c r="D2088" s="66">
        <v>41481</v>
      </c>
      <c r="E2088" s="72"/>
      <c r="F2088" s="69" t="s">
        <v>10192</v>
      </c>
    </row>
    <row r="2089" spans="1:6" ht="14.25" customHeight="1" x14ac:dyDescent="0.2">
      <c r="A2089" s="65" t="s">
        <v>11761</v>
      </c>
      <c r="B2089" s="76" t="s">
        <v>1226</v>
      </c>
      <c r="C2089" s="65" t="s">
        <v>8699</v>
      </c>
      <c r="D2089" s="66">
        <v>41480</v>
      </c>
      <c r="E2089" s="72"/>
      <c r="F2089" s="69" t="s">
        <v>6810</v>
      </c>
    </row>
    <row r="2090" spans="1:6" ht="14.25" customHeight="1" x14ac:dyDescent="0.2">
      <c r="A2090" s="65" t="s">
        <v>11762</v>
      </c>
      <c r="B2090" s="76" t="s">
        <v>11763</v>
      </c>
      <c r="C2090" s="65" t="s">
        <v>11764</v>
      </c>
      <c r="D2090" s="66">
        <v>41479</v>
      </c>
      <c r="E2090" s="72"/>
      <c r="F2090" s="69" t="s">
        <v>6814</v>
      </c>
    </row>
    <row r="2091" spans="1:6" ht="14.25" customHeight="1" x14ac:dyDescent="0.2">
      <c r="A2091" s="65" t="s">
        <v>3007</v>
      </c>
      <c r="B2091" s="76" t="s">
        <v>3006</v>
      </c>
      <c r="C2091" s="65" t="s">
        <v>11765</v>
      </c>
      <c r="D2091" s="66">
        <v>41479</v>
      </c>
      <c r="E2091" s="72"/>
      <c r="F2091" s="69" t="s">
        <v>6814</v>
      </c>
    </row>
    <row r="2092" spans="1:6" ht="14.25" customHeight="1" x14ac:dyDescent="0.2">
      <c r="A2092" s="65" t="s">
        <v>11766</v>
      </c>
      <c r="B2092" s="76" t="s">
        <v>11767</v>
      </c>
      <c r="C2092" s="65" t="s">
        <v>11768</v>
      </c>
      <c r="D2092" s="66">
        <v>41479</v>
      </c>
      <c r="E2092" s="72"/>
      <c r="F2092" s="69" t="s">
        <v>6814</v>
      </c>
    </row>
    <row r="2093" spans="1:6" ht="14.25" customHeight="1" x14ac:dyDescent="0.2">
      <c r="A2093" s="65" t="s">
        <v>11769</v>
      </c>
      <c r="B2093" s="76" t="s">
        <v>11770</v>
      </c>
      <c r="C2093" s="65" t="s">
        <v>11771</v>
      </c>
      <c r="D2093" s="66">
        <v>41479</v>
      </c>
      <c r="E2093" s="72"/>
      <c r="F2093" s="69" t="s">
        <v>6814</v>
      </c>
    </row>
    <row r="2094" spans="1:6" ht="14.25" customHeight="1" x14ac:dyDescent="0.2">
      <c r="A2094" s="65" t="s">
        <v>11772</v>
      </c>
      <c r="B2094" s="76" t="s">
        <v>11773</v>
      </c>
      <c r="C2094" s="65" t="s">
        <v>11774</v>
      </c>
      <c r="D2094" s="66">
        <v>41479</v>
      </c>
      <c r="E2094" s="72"/>
      <c r="F2094" s="69" t="s">
        <v>6814</v>
      </c>
    </row>
    <row r="2095" spans="1:6" ht="14.25" customHeight="1" x14ac:dyDescent="0.2">
      <c r="A2095" s="65" t="s">
        <v>11775</v>
      </c>
      <c r="B2095" s="76" t="s">
        <v>11776</v>
      </c>
      <c r="C2095" s="65" t="s">
        <v>11777</v>
      </c>
      <c r="D2095" s="66">
        <v>41479</v>
      </c>
      <c r="E2095" s="72"/>
      <c r="F2095" s="69" t="s">
        <v>6810</v>
      </c>
    </row>
    <row r="2096" spans="1:6" ht="14.25" customHeight="1" x14ac:dyDescent="0.2">
      <c r="A2096" s="65" t="s">
        <v>11778</v>
      </c>
      <c r="B2096" s="76" t="s">
        <v>11779</v>
      </c>
      <c r="C2096" s="65" t="s">
        <v>11780</v>
      </c>
      <c r="D2096" s="66">
        <v>41473</v>
      </c>
      <c r="E2096" s="72"/>
      <c r="F2096" s="69" t="s">
        <v>6814</v>
      </c>
    </row>
    <row r="2097" spans="1:6" ht="14.25" customHeight="1" x14ac:dyDescent="0.2">
      <c r="A2097" s="65" t="s">
        <v>11781</v>
      </c>
      <c r="B2097" s="76" t="s">
        <v>11782</v>
      </c>
      <c r="C2097" s="65" t="s">
        <v>11783</v>
      </c>
      <c r="D2097" s="66">
        <v>41473</v>
      </c>
      <c r="E2097" s="72"/>
      <c r="F2097" s="69" t="s">
        <v>10540</v>
      </c>
    </row>
    <row r="2098" spans="1:6" ht="14.25" customHeight="1" x14ac:dyDescent="0.2">
      <c r="A2098" s="65" t="s">
        <v>11784</v>
      </c>
      <c r="B2098" s="76" t="s">
        <v>8212</v>
      </c>
      <c r="C2098" s="65" t="s">
        <v>11785</v>
      </c>
      <c r="D2098" s="66">
        <v>41473</v>
      </c>
      <c r="E2098" s="72"/>
      <c r="F2098" s="69" t="s">
        <v>6814</v>
      </c>
    </row>
    <row r="2099" spans="1:6" ht="14.25" customHeight="1" x14ac:dyDescent="0.2">
      <c r="A2099" s="65" t="s">
        <v>8968</v>
      </c>
      <c r="B2099" s="76" t="s">
        <v>8969</v>
      </c>
      <c r="C2099" s="65" t="s">
        <v>8970</v>
      </c>
      <c r="D2099" s="66">
        <v>41473</v>
      </c>
      <c r="E2099" s="72"/>
      <c r="F2099" s="69" t="s">
        <v>6810</v>
      </c>
    </row>
    <row r="2100" spans="1:6" ht="14.25" customHeight="1" x14ac:dyDescent="0.2">
      <c r="A2100" s="65" t="s">
        <v>11786</v>
      </c>
      <c r="B2100" s="76" t="s">
        <v>11787</v>
      </c>
      <c r="C2100" s="65" t="s">
        <v>11788</v>
      </c>
      <c r="D2100" s="66">
        <v>41473</v>
      </c>
      <c r="E2100" s="72"/>
      <c r="F2100" s="69" t="s">
        <v>6810</v>
      </c>
    </row>
    <row r="2101" spans="1:6" ht="14.25" customHeight="1" x14ac:dyDescent="0.2">
      <c r="A2101" s="65" t="s">
        <v>11789</v>
      </c>
      <c r="B2101" s="76" t="s">
        <v>11790</v>
      </c>
      <c r="C2101" s="65" t="s">
        <v>11791</v>
      </c>
      <c r="D2101" s="66">
        <v>41473</v>
      </c>
      <c r="E2101" s="72"/>
      <c r="F2101" s="69" t="s">
        <v>6810</v>
      </c>
    </row>
    <row r="2102" spans="1:6" ht="14.25" customHeight="1" x14ac:dyDescent="0.2">
      <c r="A2102" s="65" t="s">
        <v>11792</v>
      </c>
      <c r="B2102" s="76" t="s">
        <v>11793</v>
      </c>
      <c r="C2102" s="65" t="s">
        <v>11794</v>
      </c>
      <c r="D2102" s="66">
        <v>41473</v>
      </c>
      <c r="E2102" s="72"/>
      <c r="F2102" s="69" t="s">
        <v>6810</v>
      </c>
    </row>
    <row r="2103" spans="1:6" ht="14.25" customHeight="1" x14ac:dyDescent="0.2">
      <c r="A2103" s="65" t="s">
        <v>11795</v>
      </c>
      <c r="B2103" s="76" t="s">
        <v>11796</v>
      </c>
      <c r="C2103" s="65" t="s">
        <v>11797</v>
      </c>
      <c r="D2103" s="66">
        <v>41473</v>
      </c>
      <c r="E2103" s="72"/>
      <c r="F2103" s="69" t="s">
        <v>6810</v>
      </c>
    </row>
    <row r="2104" spans="1:6" ht="14.25" customHeight="1" x14ac:dyDescent="0.2">
      <c r="A2104" s="65" t="s">
        <v>11798</v>
      </c>
      <c r="B2104" s="76" t="s">
        <v>941</v>
      </c>
      <c r="C2104" s="65" t="s">
        <v>11799</v>
      </c>
      <c r="D2104" s="66">
        <v>41473</v>
      </c>
      <c r="E2104" s="72"/>
      <c r="F2104" s="69" t="s">
        <v>10192</v>
      </c>
    </row>
    <row r="2105" spans="1:6" ht="14.25" customHeight="1" x14ac:dyDescent="0.2">
      <c r="A2105" s="65" t="s">
        <v>11800</v>
      </c>
      <c r="B2105" s="76" t="s">
        <v>11801</v>
      </c>
      <c r="C2105" s="65" t="s">
        <v>11802</v>
      </c>
      <c r="D2105" s="66">
        <v>41473</v>
      </c>
      <c r="E2105" s="72"/>
      <c r="F2105" s="69" t="s">
        <v>6810</v>
      </c>
    </row>
    <row r="2106" spans="1:6" ht="14.25" customHeight="1" x14ac:dyDescent="0.2">
      <c r="A2106" s="65" t="s">
        <v>11803</v>
      </c>
      <c r="B2106" s="76" t="s">
        <v>11804</v>
      </c>
      <c r="C2106" s="65" t="s">
        <v>11805</v>
      </c>
      <c r="D2106" s="66">
        <v>41473</v>
      </c>
      <c r="E2106" s="72"/>
      <c r="F2106" s="69" t="s">
        <v>6814</v>
      </c>
    </row>
    <row r="2107" spans="1:6" ht="14.25" customHeight="1" x14ac:dyDescent="0.2">
      <c r="A2107" s="65" t="s">
        <v>11806</v>
      </c>
      <c r="B2107" s="76" t="s">
        <v>11807</v>
      </c>
      <c r="C2107" s="65" t="s">
        <v>11808</v>
      </c>
      <c r="D2107" s="66">
        <v>41473</v>
      </c>
      <c r="E2107" s="72"/>
      <c r="F2107" s="69" t="s">
        <v>6810</v>
      </c>
    </row>
    <row r="2108" spans="1:6" ht="14.25" customHeight="1" x14ac:dyDescent="0.2">
      <c r="A2108" s="65" t="s">
        <v>11809</v>
      </c>
      <c r="B2108" s="76" t="s">
        <v>11810</v>
      </c>
      <c r="C2108" s="65" t="s">
        <v>11811</v>
      </c>
      <c r="D2108" s="66">
        <v>41465</v>
      </c>
      <c r="E2108" s="72"/>
      <c r="F2108" s="69" t="s">
        <v>6814</v>
      </c>
    </row>
    <row r="2109" spans="1:6" ht="14.25" customHeight="1" x14ac:dyDescent="0.2">
      <c r="A2109" s="65" t="s">
        <v>9219</v>
      </c>
      <c r="B2109" s="76" t="s">
        <v>9220</v>
      </c>
      <c r="C2109" s="65" t="s">
        <v>9221</v>
      </c>
      <c r="D2109" s="66">
        <v>41458</v>
      </c>
      <c r="E2109" s="72"/>
      <c r="F2109" s="69" t="s">
        <v>6810</v>
      </c>
    </row>
    <row r="2110" spans="1:6" ht="14.25" customHeight="1" x14ac:dyDescent="0.2">
      <c r="A2110" s="65" t="s">
        <v>11812</v>
      </c>
      <c r="B2110" s="76" t="s">
        <v>11813</v>
      </c>
      <c r="C2110" s="65" t="s">
        <v>11814</v>
      </c>
      <c r="D2110" s="66">
        <v>41458</v>
      </c>
      <c r="E2110" s="72"/>
      <c r="F2110" s="69" t="s">
        <v>6810</v>
      </c>
    </row>
    <row r="2111" spans="1:6" ht="14.25" customHeight="1" x14ac:dyDescent="0.2">
      <c r="A2111" s="65" t="s">
        <v>11815</v>
      </c>
      <c r="B2111" s="76" t="s">
        <v>11816</v>
      </c>
      <c r="C2111" s="65" t="s">
        <v>11817</v>
      </c>
      <c r="D2111" s="66">
        <v>41457</v>
      </c>
      <c r="E2111" s="72"/>
      <c r="F2111" s="69" t="s">
        <v>10540</v>
      </c>
    </row>
    <row r="2112" spans="1:6" ht="14.25" customHeight="1" x14ac:dyDescent="0.2">
      <c r="A2112" s="65" t="s">
        <v>11818</v>
      </c>
      <c r="B2112" s="76" t="s">
        <v>11819</v>
      </c>
      <c r="C2112" s="65" t="s">
        <v>11820</v>
      </c>
      <c r="D2112" s="66">
        <v>41457</v>
      </c>
      <c r="E2112" s="72"/>
      <c r="F2112" s="69" t="s">
        <v>10540</v>
      </c>
    </row>
    <row r="2113" spans="1:6" ht="14.25" customHeight="1" x14ac:dyDescent="0.2">
      <c r="A2113" s="65" t="s">
        <v>11821</v>
      </c>
      <c r="B2113" s="76" t="s">
        <v>11822</v>
      </c>
      <c r="C2113" s="65" t="s">
        <v>11823</v>
      </c>
      <c r="D2113" s="66">
        <v>41457</v>
      </c>
      <c r="E2113" s="72"/>
      <c r="F2113" s="69" t="s">
        <v>6810</v>
      </c>
    </row>
    <row r="2114" spans="1:6" ht="14.25" customHeight="1" x14ac:dyDescent="0.2">
      <c r="A2114" s="65" t="s">
        <v>11824</v>
      </c>
      <c r="B2114" s="76" t="s">
        <v>11825</v>
      </c>
      <c r="C2114" s="65" t="s">
        <v>11826</v>
      </c>
      <c r="D2114" s="66">
        <v>41456</v>
      </c>
      <c r="E2114" s="72"/>
      <c r="F2114" s="69" t="s">
        <v>6810</v>
      </c>
    </row>
    <row r="2115" spans="1:6" ht="14.25" customHeight="1" x14ac:dyDescent="0.2">
      <c r="A2115" s="65" t="s">
        <v>11827</v>
      </c>
      <c r="B2115" s="76" t="s">
        <v>11828</v>
      </c>
      <c r="C2115" s="65" t="s">
        <v>11829</v>
      </c>
      <c r="D2115" s="66">
        <v>41456</v>
      </c>
      <c r="E2115" s="72"/>
      <c r="F2115" s="69" t="s">
        <v>6810</v>
      </c>
    </row>
    <row r="2116" spans="1:6" ht="14.25" customHeight="1" x14ac:dyDescent="0.2">
      <c r="A2116" s="65" t="s">
        <v>11830</v>
      </c>
      <c r="B2116" s="76" t="s">
        <v>11831</v>
      </c>
      <c r="C2116" s="65" t="s">
        <v>11832</v>
      </c>
      <c r="D2116" s="66">
        <v>41456</v>
      </c>
      <c r="E2116" s="72"/>
      <c r="F2116" s="69" t="s">
        <v>6810</v>
      </c>
    </row>
    <row r="2117" spans="1:6" ht="14.25" customHeight="1" x14ac:dyDescent="0.2">
      <c r="A2117" s="65" t="s">
        <v>11833</v>
      </c>
      <c r="B2117" s="76" t="s">
        <v>11834</v>
      </c>
      <c r="C2117" s="65" t="s">
        <v>11835</v>
      </c>
      <c r="D2117" s="66">
        <v>41456</v>
      </c>
      <c r="E2117" s="72"/>
      <c r="F2117" s="69" t="s">
        <v>6810</v>
      </c>
    </row>
    <row r="2118" spans="1:6" ht="14.25" customHeight="1" x14ac:dyDescent="0.2">
      <c r="A2118" s="65" t="s">
        <v>11836</v>
      </c>
      <c r="B2118" s="76" t="s">
        <v>11837</v>
      </c>
      <c r="C2118" s="65" t="s">
        <v>10015</v>
      </c>
      <c r="D2118" s="66">
        <v>41456</v>
      </c>
      <c r="E2118" s="72"/>
      <c r="F2118" s="69" t="s">
        <v>6810</v>
      </c>
    </row>
    <row r="2119" spans="1:6" ht="14.25" customHeight="1" x14ac:dyDescent="0.2">
      <c r="A2119" s="65" t="s">
        <v>11838</v>
      </c>
      <c r="B2119" s="76" t="s">
        <v>11839</v>
      </c>
      <c r="C2119" s="65" t="s">
        <v>11840</v>
      </c>
      <c r="D2119" s="66">
        <v>41452</v>
      </c>
      <c r="E2119" s="72"/>
      <c r="F2119" s="69" t="s">
        <v>6814</v>
      </c>
    </row>
    <row r="2120" spans="1:6" ht="14.25" customHeight="1" x14ac:dyDescent="0.2">
      <c r="A2120" s="65" t="s">
        <v>11841</v>
      </c>
      <c r="B2120" s="76" t="s">
        <v>11842</v>
      </c>
      <c r="C2120" s="65" t="s">
        <v>11843</v>
      </c>
      <c r="D2120" s="66">
        <v>41452</v>
      </c>
      <c r="E2120" s="72"/>
      <c r="F2120" s="69" t="s">
        <v>6814</v>
      </c>
    </row>
    <row r="2121" spans="1:6" ht="14.25" customHeight="1" x14ac:dyDescent="0.2">
      <c r="A2121" s="65" t="s">
        <v>11844</v>
      </c>
      <c r="B2121" s="76" t="s">
        <v>11845</v>
      </c>
      <c r="C2121" s="65" t="s">
        <v>11846</v>
      </c>
      <c r="D2121" s="66">
        <v>41452</v>
      </c>
      <c r="E2121" s="72"/>
      <c r="F2121" s="69" t="s">
        <v>6814</v>
      </c>
    </row>
    <row r="2122" spans="1:6" ht="14.25" customHeight="1" x14ac:dyDescent="0.2">
      <c r="A2122" s="65" t="s">
        <v>11847</v>
      </c>
      <c r="B2122" s="76" t="s">
        <v>1821</v>
      </c>
      <c r="C2122" s="65" t="s">
        <v>11848</v>
      </c>
      <c r="D2122" s="66">
        <v>41452</v>
      </c>
      <c r="E2122" s="72"/>
      <c r="F2122" s="69" t="s">
        <v>11849</v>
      </c>
    </row>
    <row r="2123" spans="1:6" ht="14.25" customHeight="1" x14ac:dyDescent="0.2">
      <c r="A2123" s="65" t="s">
        <v>11850</v>
      </c>
      <c r="B2123" s="76" t="s">
        <v>11851</v>
      </c>
      <c r="C2123" s="65" t="s">
        <v>11852</v>
      </c>
      <c r="D2123" s="66">
        <v>41452</v>
      </c>
      <c r="E2123" s="72"/>
      <c r="F2123" s="69" t="s">
        <v>6810</v>
      </c>
    </row>
    <row r="2124" spans="1:6" ht="14.25" customHeight="1" x14ac:dyDescent="0.2">
      <c r="A2124" s="65" t="s">
        <v>11853</v>
      </c>
      <c r="B2124" s="76" t="s">
        <v>11854</v>
      </c>
      <c r="C2124" s="65" t="s">
        <v>11855</v>
      </c>
      <c r="D2124" s="66">
        <v>41444</v>
      </c>
      <c r="E2124" s="72"/>
      <c r="F2124" s="69" t="s">
        <v>6814</v>
      </c>
    </row>
    <row r="2125" spans="1:6" ht="14.25" customHeight="1" x14ac:dyDescent="0.2">
      <c r="A2125" s="65" t="s">
        <v>11856</v>
      </c>
      <c r="B2125" s="76" t="s">
        <v>11857</v>
      </c>
      <c r="C2125" s="65" t="s">
        <v>8875</v>
      </c>
      <c r="D2125" s="66">
        <v>41444</v>
      </c>
      <c r="E2125" s="72"/>
      <c r="F2125" s="69" t="s">
        <v>6810</v>
      </c>
    </row>
    <row r="2126" spans="1:6" ht="14.25" customHeight="1" x14ac:dyDescent="0.2">
      <c r="A2126" s="65" t="s">
        <v>11858</v>
      </c>
      <c r="B2126" s="76" t="s">
        <v>11859</v>
      </c>
      <c r="C2126" s="65" t="s">
        <v>11860</v>
      </c>
      <c r="D2126" s="66">
        <v>41444</v>
      </c>
      <c r="E2126" s="72"/>
      <c r="F2126" s="69" t="s">
        <v>6810</v>
      </c>
    </row>
    <row r="2127" spans="1:6" ht="14.25" customHeight="1" x14ac:dyDescent="0.2">
      <c r="A2127" s="65" t="s">
        <v>11861</v>
      </c>
      <c r="B2127" s="76" t="s">
        <v>3376</v>
      </c>
      <c r="C2127" s="65" t="s">
        <v>11862</v>
      </c>
      <c r="D2127" s="66">
        <v>41444</v>
      </c>
      <c r="E2127" s="72"/>
      <c r="F2127" s="69" t="s">
        <v>6810</v>
      </c>
    </row>
    <row r="2128" spans="1:6" ht="14.25" customHeight="1" x14ac:dyDescent="0.2">
      <c r="A2128" s="65" t="s">
        <v>11863</v>
      </c>
      <c r="B2128" s="76" t="s">
        <v>11864</v>
      </c>
      <c r="C2128" s="65" t="s">
        <v>11865</v>
      </c>
      <c r="D2128" s="66">
        <v>41444</v>
      </c>
      <c r="E2128" s="72"/>
      <c r="F2128" s="69" t="s">
        <v>6810</v>
      </c>
    </row>
    <row r="2129" spans="1:6" ht="14.25" customHeight="1" x14ac:dyDescent="0.2">
      <c r="A2129" s="65" t="s">
        <v>11866</v>
      </c>
      <c r="B2129" s="76" t="s">
        <v>1050</v>
      </c>
      <c r="C2129" s="65" t="s">
        <v>11867</v>
      </c>
      <c r="D2129" s="66">
        <v>41444</v>
      </c>
      <c r="E2129" s="72"/>
      <c r="F2129" s="69" t="s">
        <v>6814</v>
      </c>
    </row>
    <row r="2130" spans="1:6" ht="14.25" customHeight="1" x14ac:dyDescent="0.2">
      <c r="A2130" s="65" t="s">
        <v>8251</v>
      </c>
      <c r="B2130" s="76" t="s">
        <v>8252</v>
      </c>
      <c r="C2130" s="65" t="s">
        <v>8253</v>
      </c>
      <c r="D2130" s="66">
        <v>41444</v>
      </c>
      <c r="E2130" s="72"/>
      <c r="F2130" s="69" t="s">
        <v>6810</v>
      </c>
    </row>
    <row r="2131" spans="1:6" ht="14.25" customHeight="1" x14ac:dyDescent="0.2">
      <c r="A2131" s="65" t="s">
        <v>11868</v>
      </c>
      <c r="B2131" s="76" t="s">
        <v>11869</v>
      </c>
      <c r="C2131" s="65" t="s">
        <v>11870</v>
      </c>
      <c r="D2131" s="66">
        <v>41443</v>
      </c>
      <c r="E2131" s="72"/>
      <c r="F2131" s="69" t="s">
        <v>10540</v>
      </c>
    </row>
    <row r="2132" spans="1:6" ht="14.25" customHeight="1" x14ac:dyDescent="0.2">
      <c r="A2132" s="65" t="s">
        <v>11871</v>
      </c>
      <c r="B2132" s="76" t="s">
        <v>11872</v>
      </c>
      <c r="C2132" s="65" t="s">
        <v>11873</v>
      </c>
      <c r="D2132" s="66">
        <v>41443</v>
      </c>
      <c r="E2132" s="72"/>
      <c r="F2132" s="69" t="s">
        <v>10540</v>
      </c>
    </row>
    <row r="2133" spans="1:6" ht="14.25" customHeight="1" x14ac:dyDescent="0.2">
      <c r="A2133" s="65" t="s">
        <v>11874</v>
      </c>
      <c r="B2133" s="76" t="s">
        <v>10196</v>
      </c>
      <c r="C2133" s="65" t="s">
        <v>11875</v>
      </c>
      <c r="D2133" s="66">
        <v>41443</v>
      </c>
      <c r="E2133" s="72"/>
      <c r="F2133" s="69" t="s">
        <v>11849</v>
      </c>
    </row>
    <row r="2134" spans="1:6" ht="14.25" customHeight="1" x14ac:dyDescent="0.2">
      <c r="A2134" s="65" t="s">
        <v>11876</v>
      </c>
      <c r="B2134" s="76" t="s">
        <v>11877</v>
      </c>
      <c r="C2134" s="65" t="s">
        <v>11878</v>
      </c>
      <c r="D2134" s="71">
        <v>41435</v>
      </c>
      <c r="E2134" s="73"/>
      <c r="F2134" s="69" t="s">
        <v>6814</v>
      </c>
    </row>
    <row r="2135" spans="1:6" ht="14.25" customHeight="1" x14ac:dyDescent="0.2">
      <c r="A2135" s="65" t="s">
        <v>11879</v>
      </c>
      <c r="B2135" s="76" t="s">
        <v>874</v>
      </c>
      <c r="C2135" s="65" t="s">
        <v>11880</v>
      </c>
      <c r="D2135" s="71">
        <v>41435</v>
      </c>
      <c r="E2135" s="73"/>
      <c r="F2135" s="69" t="s">
        <v>6814</v>
      </c>
    </row>
    <row r="2136" spans="1:6" ht="14.25" customHeight="1" x14ac:dyDescent="0.2">
      <c r="A2136" s="65" t="s">
        <v>11881</v>
      </c>
      <c r="B2136" s="76" t="s">
        <v>11882</v>
      </c>
      <c r="C2136" s="65" t="s">
        <v>11883</v>
      </c>
      <c r="D2136" s="71">
        <v>41435</v>
      </c>
      <c r="E2136" s="73"/>
      <c r="F2136" s="69" t="s">
        <v>6814</v>
      </c>
    </row>
    <row r="2137" spans="1:6" ht="14.25" customHeight="1" x14ac:dyDescent="0.2">
      <c r="A2137" s="65" t="s">
        <v>11884</v>
      </c>
      <c r="B2137" s="76" t="s">
        <v>11885</v>
      </c>
      <c r="C2137" s="65" t="s">
        <v>11886</v>
      </c>
      <c r="D2137" s="66">
        <v>41429</v>
      </c>
      <c r="E2137" s="72"/>
      <c r="F2137" s="69" t="s">
        <v>6810</v>
      </c>
    </row>
    <row r="2138" spans="1:6" ht="14.25" customHeight="1" x14ac:dyDescent="0.2">
      <c r="A2138" s="65" t="s">
        <v>11887</v>
      </c>
      <c r="B2138" s="76" t="s">
        <v>9203</v>
      </c>
      <c r="C2138" s="65" t="s">
        <v>11888</v>
      </c>
      <c r="D2138" s="66">
        <v>41428</v>
      </c>
      <c r="E2138" s="72"/>
      <c r="F2138" s="69" t="s">
        <v>11889</v>
      </c>
    </row>
    <row r="2139" spans="1:6" ht="14.25" customHeight="1" x14ac:dyDescent="0.2">
      <c r="A2139" s="65" t="s">
        <v>11890</v>
      </c>
      <c r="B2139" s="76" t="s">
        <v>9978</v>
      </c>
      <c r="C2139" s="65" t="s">
        <v>9979</v>
      </c>
      <c r="D2139" s="66">
        <v>41428</v>
      </c>
      <c r="E2139" s="72"/>
      <c r="F2139" s="69" t="s">
        <v>11891</v>
      </c>
    </row>
    <row r="2140" spans="1:6" ht="14.25" customHeight="1" x14ac:dyDescent="0.2">
      <c r="A2140" s="65" t="s">
        <v>11892</v>
      </c>
      <c r="B2140" s="76" t="s">
        <v>3071</v>
      </c>
      <c r="C2140" s="65" t="s">
        <v>11893</v>
      </c>
      <c r="D2140" s="66">
        <v>41428</v>
      </c>
      <c r="E2140" s="72"/>
      <c r="F2140" s="69" t="s">
        <v>6810</v>
      </c>
    </row>
    <row r="2141" spans="1:6" ht="14.25" customHeight="1" x14ac:dyDescent="0.2">
      <c r="A2141" s="65" t="s">
        <v>11894</v>
      </c>
      <c r="B2141" s="76" t="s">
        <v>11895</v>
      </c>
      <c r="C2141" s="65" t="s">
        <v>11896</v>
      </c>
      <c r="D2141" s="66">
        <v>41428</v>
      </c>
      <c r="E2141" s="72"/>
      <c r="F2141" s="69" t="s">
        <v>6810</v>
      </c>
    </row>
    <row r="2142" spans="1:6" ht="14.25" customHeight="1" x14ac:dyDescent="0.2">
      <c r="A2142" s="65" t="s">
        <v>11897</v>
      </c>
      <c r="B2142" s="76" t="s">
        <v>11898</v>
      </c>
      <c r="C2142" s="65" t="s">
        <v>11899</v>
      </c>
      <c r="D2142" s="66">
        <v>41428</v>
      </c>
      <c r="E2142" s="72"/>
      <c r="F2142" s="69" t="s">
        <v>6810</v>
      </c>
    </row>
    <row r="2143" spans="1:6" ht="14.25" customHeight="1" x14ac:dyDescent="0.2">
      <c r="A2143" s="65" t="s">
        <v>11900</v>
      </c>
      <c r="B2143" s="76" t="s">
        <v>11901</v>
      </c>
      <c r="C2143" s="65" t="s">
        <v>11902</v>
      </c>
      <c r="D2143" s="66">
        <v>41428</v>
      </c>
      <c r="E2143" s="72"/>
      <c r="F2143" s="69" t="s">
        <v>6810</v>
      </c>
    </row>
    <row r="2144" spans="1:6" ht="14.25" customHeight="1" x14ac:dyDescent="0.2">
      <c r="A2144" s="65" t="s">
        <v>11903</v>
      </c>
      <c r="B2144" s="76" t="s">
        <v>11904</v>
      </c>
      <c r="C2144" s="65" t="s">
        <v>11905</v>
      </c>
      <c r="D2144" s="66">
        <v>41428</v>
      </c>
      <c r="E2144" s="72"/>
      <c r="F2144" s="69" t="s">
        <v>6810</v>
      </c>
    </row>
    <row r="2145" spans="1:6" ht="14.25" customHeight="1" x14ac:dyDescent="0.2">
      <c r="A2145" s="65" t="s">
        <v>11906</v>
      </c>
      <c r="B2145" s="76" t="s">
        <v>9923</v>
      </c>
      <c r="C2145" s="65" t="s">
        <v>11907</v>
      </c>
      <c r="D2145" s="66">
        <v>41424</v>
      </c>
      <c r="E2145" s="72"/>
      <c r="F2145" s="69" t="s">
        <v>6810</v>
      </c>
    </row>
    <row r="2146" spans="1:6" ht="14.25" customHeight="1" x14ac:dyDescent="0.2">
      <c r="A2146" s="65" t="s">
        <v>11908</v>
      </c>
      <c r="B2146" s="76" t="s">
        <v>1150</v>
      </c>
      <c r="C2146" s="65" t="s">
        <v>11909</v>
      </c>
      <c r="D2146" s="66">
        <v>41417</v>
      </c>
      <c r="E2146" s="72"/>
      <c r="F2146" s="69" t="s">
        <v>6810</v>
      </c>
    </row>
    <row r="2147" spans="1:6" ht="14.25" customHeight="1" x14ac:dyDescent="0.2">
      <c r="A2147" s="65" t="s">
        <v>11910</v>
      </c>
      <c r="B2147" s="76" t="s">
        <v>1715</v>
      </c>
      <c r="C2147" s="65" t="s">
        <v>11911</v>
      </c>
      <c r="D2147" s="66">
        <v>41417</v>
      </c>
      <c r="E2147" s="72"/>
      <c r="F2147" s="69" t="s">
        <v>11912</v>
      </c>
    </row>
    <row r="2148" spans="1:6" ht="14.25" customHeight="1" x14ac:dyDescent="0.2">
      <c r="A2148" s="65" t="s">
        <v>11913</v>
      </c>
      <c r="B2148" s="76" t="s">
        <v>11914</v>
      </c>
      <c r="C2148" s="65" t="s">
        <v>11915</v>
      </c>
      <c r="D2148" s="66">
        <v>41417</v>
      </c>
      <c r="E2148" s="72"/>
      <c r="F2148" s="69" t="s">
        <v>6810</v>
      </c>
    </row>
    <row r="2149" spans="1:6" ht="14.25" customHeight="1" x14ac:dyDescent="0.2">
      <c r="A2149" s="65" t="s">
        <v>11916</v>
      </c>
      <c r="B2149" s="76" t="s">
        <v>11917</v>
      </c>
      <c r="C2149" s="65" t="s">
        <v>11918</v>
      </c>
      <c r="D2149" s="66">
        <v>41416</v>
      </c>
      <c r="E2149" s="72"/>
      <c r="F2149" s="69" t="s">
        <v>6810</v>
      </c>
    </row>
    <row r="2150" spans="1:6" ht="14.25" customHeight="1" x14ac:dyDescent="0.2">
      <c r="A2150" s="65" t="s">
        <v>11919</v>
      </c>
      <c r="B2150" s="76" t="s">
        <v>11920</v>
      </c>
      <c r="C2150" s="65" t="s">
        <v>11921</v>
      </c>
      <c r="D2150" s="66">
        <v>41415</v>
      </c>
      <c r="E2150" s="72"/>
      <c r="F2150" s="69" t="s">
        <v>10540</v>
      </c>
    </row>
    <row r="2151" spans="1:6" ht="14.25" customHeight="1" x14ac:dyDescent="0.2">
      <c r="A2151" s="65" t="s">
        <v>11922</v>
      </c>
      <c r="B2151" s="76" t="s">
        <v>11923</v>
      </c>
      <c r="C2151" s="65" t="s">
        <v>11924</v>
      </c>
      <c r="D2151" s="66">
        <v>41415</v>
      </c>
      <c r="E2151" s="72"/>
      <c r="F2151" s="69" t="s">
        <v>6810</v>
      </c>
    </row>
    <row r="2152" spans="1:6" ht="14.25" customHeight="1" x14ac:dyDescent="0.2">
      <c r="A2152" s="65" t="s">
        <v>11925</v>
      </c>
      <c r="B2152" s="76" t="s">
        <v>11926</v>
      </c>
      <c r="C2152" s="65" t="s">
        <v>11927</v>
      </c>
      <c r="D2152" s="66">
        <v>41415</v>
      </c>
      <c r="E2152" s="72"/>
      <c r="F2152" s="69" t="s">
        <v>6810</v>
      </c>
    </row>
    <row r="2153" spans="1:6" ht="14.25" customHeight="1" x14ac:dyDescent="0.2">
      <c r="A2153" s="65" t="s">
        <v>11928</v>
      </c>
      <c r="B2153" s="76" t="s">
        <v>8560</v>
      </c>
      <c r="C2153" s="65" t="s">
        <v>11929</v>
      </c>
      <c r="D2153" s="66">
        <v>41415</v>
      </c>
      <c r="E2153" s="72"/>
      <c r="F2153" s="69" t="s">
        <v>6810</v>
      </c>
    </row>
    <row r="2154" spans="1:6" ht="14.25" customHeight="1" x14ac:dyDescent="0.2">
      <c r="A2154" s="65" t="s">
        <v>11930</v>
      </c>
      <c r="B2154" s="76" t="s">
        <v>11931</v>
      </c>
      <c r="C2154" s="65" t="s">
        <v>11932</v>
      </c>
      <c r="D2154" s="66">
        <v>41415</v>
      </c>
      <c r="E2154" s="72"/>
      <c r="F2154" s="69" t="s">
        <v>6810</v>
      </c>
    </row>
    <row r="2155" spans="1:6" ht="14.25" customHeight="1" x14ac:dyDescent="0.2">
      <c r="A2155" s="65" t="s">
        <v>11933</v>
      </c>
      <c r="B2155" s="76" t="s">
        <v>11934</v>
      </c>
      <c r="C2155" s="65" t="s">
        <v>11935</v>
      </c>
      <c r="D2155" s="66">
        <v>41415</v>
      </c>
      <c r="E2155" s="72"/>
      <c r="F2155" s="69" t="s">
        <v>6810</v>
      </c>
    </row>
    <row r="2156" spans="1:6" ht="14.25" customHeight="1" x14ac:dyDescent="0.2">
      <c r="A2156" s="65" t="s">
        <v>11936</v>
      </c>
      <c r="B2156" s="76" t="s">
        <v>1687</v>
      </c>
      <c r="C2156" s="65" t="s">
        <v>11937</v>
      </c>
      <c r="D2156" s="66">
        <v>41414</v>
      </c>
      <c r="E2156" s="72"/>
      <c r="F2156" s="69" t="s">
        <v>10540</v>
      </c>
    </row>
    <row r="2157" spans="1:6" ht="14.25" customHeight="1" x14ac:dyDescent="0.2">
      <c r="A2157" s="65" t="s">
        <v>11938</v>
      </c>
      <c r="B2157" s="76" t="s">
        <v>11939</v>
      </c>
      <c r="C2157" s="65" t="s">
        <v>11940</v>
      </c>
      <c r="D2157" s="66">
        <v>41414</v>
      </c>
      <c r="E2157" s="72"/>
      <c r="F2157" s="69" t="s">
        <v>10540</v>
      </c>
    </row>
    <row r="2158" spans="1:6" ht="14.25" customHeight="1" x14ac:dyDescent="0.2">
      <c r="A2158" s="65" t="s">
        <v>11941</v>
      </c>
      <c r="B2158" s="76" t="s">
        <v>11942</v>
      </c>
      <c r="C2158" s="65" t="s">
        <v>11943</v>
      </c>
      <c r="D2158" s="66">
        <v>41414</v>
      </c>
      <c r="E2158" s="72"/>
      <c r="F2158" s="69" t="s">
        <v>6810</v>
      </c>
    </row>
    <row r="2159" spans="1:6" ht="14.25" customHeight="1" x14ac:dyDescent="0.2">
      <c r="A2159" s="65" t="s">
        <v>11944</v>
      </c>
      <c r="B2159" s="76" t="s">
        <v>11945</v>
      </c>
      <c r="C2159" s="65" t="s">
        <v>11946</v>
      </c>
      <c r="D2159" s="66">
        <v>41410</v>
      </c>
      <c r="E2159" s="72"/>
      <c r="F2159" s="69" t="s">
        <v>6814</v>
      </c>
    </row>
    <row r="2160" spans="1:6" ht="14.25" customHeight="1" x14ac:dyDescent="0.2">
      <c r="A2160" s="70" t="s">
        <v>11947</v>
      </c>
      <c r="B2160" s="76" t="s">
        <v>11948</v>
      </c>
      <c r="C2160" s="70" t="s">
        <v>11949</v>
      </c>
      <c r="D2160" s="71">
        <v>41408</v>
      </c>
      <c r="E2160" s="73"/>
      <c r="F2160" s="69" t="s">
        <v>6810</v>
      </c>
    </row>
    <row r="2161" spans="1:6" ht="14.25" customHeight="1" x14ac:dyDescent="0.2">
      <c r="A2161" s="70" t="s">
        <v>8983</v>
      </c>
      <c r="B2161" s="76" t="s">
        <v>8984</v>
      </c>
      <c r="C2161" s="70" t="s">
        <v>8985</v>
      </c>
      <c r="D2161" s="71">
        <v>41408</v>
      </c>
      <c r="E2161" s="73"/>
      <c r="F2161" s="69" t="s">
        <v>6810</v>
      </c>
    </row>
    <row r="2162" spans="1:6" ht="14.25" customHeight="1" x14ac:dyDescent="0.2">
      <c r="A2162" s="70" t="s">
        <v>11950</v>
      </c>
      <c r="B2162" s="76" t="s">
        <v>3075</v>
      </c>
      <c r="C2162" s="70" t="s">
        <v>11951</v>
      </c>
      <c r="D2162" s="71">
        <v>41408</v>
      </c>
      <c r="E2162" s="73"/>
      <c r="F2162" s="69" t="s">
        <v>6810</v>
      </c>
    </row>
    <row r="2163" spans="1:6" ht="14.25" customHeight="1" x14ac:dyDescent="0.2">
      <c r="A2163" s="70" t="s">
        <v>11952</v>
      </c>
      <c r="B2163" s="76" t="s">
        <v>11953</v>
      </c>
      <c r="C2163" s="70" t="s">
        <v>11954</v>
      </c>
      <c r="D2163" s="71">
        <v>41408</v>
      </c>
      <c r="E2163" s="73"/>
      <c r="F2163" s="69" t="s">
        <v>6810</v>
      </c>
    </row>
    <row r="2164" spans="1:6" ht="14.25" customHeight="1" x14ac:dyDescent="0.2">
      <c r="A2164" s="70" t="s">
        <v>11955</v>
      </c>
      <c r="B2164" s="76" t="s">
        <v>8287</v>
      </c>
      <c r="C2164" s="70" t="s">
        <v>11956</v>
      </c>
      <c r="D2164" s="71">
        <v>41408</v>
      </c>
      <c r="E2164" s="73"/>
      <c r="F2164" s="69" t="s">
        <v>6810</v>
      </c>
    </row>
    <row r="2165" spans="1:6" ht="14.25" customHeight="1" x14ac:dyDescent="0.2">
      <c r="A2165" s="65" t="s">
        <v>11957</v>
      </c>
      <c r="B2165" s="76" t="s">
        <v>11958</v>
      </c>
      <c r="C2165" s="65" t="s">
        <v>11959</v>
      </c>
      <c r="D2165" s="66">
        <v>41403</v>
      </c>
      <c r="E2165" s="72"/>
      <c r="F2165" s="69" t="s">
        <v>10540</v>
      </c>
    </row>
    <row r="2166" spans="1:6" ht="14.25" customHeight="1" x14ac:dyDescent="0.2">
      <c r="A2166" s="65" t="s">
        <v>11960</v>
      </c>
      <c r="B2166" s="76" t="s">
        <v>11961</v>
      </c>
      <c r="C2166" s="65" t="s">
        <v>11962</v>
      </c>
      <c r="D2166" s="66">
        <v>41403</v>
      </c>
      <c r="E2166" s="72"/>
      <c r="F2166" s="69" t="s">
        <v>6810</v>
      </c>
    </row>
    <row r="2167" spans="1:6" ht="14.25" customHeight="1" x14ac:dyDescent="0.2">
      <c r="A2167" s="65" t="s">
        <v>11963</v>
      </c>
      <c r="B2167" s="76" t="s">
        <v>9251</v>
      </c>
      <c r="C2167" s="65" t="s">
        <v>11964</v>
      </c>
      <c r="D2167" s="66">
        <v>41403</v>
      </c>
      <c r="E2167" s="72"/>
      <c r="F2167" s="69" t="s">
        <v>6810</v>
      </c>
    </row>
    <row r="2168" spans="1:6" ht="14.25" customHeight="1" x14ac:dyDescent="0.2">
      <c r="A2168" s="65" t="s">
        <v>8594</v>
      </c>
      <c r="B2168" s="76" t="s">
        <v>8595</v>
      </c>
      <c r="C2168" s="65" t="s">
        <v>8596</v>
      </c>
      <c r="D2168" s="66">
        <v>41403</v>
      </c>
      <c r="E2168" s="72"/>
      <c r="F2168" s="69" t="s">
        <v>6810</v>
      </c>
    </row>
    <row r="2169" spans="1:6" ht="14.25" customHeight="1" x14ac:dyDescent="0.2">
      <c r="A2169" s="65" t="s">
        <v>11965</v>
      </c>
      <c r="B2169" s="76" t="s">
        <v>11966</v>
      </c>
      <c r="C2169" s="65" t="s">
        <v>11967</v>
      </c>
      <c r="D2169" s="66">
        <v>41403</v>
      </c>
      <c r="E2169" s="72"/>
      <c r="F2169" s="69" t="s">
        <v>6810</v>
      </c>
    </row>
    <row r="2170" spans="1:6" ht="14.25" customHeight="1" x14ac:dyDescent="0.2">
      <c r="A2170" s="65" t="s">
        <v>11968</v>
      </c>
      <c r="B2170" s="76" t="s">
        <v>11969</v>
      </c>
      <c r="C2170" s="65" t="s">
        <v>11970</v>
      </c>
      <c r="D2170" s="66">
        <v>41403</v>
      </c>
      <c r="E2170" s="72"/>
      <c r="F2170" s="69" t="s">
        <v>6810</v>
      </c>
    </row>
    <row r="2171" spans="1:6" ht="14.25" customHeight="1" x14ac:dyDescent="0.2">
      <c r="A2171" s="65" t="s">
        <v>11971</v>
      </c>
      <c r="B2171" s="76" t="s">
        <v>9271</v>
      </c>
      <c r="C2171" s="65" t="s">
        <v>11972</v>
      </c>
      <c r="D2171" s="66">
        <v>41403</v>
      </c>
      <c r="E2171" s="72"/>
      <c r="F2171" s="69" t="s">
        <v>6810</v>
      </c>
    </row>
    <row r="2172" spans="1:6" ht="14.25" customHeight="1" x14ac:dyDescent="0.2">
      <c r="A2172" s="65" t="s">
        <v>11973</v>
      </c>
      <c r="B2172" s="76" t="s">
        <v>11974</v>
      </c>
      <c r="C2172" s="65" t="s">
        <v>11975</v>
      </c>
      <c r="D2172" s="66">
        <v>41403</v>
      </c>
      <c r="E2172" s="72"/>
      <c r="F2172" s="69" t="s">
        <v>6810</v>
      </c>
    </row>
    <row r="2173" spans="1:6" ht="14.25" customHeight="1" x14ac:dyDescent="0.2">
      <c r="A2173" s="65" t="s">
        <v>11976</v>
      </c>
      <c r="B2173" s="76" t="s">
        <v>11977</v>
      </c>
      <c r="C2173" s="65" t="s">
        <v>11978</v>
      </c>
      <c r="D2173" s="66">
        <v>41396</v>
      </c>
      <c r="E2173" s="72"/>
      <c r="F2173" s="69" t="s">
        <v>6810</v>
      </c>
    </row>
    <row r="2174" spans="1:6" ht="14.25" customHeight="1" x14ac:dyDescent="0.2">
      <c r="A2174" s="65" t="s">
        <v>11979</v>
      </c>
      <c r="B2174" s="76" t="s">
        <v>3745</v>
      </c>
      <c r="C2174" s="65" t="s">
        <v>11980</v>
      </c>
      <c r="D2174" s="66">
        <v>41393</v>
      </c>
      <c r="E2174" s="72"/>
      <c r="F2174" s="69" t="s">
        <v>6810</v>
      </c>
    </row>
    <row r="2175" spans="1:6" ht="14.25" customHeight="1" x14ac:dyDescent="0.2">
      <c r="A2175" s="65" t="s">
        <v>11981</v>
      </c>
      <c r="B2175" s="76" t="s">
        <v>11982</v>
      </c>
      <c r="C2175" s="65" t="s">
        <v>11983</v>
      </c>
      <c r="D2175" s="66">
        <v>41389</v>
      </c>
      <c r="E2175" s="72"/>
      <c r="F2175" s="69" t="s">
        <v>6814</v>
      </c>
    </row>
    <row r="2176" spans="1:6" ht="14.25" customHeight="1" x14ac:dyDescent="0.2">
      <c r="A2176" s="65" t="s">
        <v>11984</v>
      </c>
      <c r="B2176" s="76" t="s">
        <v>11985</v>
      </c>
      <c r="C2176" s="65" t="s">
        <v>11986</v>
      </c>
      <c r="D2176" s="66">
        <v>41389</v>
      </c>
      <c r="E2176" s="72"/>
      <c r="F2176" s="69" t="s">
        <v>6814</v>
      </c>
    </row>
    <row r="2177" spans="1:6" ht="14.25" customHeight="1" x14ac:dyDescent="0.2">
      <c r="A2177" s="65" t="s">
        <v>11987</v>
      </c>
      <c r="B2177" s="76" t="s">
        <v>11988</v>
      </c>
      <c r="C2177" s="65" t="s">
        <v>11638</v>
      </c>
      <c r="D2177" s="66">
        <v>41389</v>
      </c>
      <c r="E2177" s="72"/>
      <c r="F2177" s="69" t="s">
        <v>6814</v>
      </c>
    </row>
    <row r="2178" spans="1:6" ht="14.25" customHeight="1" x14ac:dyDescent="0.2">
      <c r="A2178" s="65" t="s">
        <v>11989</v>
      </c>
      <c r="B2178" s="76" t="s">
        <v>11990</v>
      </c>
      <c r="C2178" s="65" t="s">
        <v>11991</v>
      </c>
      <c r="D2178" s="66">
        <v>41389</v>
      </c>
      <c r="E2178" s="72"/>
      <c r="F2178" s="69" t="s">
        <v>6810</v>
      </c>
    </row>
    <row r="2179" spans="1:6" ht="14.25" customHeight="1" x14ac:dyDescent="0.2">
      <c r="A2179" s="65" t="s">
        <v>11992</v>
      </c>
      <c r="B2179" s="76" t="s">
        <v>11993</v>
      </c>
      <c r="C2179" s="65" t="s">
        <v>11994</v>
      </c>
      <c r="D2179" s="66">
        <v>41388</v>
      </c>
      <c r="E2179" s="72"/>
      <c r="F2179" s="69" t="s">
        <v>6810</v>
      </c>
    </row>
    <row r="2180" spans="1:6" ht="14.25" customHeight="1" x14ac:dyDescent="0.2">
      <c r="A2180" s="65" t="s">
        <v>11995</v>
      </c>
      <c r="B2180" s="76" t="s">
        <v>8914</v>
      </c>
      <c r="C2180" s="65" t="s">
        <v>11996</v>
      </c>
      <c r="D2180" s="66">
        <v>41388</v>
      </c>
      <c r="E2180" s="72"/>
      <c r="F2180" s="69" t="s">
        <v>6810</v>
      </c>
    </row>
    <row r="2181" spans="1:6" ht="14.25" customHeight="1" x14ac:dyDescent="0.2">
      <c r="A2181" s="65" t="s">
        <v>11997</v>
      </c>
      <c r="B2181" s="76" t="s">
        <v>1699</v>
      </c>
      <c r="C2181" s="65" t="s">
        <v>11998</v>
      </c>
      <c r="D2181" s="66">
        <v>41383</v>
      </c>
      <c r="E2181" s="72"/>
      <c r="F2181" s="69" t="s">
        <v>6810</v>
      </c>
    </row>
    <row r="2182" spans="1:6" ht="14.25" customHeight="1" x14ac:dyDescent="0.2">
      <c r="A2182" s="65" t="s">
        <v>11999</v>
      </c>
      <c r="B2182" s="76" t="s">
        <v>12000</v>
      </c>
      <c r="C2182" s="65" t="s">
        <v>12001</v>
      </c>
      <c r="D2182" s="66">
        <v>41383</v>
      </c>
      <c r="E2182" s="72"/>
      <c r="F2182" s="69" t="s">
        <v>6810</v>
      </c>
    </row>
    <row r="2183" spans="1:6" ht="14.25" customHeight="1" x14ac:dyDescent="0.2">
      <c r="A2183" s="65" t="s">
        <v>12002</v>
      </c>
      <c r="B2183" s="76" t="s">
        <v>12003</v>
      </c>
      <c r="C2183" s="65" t="s">
        <v>12004</v>
      </c>
      <c r="D2183" s="66">
        <v>41381</v>
      </c>
      <c r="E2183" s="72"/>
      <c r="F2183" s="69" t="s">
        <v>10540</v>
      </c>
    </row>
    <row r="2184" spans="1:6" ht="14.25" customHeight="1" x14ac:dyDescent="0.2">
      <c r="A2184" s="65" t="s">
        <v>12005</v>
      </c>
      <c r="B2184" s="76" t="s">
        <v>4036</v>
      </c>
      <c r="C2184" s="65" t="s">
        <v>12006</v>
      </c>
      <c r="D2184" s="66">
        <v>41381</v>
      </c>
      <c r="E2184" s="72"/>
      <c r="F2184" s="69" t="s">
        <v>10540</v>
      </c>
    </row>
    <row r="2185" spans="1:6" ht="14.25" customHeight="1" x14ac:dyDescent="0.2">
      <c r="A2185" s="65" t="s">
        <v>12007</v>
      </c>
      <c r="B2185" s="76" t="s">
        <v>12008</v>
      </c>
      <c r="C2185" s="65" t="s">
        <v>12009</v>
      </c>
      <c r="D2185" s="66">
        <v>41381</v>
      </c>
      <c r="E2185" s="72"/>
      <c r="F2185" s="69" t="s">
        <v>6810</v>
      </c>
    </row>
    <row r="2186" spans="1:6" ht="14.25" customHeight="1" x14ac:dyDescent="0.2">
      <c r="A2186" s="65" t="s">
        <v>12010</v>
      </c>
      <c r="B2186" s="76" t="s">
        <v>12011</v>
      </c>
      <c r="C2186" s="65" t="s">
        <v>12012</v>
      </c>
      <c r="D2186" s="66">
        <v>41381</v>
      </c>
      <c r="E2186" s="72"/>
      <c r="F2186" s="69" t="s">
        <v>6810</v>
      </c>
    </row>
    <row r="2187" spans="1:6" ht="14.25" customHeight="1" x14ac:dyDescent="0.2">
      <c r="A2187" s="65" t="s">
        <v>12013</v>
      </c>
      <c r="B2187" s="76" t="s">
        <v>12014</v>
      </c>
      <c r="C2187" s="65" t="s">
        <v>12015</v>
      </c>
      <c r="D2187" s="66">
        <v>41375</v>
      </c>
      <c r="E2187" s="72"/>
      <c r="F2187" s="69" t="s">
        <v>6810</v>
      </c>
    </row>
    <row r="2188" spans="1:6" ht="14.25" customHeight="1" x14ac:dyDescent="0.2">
      <c r="A2188" s="70" t="s">
        <v>12016</v>
      </c>
      <c r="B2188" s="76" t="s">
        <v>12017</v>
      </c>
      <c r="C2188" s="69" t="s">
        <v>12018</v>
      </c>
      <c r="D2188" s="71">
        <v>41374</v>
      </c>
      <c r="E2188" s="73"/>
      <c r="F2188" s="69" t="s">
        <v>6810</v>
      </c>
    </row>
    <row r="2189" spans="1:6" ht="14.25" customHeight="1" x14ac:dyDescent="0.2">
      <c r="A2189" s="65" t="s">
        <v>12019</v>
      </c>
      <c r="B2189" s="76" t="s">
        <v>12020</v>
      </c>
      <c r="C2189" s="65" t="s">
        <v>10339</v>
      </c>
      <c r="D2189" s="66">
        <v>41373</v>
      </c>
      <c r="E2189" s="72"/>
      <c r="F2189" s="69" t="s">
        <v>6810</v>
      </c>
    </row>
    <row r="2190" spans="1:6" ht="14.25" customHeight="1" x14ac:dyDescent="0.2">
      <c r="A2190" s="65" t="s">
        <v>10972</v>
      </c>
      <c r="B2190" s="76" t="s">
        <v>10973</v>
      </c>
      <c r="C2190" s="65" t="s">
        <v>10974</v>
      </c>
      <c r="D2190" s="66">
        <v>41373</v>
      </c>
      <c r="E2190" s="72"/>
      <c r="F2190" s="69" t="s">
        <v>9499</v>
      </c>
    </row>
    <row r="2191" spans="1:6" ht="14.25" customHeight="1" x14ac:dyDescent="0.2">
      <c r="A2191" s="65" t="s">
        <v>12021</v>
      </c>
      <c r="B2191" s="76" t="s">
        <v>12022</v>
      </c>
      <c r="C2191" s="65" t="s">
        <v>12023</v>
      </c>
      <c r="D2191" s="66">
        <v>41372</v>
      </c>
      <c r="E2191" s="72"/>
      <c r="F2191" s="69" t="s">
        <v>6810</v>
      </c>
    </row>
    <row r="2192" spans="1:6" ht="14.25" customHeight="1" x14ac:dyDescent="0.2">
      <c r="A2192" s="65" t="s">
        <v>12024</v>
      </c>
      <c r="B2192" s="76" t="s">
        <v>12025</v>
      </c>
      <c r="C2192" s="65" t="s">
        <v>12026</v>
      </c>
      <c r="D2192" s="66">
        <v>41372</v>
      </c>
      <c r="E2192" s="72"/>
      <c r="F2192" s="69" t="s">
        <v>6810</v>
      </c>
    </row>
    <row r="2193" spans="1:6" ht="14.25" customHeight="1" x14ac:dyDescent="0.2">
      <c r="A2193" s="65" t="s">
        <v>12027</v>
      </c>
      <c r="B2193" s="76" t="s">
        <v>12028</v>
      </c>
      <c r="C2193" s="65" t="s">
        <v>12029</v>
      </c>
      <c r="D2193" s="66">
        <v>41372</v>
      </c>
      <c r="E2193" s="72"/>
      <c r="F2193" s="69" t="s">
        <v>6810</v>
      </c>
    </row>
    <row r="2194" spans="1:6" ht="14.25" customHeight="1" x14ac:dyDescent="0.2">
      <c r="A2194" s="65" t="s">
        <v>12030</v>
      </c>
      <c r="B2194" s="76" t="s">
        <v>12031</v>
      </c>
      <c r="C2194" s="65" t="s">
        <v>12032</v>
      </c>
      <c r="D2194" s="66">
        <v>41369</v>
      </c>
      <c r="E2194" s="72"/>
      <c r="F2194" s="69" t="s">
        <v>10540</v>
      </c>
    </row>
    <row r="2195" spans="1:6" ht="14.25" customHeight="1" x14ac:dyDescent="0.2">
      <c r="A2195" s="65" t="s">
        <v>12033</v>
      </c>
      <c r="B2195" s="76" t="s">
        <v>193</v>
      </c>
      <c r="C2195" s="65" t="s">
        <v>12034</v>
      </c>
      <c r="D2195" s="66">
        <v>41369</v>
      </c>
      <c r="E2195" s="72"/>
      <c r="F2195" s="69" t="s">
        <v>10540</v>
      </c>
    </row>
    <row r="2196" spans="1:6" ht="14.25" customHeight="1" x14ac:dyDescent="0.2">
      <c r="A2196" s="65" t="s">
        <v>12035</v>
      </c>
      <c r="B2196" s="76" t="s">
        <v>1046</v>
      </c>
      <c r="C2196" s="65" t="s">
        <v>12036</v>
      </c>
      <c r="D2196" s="66">
        <v>41368</v>
      </c>
      <c r="E2196" s="72"/>
      <c r="F2196" s="69" t="s">
        <v>9499</v>
      </c>
    </row>
    <row r="2197" spans="1:6" ht="14.25" customHeight="1" x14ac:dyDescent="0.2">
      <c r="A2197" s="65" t="s">
        <v>12037</v>
      </c>
      <c r="B2197" s="76" t="s">
        <v>12038</v>
      </c>
      <c r="C2197" s="65" t="s">
        <v>12039</v>
      </c>
      <c r="D2197" s="66">
        <v>41368</v>
      </c>
      <c r="E2197" s="72"/>
      <c r="F2197" s="69" t="s">
        <v>6810</v>
      </c>
    </row>
    <row r="2198" spans="1:6" ht="14.25" customHeight="1" x14ac:dyDescent="0.2">
      <c r="A2198" s="65" t="s">
        <v>12040</v>
      </c>
      <c r="B2198" s="76" t="s">
        <v>12041</v>
      </c>
      <c r="C2198" s="65" t="s">
        <v>12042</v>
      </c>
      <c r="D2198" s="66">
        <v>41367</v>
      </c>
      <c r="E2198" s="72"/>
      <c r="F2198" s="69" t="s">
        <v>6810</v>
      </c>
    </row>
    <row r="2199" spans="1:6" ht="14.25" customHeight="1" x14ac:dyDescent="0.2">
      <c r="A2199" s="65" t="s">
        <v>12043</v>
      </c>
      <c r="B2199" s="76" t="s">
        <v>12044</v>
      </c>
      <c r="C2199" s="65" t="s">
        <v>12045</v>
      </c>
      <c r="D2199" s="66">
        <v>41366</v>
      </c>
      <c r="E2199" s="72"/>
      <c r="F2199" s="69" t="s">
        <v>6810</v>
      </c>
    </row>
    <row r="2200" spans="1:6" ht="14.25" customHeight="1" x14ac:dyDescent="0.2">
      <c r="A2200" s="65" t="s">
        <v>12046</v>
      </c>
      <c r="B2200" s="76" t="s">
        <v>3067</v>
      </c>
      <c r="C2200" s="65" t="s">
        <v>12047</v>
      </c>
      <c r="D2200" s="66">
        <v>41361</v>
      </c>
      <c r="E2200" s="72"/>
      <c r="F2200" s="69" t="s">
        <v>6810</v>
      </c>
    </row>
    <row r="2201" spans="1:6" ht="14.25" customHeight="1" x14ac:dyDescent="0.2">
      <c r="A2201" s="65" t="s">
        <v>12048</v>
      </c>
      <c r="B2201" s="76" t="s">
        <v>12049</v>
      </c>
      <c r="C2201" s="65" t="s">
        <v>12050</v>
      </c>
      <c r="D2201" s="66">
        <v>41361</v>
      </c>
      <c r="E2201" s="72"/>
      <c r="F2201" s="69" t="s">
        <v>6810</v>
      </c>
    </row>
    <row r="2202" spans="1:6" ht="14.25" customHeight="1" x14ac:dyDescent="0.2">
      <c r="A2202" s="65" t="s">
        <v>12051</v>
      </c>
      <c r="B2202" s="76" t="s">
        <v>12052</v>
      </c>
      <c r="C2202" s="65" t="s">
        <v>12053</v>
      </c>
      <c r="D2202" s="66">
        <v>41361</v>
      </c>
      <c r="E2202" s="72"/>
      <c r="F2202" s="69" t="s">
        <v>6810</v>
      </c>
    </row>
    <row r="2203" spans="1:6" ht="14.25" customHeight="1" x14ac:dyDescent="0.2">
      <c r="A2203" s="65" t="s">
        <v>12054</v>
      </c>
      <c r="B2203" s="76" t="s">
        <v>12055</v>
      </c>
      <c r="C2203" s="65" t="s">
        <v>12056</v>
      </c>
      <c r="D2203" s="66">
        <v>41359</v>
      </c>
      <c r="E2203" s="72"/>
      <c r="F2203" s="69" t="s">
        <v>6810</v>
      </c>
    </row>
    <row r="2204" spans="1:6" ht="14.25" customHeight="1" x14ac:dyDescent="0.2">
      <c r="A2204" s="65" t="s">
        <v>12057</v>
      </c>
      <c r="B2204" s="76" t="s">
        <v>12058</v>
      </c>
      <c r="C2204" s="65" t="s">
        <v>12059</v>
      </c>
      <c r="D2204" s="66">
        <v>41359</v>
      </c>
      <c r="E2204" s="72"/>
      <c r="F2204" s="69" t="s">
        <v>10621</v>
      </c>
    </row>
    <row r="2205" spans="1:6" ht="14.25" customHeight="1" x14ac:dyDescent="0.2">
      <c r="A2205" s="65" t="s">
        <v>12060</v>
      </c>
      <c r="B2205" s="76" t="s">
        <v>12061</v>
      </c>
      <c r="C2205" s="65" t="s">
        <v>12062</v>
      </c>
      <c r="D2205" s="66">
        <v>41359</v>
      </c>
      <c r="E2205" s="72"/>
      <c r="F2205" s="69" t="s">
        <v>6810</v>
      </c>
    </row>
    <row r="2206" spans="1:6" ht="14.25" customHeight="1" x14ac:dyDescent="0.2">
      <c r="A2206" s="65" t="s">
        <v>12063</v>
      </c>
      <c r="B2206" s="76" t="s">
        <v>12064</v>
      </c>
      <c r="C2206" s="65" t="s">
        <v>12065</v>
      </c>
      <c r="D2206" s="66">
        <v>41359</v>
      </c>
      <c r="E2206" s="72"/>
      <c r="F2206" s="69" t="s">
        <v>6810</v>
      </c>
    </row>
    <row r="2207" spans="1:6" ht="14.25" customHeight="1" x14ac:dyDescent="0.2">
      <c r="A2207" s="65" t="s">
        <v>12066</v>
      </c>
      <c r="B2207" s="76" t="s">
        <v>12067</v>
      </c>
      <c r="C2207" s="65" t="s">
        <v>12068</v>
      </c>
      <c r="D2207" s="66">
        <v>41359</v>
      </c>
      <c r="E2207" s="72"/>
      <c r="F2207" s="69" t="s">
        <v>6810</v>
      </c>
    </row>
    <row r="2208" spans="1:6" ht="14.25" customHeight="1" x14ac:dyDescent="0.2">
      <c r="A2208" s="65" t="s">
        <v>12069</v>
      </c>
      <c r="B2208" s="76" t="s">
        <v>12070</v>
      </c>
      <c r="C2208" s="65" t="s">
        <v>12071</v>
      </c>
      <c r="D2208" s="66">
        <v>41358</v>
      </c>
      <c r="E2208" s="72"/>
      <c r="F2208" s="69" t="s">
        <v>6810</v>
      </c>
    </row>
    <row r="2209" spans="1:6" ht="14.25" customHeight="1" x14ac:dyDescent="0.2">
      <c r="A2209" s="65" t="s">
        <v>12072</v>
      </c>
      <c r="B2209" s="76" t="s">
        <v>5166</v>
      </c>
      <c r="C2209" s="65" t="s">
        <v>12073</v>
      </c>
      <c r="D2209" s="66">
        <v>41358</v>
      </c>
      <c r="E2209" s="72"/>
      <c r="F2209" s="69" t="s">
        <v>6810</v>
      </c>
    </row>
    <row r="2210" spans="1:6" ht="14.25" customHeight="1" x14ac:dyDescent="0.2">
      <c r="A2210" s="65" t="s">
        <v>12074</v>
      </c>
      <c r="B2210" s="76" t="s">
        <v>2163</v>
      </c>
      <c r="C2210" s="65" t="s">
        <v>12075</v>
      </c>
      <c r="D2210" s="66">
        <v>41355</v>
      </c>
      <c r="E2210" s="72"/>
      <c r="F2210" s="69" t="s">
        <v>6810</v>
      </c>
    </row>
    <row r="2211" spans="1:6" ht="14.25" customHeight="1" x14ac:dyDescent="0.2">
      <c r="A2211" s="65" t="s">
        <v>12076</v>
      </c>
      <c r="B2211" s="76" t="s">
        <v>12077</v>
      </c>
      <c r="C2211" s="65" t="s">
        <v>8866</v>
      </c>
      <c r="D2211" s="66">
        <v>41352</v>
      </c>
      <c r="E2211" s="72"/>
      <c r="F2211" s="69" t="s">
        <v>6810</v>
      </c>
    </row>
    <row r="2212" spans="1:6" ht="14.25" customHeight="1" x14ac:dyDescent="0.2">
      <c r="A2212" s="65" t="s">
        <v>9225</v>
      </c>
      <c r="B2212" s="76" t="s">
        <v>9226</v>
      </c>
      <c r="C2212" s="65" t="s">
        <v>9227</v>
      </c>
      <c r="D2212" s="66">
        <v>41352</v>
      </c>
      <c r="E2212" s="72"/>
      <c r="F2212" s="69" t="s">
        <v>6810</v>
      </c>
    </row>
    <row r="2213" spans="1:6" ht="14.25" customHeight="1" x14ac:dyDescent="0.2">
      <c r="A2213" s="65" t="s">
        <v>12078</v>
      </c>
      <c r="B2213" s="76" t="s">
        <v>5262</v>
      </c>
      <c r="C2213" s="65" t="s">
        <v>12079</v>
      </c>
      <c r="D2213" s="66">
        <v>41352</v>
      </c>
      <c r="E2213" s="72"/>
      <c r="F2213" s="69" t="s">
        <v>6810</v>
      </c>
    </row>
    <row r="2214" spans="1:6" ht="14.25" customHeight="1" x14ac:dyDescent="0.2">
      <c r="A2214" s="65" t="s">
        <v>12080</v>
      </c>
      <c r="B2214" s="76" t="s">
        <v>3063</v>
      </c>
      <c r="C2214" s="65" t="s">
        <v>12081</v>
      </c>
      <c r="D2214" s="66">
        <v>41348</v>
      </c>
      <c r="E2214" s="72"/>
      <c r="F2214" s="69" t="s">
        <v>10621</v>
      </c>
    </row>
    <row r="2215" spans="1:6" ht="14.25" customHeight="1" x14ac:dyDescent="0.2">
      <c r="A2215" s="65" t="s">
        <v>12082</v>
      </c>
      <c r="B2215" s="76" t="s">
        <v>5174</v>
      </c>
      <c r="C2215" s="65" t="s">
        <v>12083</v>
      </c>
      <c r="D2215" s="66">
        <v>41348</v>
      </c>
      <c r="E2215" s="72"/>
      <c r="F2215" s="69" t="s">
        <v>6810</v>
      </c>
    </row>
    <row r="2216" spans="1:6" ht="14.25" customHeight="1" x14ac:dyDescent="0.2">
      <c r="A2216" s="65" t="s">
        <v>12084</v>
      </c>
      <c r="B2216" s="76" t="s">
        <v>5258</v>
      </c>
      <c r="C2216" s="65" t="s">
        <v>12085</v>
      </c>
      <c r="D2216" s="66">
        <v>41347</v>
      </c>
      <c r="E2216" s="72"/>
      <c r="F2216" s="69" t="s">
        <v>6810</v>
      </c>
    </row>
    <row r="2217" spans="1:6" ht="14.25" customHeight="1" x14ac:dyDescent="0.2">
      <c r="A2217" s="65" t="s">
        <v>12086</v>
      </c>
      <c r="B2217" s="76" t="s">
        <v>1463</v>
      </c>
      <c r="C2217" s="65" t="s">
        <v>12087</v>
      </c>
      <c r="D2217" s="66">
        <v>41346</v>
      </c>
      <c r="E2217" s="72"/>
      <c r="F2217" s="69" t="s">
        <v>6810</v>
      </c>
    </row>
    <row r="2218" spans="1:6" ht="14.25" customHeight="1" x14ac:dyDescent="0.2">
      <c r="A2218" s="65" t="s">
        <v>9493</v>
      </c>
      <c r="B2218" s="76" t="s">
        <v>6809</v>
      </c>
      <c r="C2218" s="65" t="s">
        <v>9495</v>
      </c>
      <c r="D2218" s="66">
        <v>41344</v>
      </c>
      <c r="E2218" s="72"/>
      <c r="F2218" s="69" t="s">
        <v>6810</v>
      </c>
    </row>
    <row r="2219" spans="1:6" ht="14.25" customHeight="1" x14ac:dyDescent="0.2">
      <c r="A2219" s="65" t="s">
        <v>12088</v>
      </c>
      <c r="B2219" s="76" t="s">
        <v>3821</v>
      </c>
      <c r="C2219" s="65" t="s">
        <v>10177</v>
      </c>
      <c r="D2219" s="66">
        <v>41344</v>
      </c>
      <c r="E2219" s="72"/>
      <c r="F2219" s="69" t="s">
        <v>6814</v>
      </c>
    </row>
    <row r="2220" spans="1:6" ht="14.25" customHeight="1" x14ac:dyDescent="0.2">
      <c r="A2220" s="65" t="s">
        <v>12089</v>
      </c>
      <c r="B2220" s="76" t="s">
        <v>12090</v>
      </c>
      <c r="C2220" s="65" t="s">
        <v>12091</v>
      </c>
      <c r="D2220" s="66">
        <v>41344</v>
      </c>
      <c r="E2220" s="72"/>
      <c r="F2220" s="69" t="s">
        <v>6810</v>
      </c>
    </row>
    <row r="2221" spans="1:6" ht="14.25" customHeight="1" x14ac:dyDescent="0.2">
      <c r="A2221" s="65" t="s">
        <v>12092</v>
      </c>
      <c r="B2221" s="76" t="s">
        <v>3797</v>
      </c>
      <c r="C2221" s="65" t="s">
        <v>12093</v>
      </c>
      <c r="D2221" s="66">
        <v>41344</v>
      </c>
      <c r="E2221" s="72"/>
      <c r="F2221" s="69" t="s">
        <v>6810</v>
      </c>
    </row>
    <row r="2222" spans="1:6" ht="14.25" customHeight="1" x14ac:dyDescent="0.2">
      <c r="A2222" s="65" t="s">
        <v>12094</v>
      </c>
      <c r="B2222" s="76" t="s">
        <v>12095</v>
      </c>
      <c r="C2222" s="65" t="s">
        <v>12096</v>
      </c>
      <c r="D2222" s="66">
        <v>41340</v>
      </c>
      <c r="E2222" s="72"/>
      <c r="F2222" s="69" t="s">
        <v>6814</v>
      </c>
    </row>
    <row r="2223" spans="1:6" ht="14.25" customHeight="1" x14ac:dyDescent="0.2">
      <c r="A2223" s="65" t="s">
        <v>12097</v>
      </c>
      <c r="B2223" s="76" t="s">
        <v>12098</v>
      </c>
      <c r="C2223" s="65" t="s">
        <v>12099</v>
      </c>
      <c r="D2223" s="66">
        <v>41340</v>
      </c>
      <c r="E2223" s="72"/>
      <c r="F2223" s="69" t="s">
        <v>6814</v>
      </c>
    </row>
    <row r="2224" spans="1:6" ht="14.25" customHeight="1" x14ac:dyDescent="0.2">
      <c r="A2224" s="65" t="s">
        <v>12100</v>
      </c>
      <c r="B2224" s="76" t="s">
        <v>12101</v>
      </c>
      <c r="C2224" s="65" t="s">
        <v>12102</v>
      </c>
      <c r="D2224" s="66">
        <v>41340</v>
      </c>
      <c r="E2224" s="72"/>
      <c r="F2224" s="69" t="s">
        <v>6810</v>
      </c>
    </row>
    <row r="2225" spans="1:6" ht="14.25" customHeight="1" x14ac:dyDescent="0.2">
      <c r="A2225" s="65" t="s">
        <v>12103</v>
      </c>
      <c r="B2225" s="76" t="s">
        <v>12104</v>
      </c>
      <c r="C2225" s="65" t="s">
        <v>12105</v>
      </c>
      <c r="D2225" s="66">
        <v>41340</v>
      </c>
      <c r="E2225" s="72"/>
      <c r="F2225" s="69" t="s">
        <v>6810</v>
      </c>
    </row>
    <row r="2226" spans="1:6" ht="14.25" customHeight="1" x14ac:dyDescent="0.2">
      <c r="A2226" s="65" t="s">
        <v>12106</v>
      </c>
      <c r="B2226" s="76" t="s">
        <v>12107</v>
      </c>
      <c r="C2226" s="65" t="s">
        <v>12108</v>
      </c>
      <c r="D2226" s="66">
        <v>41338</v>
      </c>
      <c r="E2226" s="72"/>
      <c r="F2226" s="69" t="s">
        <v>6814</v>
      </c>
    </row>
    <row r="2227" spans="1:6" ht="14.25" customHeight="1" x14ac:dyDescent="0.2">
      <c r="A2227" s="65" t="s">
        <v>12109</v>
      </c>
      <c r="B2227" s="76" t="s">
        <v>2151</v>
      </c>
      <c r="C2227" s="65" t="s">
        <v>12110</v>
      </c>
      <c r="D2227" s="66">
        <v>41338</v>
      </c>
      <c r="E2227" s="72"/>
      <c r="F2227" s="69" t="s">
        <v>6814</v>
      </c>
    </row>
    <row r="2228" spans="1:6" ht="14.25" customHeight="1" x14ac:dyDescent="0.2">
      <c r="A2228" s="65" t="s">
        <v>12111</v>
      </c>
      <c r="B2228" s="76" t="s">
        <v>7032</v>
      </c>
      <c r="C2228" s="65" t="s">
        <v>12112</v>
      </c>
      <c r="D2228" s="66">
        <v>41338</v>
      </c>
      <c r="E2228" s="72"/>
      <c r="F2228" s="69" t="s">
        <v>6810</v>
      </c>
    </row>
    <row r="2229" spans="1:6" ht="14.25" customHeight="1" x14ac:dyDescent="0.2">
      <c r="A2229" s="65" t="s">
        <v>12113</v>
      </c>
      <c r="B2229" s="76" t="s">
        <v>2167</v>
      </c>
      <c r="C2229" s="65" t="s">
        <v>12114</v>
      </c>
      <c r="D2229" s="66">
        <v>41337</v>
      </c>
      <c r="E2229" s="72"/>
      <c r="F2229" s="69" t="s">
        <v>6814</v>
      </c>
    </row>
    <row r="2230" spans="1:6" ht="14.25" customHeight="1" x14ac:dyDescent="0.2">
      <c r="A2230" s="65" t="s">
        <v>12115</v>
      </c>
      <c r="B2230" s="76" t="s">
        <v>12116</v>
      </c>
      <c r="C2230" s="65" t="s">
        <v>12117</v>
      </c>
      <c r="D2230" s="66">
        <v>41337</v>
      </c>
      <c r="E2230" s="72"/>
      <c r="F2230" s="69" t="s">
        <v>6810</v>
      </c>
    </row>
    <row r="2231" spans="1:6" ht="14.25" customHeight="1" x14ac:dyDescent="0.2">
      <c r="A2231" s="65" t="s">
        <v>12118</v>
      </c>
      <c r="B2231" s="76" t="s">
        <v>12119</v>
      </c>
      <c r="C2231" s="65" t="s">
        <v>12120</v>
      </c>
      <c r="D2231" s="66">
        <v>41337</v>
      </c>
      <c r="E2231" s="72"/>
      <c r="F2231" s="69" t="s">
        <v>6810</v>
      </c>
    </row>
    <row r="2232" spans="1:6" ht="14.25" customHeight="1" x14ac:dyDescent="0.2">
      <c r="A2232" s="65" t="s">
        <v>12121</v>
      </c>
      <c r="B2232" s="76" t="s">
        <v>12122</v>
      </c>
      <c r="C2232" s="65" t="s">
        <v>12123</v>
      </c>
      <c r="D2232" s="66">
        <v>41337</v>
      </c>
      <c r="E2232" s="72"/>
      <c r="F2232" s="69" t="s">
        <v>6810</v>
      </c>
    </row>
    <row r="2233" spans="1:6" ht="14.25" customHeight="1" x14ac:dyDescent="0.2">
      <c r="A2233" s="65" t="s">
        <v>12124</v>
      </c>
      <c r="B2233" s="76" t="s">
        <v>12125</v>
      </c>
      <c r="C2233" s="65" t="s">
        <v>12126</v>
      </c>
      <c r="D2233" s="66">
        <v>41337</v>
      </c>
      <c r="E2233" s="72"/>
      <c r="F2233" s="69" t="s">
        <v>6810</v>
      </c>
    </row>
    <row r="2234" spans="1:6" ht="14.25" customHeight="1" x14ac:dyDescent="0.2">
      <c r="A2234" s="65" t="s">
        <v>12127</v>
      </c>
      <c r="B2234" s="76" t="s">
        <v>12128</v>
      </c>
      <c r="C2234" s="65" t="s">
        <v>12129</v>
      </c>
      <c r="D2234" s="66">
        <v>41333</v>
      </c>
      <c r="E2234" s="72"/>
      <c r="F2234" s="69" t="s">
        <v>6814</v>
      </c>
    </row>
    <row r="2235" spans="1:6" ht="14.25" customHeight="1" x14ac:dyDescent="0.2">
      <c r="A2235" s="65" t="s">
        <v>12130</v>
      </c>
      <c r="B2235" s="76" t="s">
        <v>12131</v>
      </c>
      <c r="C2235" s="65" t="s">
        <v>12132</v>
      </c>
      <c r="D2235" s="66">
        <v>41333</v>
      </c>
      <c r="E2235" s="72"/>
      <c r="F2235" s="69" t="s">
        <v>6814</v>
      </c>
    </row>
    <row r="2236" spans="1:6" ht="14.25" customHeight="1" x14ac:dyDescent="0.2">
      <c r="A2236" s="65" t="s">
        <v>12133</v>
      </c>
      <c r="B2236" s="76" t="s">
        <v>12134</v>
      </c>
      <c r="C2236" s="65" t="s">
        <v>12135</v>
      </c>
      <c r="D2236" s="66">
        <v>41333</v>
      </c>
      <c r="E2236" s="72"/>
      <c r="F2236" s="69" t="s">
        <v>6814</v>
      </c>
    </row>
    <row r="2237" spans="1:6" ht="14.25" customHeight="1" x14ac:dyDescent="0.2">
      <c r="A2237" s="65" t="s">
        <v>12136</v>
      </c>
      <c r="B2237" s="76" t="s">
        <v>12137</v>
      </c>
      <c r="C2237" s="65" t="s">
        <v>12138</v>
      </c>
      <c r="D2237" s="66">
        <v>41333</v>
      </c>
      <c r="E2237" s="72"/>
      <c r="F2237" s="69" t="s">
        <v>6814</v>
      </c>
    </row>
    <row r="2238" spans="1:6" ht="14.25" customHeight="1" x14ac:dyDescent="0.2">
      <c r="A2238" s="65" t="s">
        <v>12139</v>
      </c>
      <c r="B2238" s="76" t="s">
        <v>12140</v>
      </c>
      <c r="C2238" s="65" t="s">
        <v>12141</v>
      </c>
      <c r="D2238" s="66">
        <v>41333</v>
      </c>
      <c r="E2238" s="72"/>
      <c r="F2238" s="69" t="s">
        <v>6814</v>
      </c>
    </row>
    <row r="2239" spans="1:6" ht="14.25" customHeight="1" x14ac:dyDescent="0.2">
      <c r="A2239" s="65" t="s">
        <v>12142</v>
      </c>
      <c r="B2239" s="76" t="s">
        <v>12143</v>
      </c>
      <c r="C2239" s="65" t="s">
        <v>12144</v>
      </c>
      <c r="D2239" s="66">
        <v>41330</v>
      </c>
      <c r="E2239" s="72"/>
      <c r="F2239" s="69" t="s">
        <v>6814</v>
      </c>
    </row>
    <row r="2240" spans="1:6" ht="14.25" customHeight="1" x14ac:dyDescent="0.2">
      <c r="A2240" s="65" t="s">
        <v>12145</v>
      </c>
      <c r="B2240" s="76" t="s">
        <v>12146</v>
      </c>
      <c r="C2240" s="65" t="s">
        <v>12147</v>
      </c>
      <c r="D2240" s="66">
        <v>41330</v>
      </c>
      <c r="E2240" s="72"/>
      <c r="F2240" s="69" t="s">
        <v>6814</v>
      </c>
    </row>
    <row r="2241" spans="1:6" ht="14.25" customHeight="1" x14ac:dyDescent="0.2">
      <c r="A2241" s="65" t="s">
        <v>12148</v>
      </c>
      <c r="B2241" s="76" t="s">
        <v>12149</v>
      </c>
      <c r="C2241" s="65" t="s">
        <v>12150</v>
      </c>
      <c r="D2241" s="66">
        <v>41330</v>
      </c>
      <c r="E2241" s="72"/>
      <c r="F2241" s="69" t="s">
        <v>6810</v>
      </c>
    </row>
    <row r="2242" spans="1:6" ht="14.25" customHeight="1" x14ac:dyDescent="0.2">
      <c r="A2242" s="65" t="s">
        <v>12151</v>
      </c>
      <c r="B2242" s="76" t="s">
        <v>2175</v>
      </c>
      <c r="C2242" s="65" t="s">
        <v>12152</v>
      </c>
      <c r="D2242" s="66">
        <v>41330</v>
      </c>
      <c r="E2242" s="72"/>
      <c r="F2242" s="69" t="s">
        <v>6810</v>
      </c>
    </row>
    <row r="2243" spans="1:6" ht="14.25" customHeight="1" x14ac:dyDescent="0.2">
      <c r="A2243" s="65" t="s">
        <v>12153</v>
      </c>
      <c r="B2243" s="76" t="s">
        <v>12154</v>
      </c>
      <c r="C2243" s="65" t="s">
        <v>12155</v>
      </c>
      <c r="D2243" s="66">
        <v>41330</v>
      </c>
      <c r="E2243" s="72"/>
      <c r="F2243" s="69" t="s">
        <v>6810</v>
      </c>
    </row>
    <row r="2244" spans="1:6" ht="14.25" customHeight="1" x14ac:dyDescent="0.2">
      <c r="A2244" s="65" t="s">
        <v>12156</v>
      </c>
      <c r="B2244" s="76" t="s">
        <v>12157</v>
      </c>
      <c r="C2244" s="65" t="s">
        <v>12158</v>
      </c>
      <c r="D2244" s="66">
        <v>41330</v>
      </c>
      <c r="E2244" s="72"/>
      <c r="F2244" s="69" t="s">
        <v>6810</v>
      </c>
    </row>
    <row r="2245" spans="1:6" ht="14.25" customHeight="1" x14ac:dyDescent="0.2">
      <c r="A2245" s="65" t="s">
        <v>12159</v>
      </c>
      <c r="B2245" s="76" t="s">
        <v>12160</v>
      </c>
      <c r="C2245" s="65" t="s">
        <v>12161</v>
      </c>
      <c r="D2245" s="66">
        <v>41330</v>
      </c>
      <c r="E2245" s="72"/>
      <c r="F2245" s="69" t="s">
        <v>6810</v>
      </c>
    </row>
    <row r="2246" spans="1:6" ht="14.25" customHeight="1" x14ac:dyDescent="0.2">
      <c r="A2246" s="65" t="s">
        <v>12162</v>
      </c>
      <c r="B2246" s="76" t="s">
        <v>12163</v>
      </c>
      <c r="C2246" s="65" t="s">
        <v>12164</v>
      </c>
      <c r="D2246" s="66">
        <v>41327</v>
      </c>
      <c r="E2246" s="72"/>
      <c r="F2246" s="69" t="s">
        <v>10540</v>
      </c>
    </row>
    <row r="2247" spans="1:6" ht="14.25" customHeight="1" x14ac:dyDescent="0.2">
      <c r="A2247" s="65" t="s">
        <v>12165</v>
      </c>
      <c r="B2247" s="76" t="s">
        <v>563</v>
      </c>
      <c r="C2247" s="65" t="s">
        <v>12166</v>
      </c>
      <c r="D2247" s="66">
        <v>41327</v>
      </c>
      <c r="E2247" s="72"/>
      <c r="F2247" s="69" t="s">
        <v>10540</v>
      </c>
    </row>
    <row r="2248" spans="1:6" ht="14.25" customHeight="1" x14ac:dyDescent="0.2">
      <c r="A2248" s="65" t="s">
        <v>12167</v>
      </c>
      <c r="B2248" s="76" t="s">
        <v>12168</v>
      </c>
      <c r="C2248" s="65" t="s">
        <v>12169</v>
      </c>
      <c r="D2248" s="66">
        <v>41326</v>
      </c>
      <c r="E2248" s="72"/>
      <c r="F2248" s="69" t="s">
        <v>6810</v>
      </c>
    </row>
    <row r="2249" spans="1:6" ht="14.25" customHeight="1" x14ac:dyDescent="0.2">
      <c r="A2249" s="65" t="s">
        <v>12170</v>
      </c>
      <c r="B2249" s="76" t="s">
        <v>12171</v>
      </c>
      <c r="C2249" s="65" t="s">
        <v>12172</v>
      </c>
      <c r="D2249" s="66">
        <v>41326</v>
      </c>
      <c r="E2249" s="72"/>
      <c r="F2249" s="69" t="s">
        <v>6810</v>
      </c>
    </row>
    <row r="2250" spans="1:6" ht="14.25" customHeight="1" x14ac:dyDescent="0.2">
      <c r="A2250" s="65" t="s">
        <v>12173</v>
      </c>
      <c r="B2250" s="76" t="s">
        <v>12174</v>
      </c>
      <c r="C2250" s="65" t="s">
        <v>12175</v>
      </c>
      <c r="D2250" s="66">
        <v>41326</v>
      </c>
      <c r="E2250" s="72"/>
      <c r="F2250" s="69" t="s">
        <v>6810</v>
      </c>
    </row>
    <row r="2251" spans="1:6" ht="14.25" customHeight="1" x14ac:dyDescent="0.2">
      <c r="A2251" s="65" t="s">
        <v>12176</v>
      </c>
      <c r="B2251" s="76" t="s">
        <v>12177</v>
      </c>
      <c r="C2251" s="65" t="s">
        <v>12178</v>
      </c>
      <c r="D2251" s="66">
        <v>41326</v>
      </c>
      <c r="E2251" s="72"/>
      <c r="F2251" s="69" t="s">
        <v>6810</v>
      </c>
    </row>
    <row r="2252" spans="1:6" ht="14.25" customHeight="1" x14ac:dyDescent="0.2">
      <c r="A2252" s="65" t="s">
        <v>12179</v>
      </c>
      <c r="B2252" s="76" t="s">
        <v>10264</v>
      </c>
      <c r="C2252" s="65" t="s">
        <v>10265</v>
      </c>
      <c r="D2252" s="66">
        <v>41324</v>
      </c>
      <c r="E2252" s="72"/>
      <c r="F2252" s="69" t="s">
        <v>12180</v>
      </c>
    </row>
    <row r="2253" spans="1:6" ht="14.25" customHeight="1" x14ac:dyDescent="0.2">
      <c r="A2253" s="65" t="s">
        <v>7941</v>
      </c>
      <c r="B2253" s="76" t="s">
        <v>7942</v>
      </c>
      <c r="C2253" s="65" t="s">
        <v>7943</v>
      </c>
      <c r="D2253" s="66">
        <v>41323</v>
      </c>
      <c r="E2253" s="72"/>
      <c r="F2253" s="69" t="s">
        <v>6810</v>
      </c>
    </row>
    <row r="2254" spans="1:6" ht="14.25" customHeight="1" x14ac:dyDescent="0.2">
      <c r="A2254" s="65" t="s">
        <v>12181</v>
      </c>
      <c r="B2254" s="76" t="s">
        <v>11290</v>
      </c>
      <c r="C2254" s="65" t="s">
        <v>12182</v>
      </c>
      <c r="D2254" s="66">
        <v>41319</v>
      </c>
      <c r="E2254" s="72"/>
      <c r="F2254" s="69" t="s">
        <v>6810</v>
      </c>
    </row>
    <row r="2255" spans="1:6" ht="14.25" customHeight="1" x14ac:dyDescent="0.2">
      <c r="A2255" s="65" t="s">
        <v>12183</v>
      </c>
      <c r="B2255" s="76" t="s">
        <v>9091</v>
      </c>
      <c r="C2255" s="65" t="s">
        <v>12184</v>
      </c>
      <c r="D2255" s="66">
        <v>41317</v>
      </c>
      <c r="E2255" s="72"/>
      <c r="F2255" s="69" t="s">
        <v>10192</v>
      </c>
    </row>
    <row r="2256" spans="1:6" ht="14.25" customHeight="1" x14ac:dyDescent="0.2">
      <c r="A2256" s="65" t="s">
        <v>12185</v>
      </c>
      <c r="B2256" s="76" t="s">
        <v>12186</v>
      </c>
      <c r="C2256" s="65" t="s">
        <v>12187</v>
      </c>
      <c r="D2256" s="66">
        <v>41317</v>
      </c>
      <c r="E2256" s="72"/>
      <c r="F2256" s="69" t="s">
        <v>6810</v>
      </c>
    </row>
    <row r="2257" spans="1:6" ht="14.25" customHeight="1" x14ac:dyDescent="0.2">
      <c r="A2257" s="65" t="s">
        <v>12188</v>
      </c>
      <c r="B2257" s="76" t="s">
        <v>3304</v>
      </c>
      <c r="C2257" s="65" t="s">
        <v>12189</v>
      </c>
      <c r="D2257" s="66">
        <v>41317</v>
      </c>
      <c r="E2257" s="72"/>
      <c r="F2257" s="69" t="s">
        <v>6810</v>
      </c>
    </row>
    <row r="2258" spans="1:6" ht="14.25" customHeight="1" x14ac:dyDescent="0.2">
      <c r="A2258" s="65" t="s">
        <v>12190</v>
      </c>
      <c r="B2258" s="76" t="s">
        <v>12191</v>
      </c>
      <c r="C2258" s="65" t="s">
        <v>12192</v>
      </c>
      <c r="D2258" s="66">
        <v>41313</v>
      </c>
      <c r="E2258" s="72"/>
      <c r="F2258" s="69" t="s">
        <v>10540</v>
      </c>
    </row>
    <row r="2259" spans="1:6" ht="14.25" customHeight="1" x14ac:dyDescent="0.2">
      <c r="A2259" s="65" t="s">
        <v>12193</v>
      </c>
      <c r="B2259" s="76" t="s">
        <v>12194</v>
      </c>
      <c r="C2259" s="65" t="s">
        <v>12195</v>
      </c>
      <c r="D2259" s="66">
        <v>41313</v>
      </c>
      <c r="E2259" s="72"/>
      <c r="F2259" s="69" t="s">
        <v>10540</v>
      </c>
    </row>
    <row r="2260" spans="1:6" ht="14.25" customHeight="1" x14ac:dyDescent="0.2">
      <c r="A2260" s="65" t="s">
        <v>12196</v>
      </c>
      <c r="B2260" s="76" t="s">
        <v>12197</v>
      </c>
      <c r="C2260" s="65" t="s">
        <v>12198</v>
      </c>
      <c r="D2260" s="66">
        <v>41313</v>
      </c>
      <c r="E2260" s="72"/>
      <c r="F2260" s="69" t="s">
        <v>10540</v>
      </c>
    </row>
    <row r="2261" spans="1:6" ht="14.25" customHeight="1" x14ac:dyDescent="0.2">
      <c r="A2261" s="65" t="s">
        <v>12199</v>
      </c>
      <c r="B2261" s="76" t="s">
        <v>6809</v>
      </c>
      <c r="C2261" s="65" t="s">
        <v>12200</v>
      </c>
      <c r="D2261" s="66">
        <v>41313</v>
      </c>
      <c r="E2261" s="72"/>
      <c r="F2261" s="69" t="s">
        <v>10540</v>
      </c>
    </row>
    <row r="2262" spans="1:6" ht="14.25" customHeight="1" x14ac:dyDescent="0.2">
      <c r="A2262" s="65" t="s">
        <v>12201</v>
      </c>
      <c r="B2262" s="76" t="s">
        <v>6809</v>
      </c>
      <c r="C2262" s="65" t="s">
        <v>12202</v>
      </c>
      <c r="D2262" s="66">
        <v>41313</v>
      </c>
      <c r="E2262" s="72"/>
      <c r="F2262" s="69" t="s">
        <v>6810</v>
      </c>
    </row>
    <row r="2263" spans="1:6" ht="14.25" customHeight="1" x14ac:dyDescent="0.2">
      <c r="A2263" s="65" t="s">
        <v>12203</v>
      </c>
      <c r="B2263" s="76" t="s">
        <v>12204</v>
      </c>
      <c r="C2263" s="65" t="s">
        <v>12205</v>
      </c>
      <c r="D2263" s="66">
        <v>41312</v>
      </c>
      <c r="E2263" s="72"/>
      <c r="F2263" s="69" t="s">
        <v>6810</v>
      </c>
    </row>
    <row r="2264" spans="1:6" ht="14.25" customHeight="1" x14ac:dyDescent="0.2">
      <c r="A2264" s="65" t="s">
        <v>12206</v>
      </c>
      <c r="B2264" s="76" t="s">
        <v>12207</v>
      </c>
      <c r="C2264" s="65" t="s">
        <v>12208</v>
      </c>
      <c r="D2264" s="66">
        <v>41310</v>
      </c>
      <c r="E2264" s="72"/>
      <c r="F2264" s="69" t="s">
        <v>6810</v>
      </c>
    </row>
    <row r="2265" spans="1:6" ht="14.25" customHeight="1" x14ac:dyDescent="0.2">
      <c r="A2265" s="65" t="s">
        <v>10010</v>
      </c>
      <c r="B2265" s="76" t="s">
        <v>10011</v>
      </c>
      <c r="C2265" s="65" t="s">
        <v>10012</v>
      </c>
      <c r="D2265" s="66">
        <v>41310</v>
      </c>
      <c r="E2265" s="72"/>
      <c r="F2265" s="69" t="s">
        <v>6810</v>
      </c>
    </row>
    <row r="2266" spans="1:6" ht="14.25" customHeight="1" x14ac:dyDescent="0.2">
      <c r="A2266" s="65" t="s">
        <v>12209</v>
      </c>
      <c r="B2266" s="76" t="s">
        <v>11326</v>
      </c>
      <c r="C2266" s="65" t="s">
        <v>12210</v>
      </c>
      <c r="D2266" s="66">
        <v>41303</v>
      </c>
      <c r="E2266" s="72"/>
      <c r="F2266" s="69" t="s">
        <v>10540</v>
      </c>
    </row>
    <row r="2267" spans="1:6" ht="14.25" customHeight="1" x14ac:dyDescent="0.2">
      <c r="A2267" s="65" t="s">
        <v>12211</v>
      </c>
      <c r="B2267" s="76" t="s">
        <v>796</v>
      </c>
      <c r="C2267" s="65" t="s">
        <v>12212</v>
      </c>
      <c r="D2267" s="66">
        <v>41303</v>
      </c>
      <c r="E2267" s="72"/>
      <c r="F2267" s="69" t="s">
        <v>10540</v>
      </c>
    </row>
    <row r="2268" spans="1:6" ht="14.25" customHeight="1" x14ac:dyDescent="0.2">
      <c r="A2268" s="65" t="s">
        <v>12213</v>
      </c>
      <c r="B2268" s="76" t="s">
        <v>12214</v>
      </c>
      <c r="C2268" s="65" t="s">
        <v>12215</v>
      </c>
      <c r="D2268" s="66">
        <v>41302</v>
      </c>
      <c r="E2268" s="72"/>
      <c r="F2268" s="69" t="s">
        <v>6810</v>
      </c>
    </row>
    <row r="2269" spans="1:6" ht="14.25" customHeight="1" x14ac:dyDescent="0.2">
      <c r="A2269" s="65" t="s">
        <v>12216</v>
      </c>
      <c r="B2269" s="76" t="s">
        <v>12217</v>
      </c>
      <c r="C2269" s="65" t="s">
        <v>12218</v>
      </c>
      <c r="D2269" s="66">
        <v>41302</v>
      </c>
      <c r="E2269" s="72"/>
      <c r="F2269" s="69" t="s">
        <v>6810</v>
      </c>
    </row>
    <row r="2270" spans="1:6" ht="14.25" customHeight="1" x14ac:dyDescent="0.2">
      <c r="A2270" s="65" t="s">
        <v>12219</v>
      </c>
      <c r="B2270" s="76" t="s">
        <v>12220</v>
      </c>
      <c r="C2270" s="65" t="s">
        <v>12221</v>
      </c>
      <c r="D2270" s="66">
        <v>41298</v>
      </c>
      <c r="E2270" s="72"/>
      <c r="F2270" s="69" t="s">
        <v>6810</v>
      </c>
    </row>
    <row r="2271" spans="1:6" ht="14.25" customHeight="1" x14ac:dyDescent="0.2">
      <c r="A2271" s="65" t="s">
        <v>12222</v>
      </c>
      <c r="B2271" s="76" t="s">
        <v>6809</v>
      </c>
      <c r="C2271" s="65" t="s">
        <v>12223</v>
      </c>
      <c r="D2271" s="66">
        <v>41298</v>
      </c>
      <c r="E2271" s="72"/>
      <c r="F2271" s="69" t="s">
        <v>6810</v>
      </c>
    </row>
    <row r="2272" spans="1:6" ht="14.25" customHeight="1" x14ac:dyDescent="0.2">
      <c r="A2272" s="65" t="s">
        <v>12224</v>
      </c>
      <c r="B2272" s="76" t="s">
        <v>12225</v>
      </c>
      <c r="C2272" s="65" t="s">
        <v>12226</v>
      </c>
      <c r="D2272" s="66">
        <v>41297</v>
      </c>
      <c r="E2272" s="72"/>
      <c r="F2272" s="69" t="s">
        <v>6814</v>
      </c>
    </row>
    <row r="2273" spans="1:6" ht="14.25" customHeight="1" x14ac:dyDescent="0.2">
      <c r="A2273" s="65" t="s">
        <v>12227</v>
      </c>
      <c r="B2273" s="76" t="s">
        <v>12228</v>
      </c>
      <c r="C2273" s="65" t="s">
        <v>12229</v>
      </c>
      <c r="D2273" s="66">
        <v>41297</v>
      </c>
      <c r="E2273" s="72"/>
      <c r="F2273" s="69" t="s">
        <v>10540</v>
      </c>
    </row>
    <row r="2274" spans="1:6" ht="14.25" customHeight="1" x14ac:dyDescent="0.2">
      <c r="A2274" s="65" t="s">
        <v>10024</v>
      </c>
      <c r="B2274" s="76" t="s">
        <v>10025</v>
      </c>
      <c r="C2274" s="65" t="s">
        <v>10026</v>
      </c>
      <c r="D2274" s="66">
        <v>41297</v>
      </c>
      <c r="E2274" s="72"/>
      <c r="F2274" s="69" t="s">
        <v>6810</v>
      </c>
    </row>
    <row r="2275" spans="1:6" ht="14.25" customHeight="1" x14ac:dyDescent="0.2">
      <c r="A2275" s="65" t="s">
        <v>12230</v>
      </c>
      <c r="B2275" s="76" t="s">
        <v>6809</v>
      </c>
      <c r="C2275" s="65" t="s">
        <v>12231</v>
      </c>
      <c r="D2275" s="66">
        <v>41297</v>
      </c>
      <c r="E2275" s="72"/>
      <c r="F2275" s="69" t="s">
        <v>6814</v>
      </c>
    </row>
    <row r="2276" spans="1:6" ht="14.25" customHeight="1" x14ac:dyDescent="0.2">
      <c r="A2276" s="65" t="s">
        <v>12232</v>
      </c>
      <c r="B2276" s="76" t="s">
        <v>6809</v>
      </c>
      <c r="C2276" s="65" t="s">
        <v>12233</v>
      </c>
      <c r="D2276" s="66">
        <v>41296</v>
      </c>
      <c r="E2276" s="72"/>
      <c r="F2276" s="69" t="s">
        <v>6810</v>
      </c>
    </row>
    <row r="2277" spans="1:6" ht="14.25" customHeight="1" x14ac:dyDescent="0.2">
      <c r="A2277" s="70" t="s">
        <v>12234</v>
      </c>
      <c r="B2277" s="76" t="s">
        <v>12235</v>
      </c>
      <c r="C2277" s="70" t="s">
        <v>12236</v>
      </c>
      <c r="D2277" s="71">
        <v>41290</v>
      </c>
      <c r="E2277" s="73"/>
      <c r="F2277" s="69" t="s">
        <v>6814</v>
      </c>
    </row>
    <row r="2278" spans="1:6" ht="14.25" customHeight="1" x14ac:dyDescent="0.2">
      <c r="A2278" s="70" t="s">
        <v>12237</v>
      </c>
      <c r="B2278" s="76" t="s">
        <v>12238</v>
      </c>
      <c r="C2278" s="70" t="s">
        <v>12239</v>
      </c>
      <c r="D2278" s="71">
        <v>41290</v>
      </c>
      <c r="E2278" s="73"/>
      <c r="F2278" s="69" t="s">
        <v>6814</v>
      </c>
    </row>
    <row r="2279" spans="1:6" ht="14.25" customHeight="1" x14ac:dyDescent="0.2">
      <c r="A2279" s="70" t="s">
        <v>12240</v>
      </c>
      <c r="B2279" s="76" t="s">
        <v>12241</v>
      </c>
      <c r="C2279" s="70" t="s">
        <v>12242</v>
      </c>
      <c r="D2279" s="71">
        <v>41290</v>
      </c>
      <c r="E2279" s="73"/>
      <c r="F2279" s="69" t="s">
        <v>6814</v>
      </c>
    </row>
    <row r="2280" spans="1:6" ht="14.25" customHeight="1" x14ac:dyDescent="0.2">
      <c r="A2280" s="70" t="s">
        <v>12243</v>
      </c>
      <c r="B2280" s="76" t="s">
        <v>12244</v>
      </c>
      <c r="C2280" s="70" t="s">
        <v>12245</v>
      </c>
      <c r="D2280" s="71">
        <v>41290</v>
      </c>
      <c r="E2280" s="73"/>
      <c r="F2280" s="69" t="s">
        <v>6814</v>
      </c>
    </row>
    <row r="2281" spans="1:6" ht="14.25" customHeight="1" x14ac:dyDescent="0.2">
      <c r="A2281" s="70" t="s">
        <v>12246</v>
      </c>
      <c r="B2281" s="76" t="s">
        <v>12247</v>
      </c>
      <c r="C2281" s="70" t="s">
        <v>12248</v>
      </c>
      <c r="D2281" s="71">
        <v>41290</v>
      </c>
      <c r="E2281" s="73"/>
      <c r="F2281" s="69" t="s">
        <v>6814</v>
      </c>
    </row>
    <row r="2282" spans="1:6" ht="14.25" customHeight="1" x14ac:dyDescent="0.2">
      <c r="A2282" s="70" t="s">
        <v>12249</v>
      </c>
      <c r="B2282" s="76" t="s">
        <v>12250</v>
      </c>
      <c r="C2282" s="70" t="s">
        <v>12251</v>
      </c>
      <c r="D2282" s="71">
        <v>41290</v>
      </c>
      <c r="E2282" s="73"/>
      <c r="F2282" s="69" t="s">
        <v>6814</v>
      </c>
    </row>
    <row r="2283" spans="1:6" ht="14.25" customHeight="1" x14ac:dyDescent="0.2">
      <c r="A2283" s="70" t="s">
        <v>12252</v>
      </c>
      <c r="B2283" s="76" t="s">
        <v>12253</v>
      </c>
      <c r="C2283" s="70" t="s">
        <v>12254</v>
      </c>
      <c r="D2283" s="71">
        <v>41290</v>
      </c>
      <c r="E2283" s="73"/>
      <c r="F2283" s="69" t="s">
        <v>6814</v>
      </c>
    </row>
    <row r="2284" spans="1:6" ht="14.25" customHeight="1" x14ac:dyDescent="0.2">
      <c r="A2284" s="70" t="s">
        <v>12255</v>
      </c>
      <c r="B2284" s="76" t="s">
        <v>12256</v>
      </c>
      <c r="C2284" s="70" t="s">
        <v>12257</v>
      </c>
      <c r="D2284" s="71">
        <v>41290</v>
      </c>
      <c r="E2284" s="73"/>
      <c r="F2284" s="69" t="s">
        <v>6814</v>
      </c>
    </row>
    <row r="2285" spans="1:6" ht="14.25" customHeight="1" x14ac:dyDescent="0.2">
      <c r="A2285" s="70" t="s">
        <v>12258</v>
      </c>
      <c r="B2285" s="76" t="s">
        <v>12259</v>
      </c>
      <c r="C2285" s="70" t="s">
        <v>12260</v>
      </c>
      <c r="D2285" s="71">
        <v>41290</v>
      </c>
      <c r="E2285" s="73"/>
      <c r="F2285" s="69" t="s">
        <v>6810</v>
      </c>
    </row>
    <row r="2286" spans="1:6" ht="14.25" customHeight="1" x14ac:dyDescent="0.2">
      <c r="A2286" s="70" t="s">
        <v>12261</v>
      </c>
      <c r="B2286" s="76" t="s">
        <v>12262</v>
      </c>
      <c r="C2286" s="70" t="s">
        <v>12263</v>
      </c>
      <c r="D2286" s="71">
        <v>41290</v>
      </c>
      <c r="E2286" s="73"/>
      <c r="F2286" s="69" t="s">
        <v>6810</v>
      </c>
    </row>
    <row r="2287" spans="1:6" ht="14.25" customHeight="1" x14ac:dyDescent="0.2">
      <c r="A2287" s="70" t="s">
        <v>12264</v>
      </c>
      <c r="B2287" s="76" t="s">
        <v>12265</v>
      </c>
      <c r="C2287" s="70" t="s">
        <v>12266</v>
      </c>
      <c r="D2287" s="71">
        <v>41290</v>
      </c>
      <c r="E2287" s="73"/>
      <c r="F2287" s="69" t="s">
        <v>6810</v>
      </c>
    </row>
    <row r="2288" spans="1:6" ht="14.25" customHeight="1" x14ac:dyDescent="0.2">
      <c r="A2288" s="70" t="s">
        <v>12267</v>
      </c>
      <c r="B2288" s="76" t="s">
        <v>12268</v>
      </c>
      <c r="C2288" s="70" t="s">
        <v>12269</v>
      </c>
      <c r="D2288" s="71">
        <v>41290</v>
      </c>
      <c r="E2288" s="73"/>
      <c r="F2288" s="69" t="s">
        <v>6810</v>
      </c>
    </row>
    <row r="2289" spans="1:6" ht="14.25" customHeight="1" x14ac:dyDescent="0.2">
      <c r="A2289" s="65" t="s">
        <v>12270</v>
      </c>
      <c r="B2289" s="76" t="s">
        <v>4947</v>
      </c>
      <c r="C2289" s="65" t="s">
        <v>12271</v>
      </c>
      <c r="D2289" s="66">
        <v>41288</v>
      </c>
      <c r="E2289" s="72"/>
      <c r="F2289" s="69" t="s">
        <v>10540</v>
      </c>
    </row>
    <row r="2290" spans="1:6" ht="14.25" customHeight="1" x14ac:dyDescent="0.2">
      <c r="A2290" s="65" t="s">
        <v>12272</v>
      </c>
      <c r="B2290" s="76" t="s">
        <v>12273</v>
      </c>
      <c r="C2290" s="65" t="s">
        <v>12274</v>
      </c>
      <c r="D2290" s="66">
        <v>41288</v>
      </c>
      <c r="E2290" s="72"/>
      <c r="F2290" s="69" t="s">
        <v>6810</v>
      </c>
    </row>
    <row r="2291" spans="1:6" ht="14.25" customHeight="1" x14ac:dyDescent="0.2">
      <c r="A2291" s="65" t="s">
        <v>12275</v>
      </c>
      <c r="B2291" s="76" t="s">
        <v>12276</v>
      </c>
      <c r="C2291" s="65" t="s">
        <v>12277</v>
      </c>
      <c r="D2291" s="66">
        <v>41284</v>
      </c>
      <c r="E2291" s="72"/>
      <c r="F2291" s="69" t="s">
        <v>6814</v>
      </c>
    </row>
    <row r="2292" spans="1:6" ht="14.25" customHeight="1" x14ac:dyDescent="0.2">
      <c r="A2292" s="65" t="s">
        <v>12278</v>
      </c>
      <c r="B2292" s="76" t="s">
        <v>12279</v>
      </c>
      <c r="C2292" s="65" t="s">
        <v>12280</v>
      </c>
      <c r="D2292" s="66">
        <v>41284</v>
      </c>
      <c r="E2292" s="72"/>
      <c r="F2292" s="69" t="s">
        <v>6810</v>
      </c>
    </row>
    <row r="2293" spans="1:6" ht="14.25" customHeight="1" x14ac:dyDescent="0.2">
      <c r="A2293" s="70" t="s">
        <v>12281</v>
      </c>
      <c r="B2293" s="76" t="s">
        <v>12282</v>
      </c>
      <c r="C2293" s="65" t="s">
        <v>12283</v>
      </c>
      <c r="D2293" s="71">
        <v>41282</v>
      </c>
      <c r="E2293" s="73"/>
      <c r="F2293" s="69" t="s">
        <v>6810</v>
      </c>
    </row>
    <row r="2294" spans="1:6" ht="14.25" customHeight="1" x14ac:dyDescent="0.2">
      <c r="A2294" s="70" t="s">
        <v>12284</v>
      </c>
      <c r="B2294" s="76" t="s">
        <v>12285</v>
      </c>
      <c r="C2294" s="65" t="s">
        <v>12286</v>
      </c>
      <c r="D2294" s="71">
        <v>41282</v>
      </c>
      <c r="E2294" s="73"/>
      <c r="F2294" s="69" t="s">
        <v>6810</v>
      </c>
    </row>
    <row r="2295" spans="1:6" ht="14.25" customHeight="1" x14ac:dyDescent="0.2">
      <c r="A2295" s="70" t="s">
        <v>12287</v>
      </c>
      <c r="B2295" s="76" t="s">
        <v>12288</v>
      </c>
      <c r="C2295" s="65" t="s">
        <v>12289</v>
      </c>
      <c r="D2295" s="71">
        <v>41282</v>
      </c>
      <c r="E2295" s="73"/>
      <c r="F2295" s="69" t="s">
        <v>6810</v>
      </c>
    </row>
    <row r="2296" spans="1:6" ht="14.25" customHeight="1" x14ac:dyDescent="0.2">
      <c r="A2296" s="70" t="s">
        <v>12290</v>
      </c>
      <c r="B2296" s="76" t="s">
        <v>6809</v>
      </c>
      <c r="C2296" s="65" t="s">
        <v>12291</v>
      </c>
      <c r="D2296" s="71">
        <v>41282</v>
      </c>
      <c r="E2296" s="73"/>
      <c r="F2296" s="69" t="s">
        <v>12292</v>
      </c>
    </row>
    <row r="2297" spans="1:6" ht="14.25" customHeight="1" x14ac:dyDescent="0.2">
      <c r="A2297" s="65" t="s">
        <v>2603</v>
      </c>
      <c r="B2297" s="76" t="s">
        <v>2602</v>
      </c>
      <c r="C2297" s="65" t="s">
        <v>12293</v>
      </c>
      <c r="D2297" s="66">
        <v>41278</v>
      </c>
      <c r="E2297" s="72"/>
      <c r="F2297" s="69" t="s">
        <v>6814</v>
      </c>
    </row>
    <row r="2298" spans="1:6" ht="14.25" customHeight="1" x14ac:dyDescent="0.2">
      <c r="A2298" s="65" t="s">
        <v>12294</v>
      </c>
      <c r="B2298" s="76" t="s">
        <v>12295</v>
      </c>
      <c r="C2298" s="65" t="s">
        <v>12296</v>
      </c>
      <c r="D2298" s="66">
        <v>41278</v>
      </c>
      <c r="E2298" s="72"/>
      <c r="F2298" s="69" t="s">
        <v>6814</v>
      </c>
    </row>
    <row r="2299" spans="1:6" ht="14.25" customHeight="1" x14ac:dyDescent="0.2">
      <c r="A2299" s="65" t="s">
        <v>12297</v>
      </c>
      <c r="B2299" s="76" t="s">
        <v>12298</v>
      </c>
      <c r="C2299" s="65" t="s">
        <v>12299</v>
      </c>
      <c r="D2299" s="66">
        <v>41278</v>
      </c>
      <c r="E2299" s="72"/>
      <c r="F2299" s="69" t="s">
        <v>6814</v>
      </c>
    </row>
    <row r="2300" spans="1:6" ht="14.25" customHeight="1" x14ac:dyDescent="0.2">
      <c r="A2300" s="65" t="s">
        <v>12300</v>
      </c>
      <c r="B2300" s="76" t="s">
        <v>6809</v>
      </c>
      <c r="C2300" s="65" t="s">
        <v>12301</v>
      </c>
      <c r="D2300" s="66">
        <v>41278</v>
      </c>
      <c r="E2300" s="72"/>
      <c r="F2300" s="69" t="s">
        <v>12302</v>
      </c>
    </row>
    <row r="2301" spans="1:6" ht="14.25" customHeight="1" x14ac:dyDescent="0.2">
      <c r="A2301" s="65" t="s">
        <v>12303</v>
      </c>
      <c r="B2301" s="76" t="s">
        <v>12304</v>
      </c>
      <c r="C2301" s="65" t="s">
        <v>12305</v>
      </c>
      <c r="D2301" s="66">
        <v>41278</v>
      </c>
      <c r="E2301" s="72"/>
      <c r="F2301" s="69" t="s">
        <v>6810</v>
      </c>
    </row>
    <row r="2302" spans="1:6" ht="14.25" customHeight="1" x14ac:dyDescent="0.2">
      <c r="A2302" s="65" t="s">
        <v>12306</v>
      </c>
      <c r="B2302" s="76" t="s">
        <v>7065</v>
      </c>
      <c r="C2302" s="65" t="s">
        <v>12307</v>
      </c>
      <c r="D2302" s="66">
        <v>41270</v>
      </c>
      <c r="E2302" s="72"/>
      <c r="F2302" s="69" t="s">
        <v>6814</v>
      </c>
    </row>
    <row r="2303" spans="1:6" ht="14.25" customHeight="1" x14ac:dyDescent="0.2">
      <c r="A2303" s="65" t="s">
        <v>12308</v>
      </c>
      <c r="B2303" s="76" t="s">
        <v>12309</v>
      </c>
      <c r="C2303" s="65" t="s">
        <v>12310</v>
      </c>
      <c r="D2303" s="66">
        <v>41270</v>
      </c>
      <c r="E2303" s="72"/>
      <c r="F2303" s="69" t="s">
        <v>10192</v>
      </c>
    </row>
    <row r="2304" spans="1:6" ht="14.25" customHeight="1" x14ac:dyDescent="0.2">
      <c r="A2304" s="65" t="s">
        <v>12311</v>
      </c>
      <c r="B2304" s="76" t="s">
        <v>12312</v>
      </c>
      <c r="C2304" s="65" t="s">
        <v>12313</v>
      </c>
      <c r="D2304" s="66">
        <v>41270</v>
      </c>
      <c r="E2304" s="72"/>
      <c r="F2304" s="69" t="s">
        <v>6810</v>
      </c>
    </row>
    <row r="2305" spans="1:6" ht="14.25" customHeight="1" x14ac:dyDescent="0.2">
      <c r="A2305" s="65" t="s">
        <v>12314</v>
      </c>
      <c r="B2305" s="76" t="s">
        <v>12315</v>
      </c>
      <c r="C2305" s="65" t="s">
        <v>12316</v>
      </c>
      <c r="D2305" s="66">
        <v>41270</v>
      </c>
      <c r="E2305" s="72"/>
      <c r="F2305" s="69" t="s">
        <v>6810</v>
      </c>
    </row>
    <row r="2306" spans="1:6" ht="14.25" customHeight="1" x14ac:dyDescent="0.2">
      <c r="A2306" s="65" t="s">
        <v>12317</v>
      </c>
      <c r="B2306" s="76" t="s">
        <v>12318</v>
      </c>
      <c r="C2306" s="65" t="s">
        <v>12319</v>
      </c>
      <c r="D2306" s="66">
        <v>41270</v>
      </c>
      <c r="E2306" s="72"/>
      <c r="F2306" s="69" t="s">
        <v>6810</v>
      </c>
    </row>
    <row r="2307" spans="1:6" ht="14.25" customHeight="1" x14ac:dyDescent="0.2">
      <c r="A2307" s="65" t="s">
        <v>12320</v>
      </c>
      <c r="B2307" s="76" t="s">
        <v>12321</v>
      </c>
      <c r="C2307" s="65" t="s">
        <v>12322</v>
      </c>
      <c r="D2307" s="66">
        <v>41270</v>
      </c>
      <c r="E2307" s="72"/>
      <c r="F2307" s="69" t="s">
        <v>6810</v>
      </c>
    </row>
    <row r="2308" spans="1:6" ht="14.25" customHeight="1" x14ac:dyDescent="0.2">
      <c r="A2308" s="65" t="s">
        <v>12323</v>
      </c>
      <c r="B2308" s="76" t="s">
        <v>12324</v>
      </c>
      <c r="C2308" s="65" t="s">
        <v>12325</v>
      </c>
      <c r="D2308" s="66">
        <v>41264</v>
      </c>
      <c r="E2308" s="72"/>
      <c r="F2308" s="69" t="s">
        <v>6810</v>
      </c>
    </row>
    <row r="2309" spans="1:6" ht="14.25" customHeight="1" x14ac:dyDescent="0.2">
      <c r="A2309" s="65" t="s">
        <v>12326</v>
      </c>
      <c r="B2309" s="76" t="s">
        <v>12327</v>
      </c>
      <c r="C2309" s="65" t="s">
        <v>12328</v>
      </c>
      <c r="D2309" s="66">
        <v>41264</v>
      </c>
      <c r="E2309" s="72"/>
      <c r="F2309" s="69" t="s">
        <v>6810</v>
      </c>
    </row>
  </sheetData>
  <sortState xmlns:xlrd2="http://schemas.microsoft.com/office/spreadsheetml/2017/richdata2" ref="A2:F731">
    <sortCondition descending="1" ref="D2:D731"/>
    <sortCondition ref="A2:A731"/>
  </sortState>
  <mergeCells count="3">
    <mergeCell ref="A1:F1"/>
    <mergeCell ref="A3:F3"/>
    <mergeCell ref="A2:F2"/>
  </mergeCells>
  <hyperlinks>
    <hyperlink ref="A2258" r:id="rId1" display="tel:03030115002" xr:uid="{00000000-0004-0000-0300-000000000000}"/>
    <hyperlink ref="A2259" r:id="rId2" display="tel:03030215002" xr:uid="{00000000-0004-0000-0300-000001000000}"/>
    <hyperlink ref="A2084" r:id="rId3" display="tel:03040199023" xr:uid="{00000000-0004-0000-0300-000002000000}"/>
    <hyperlink ref="A1854" r:id="rId4" display="tel:03041499035" xr:uid="{00000000-0004-0000-0300-000003000000}"/>
    <hyperlink ref="A1840" r:id="rId5" display="tel:03040199026" xr:uid="{00000000-0004-0000-0300-000004000000}"/>
    <hyperlink ref="A1813" r:id="rId6" display="tel:03040199017" xr:uid="{00000000-0004-0000-0300-000005000000}"/>
    <hyperlink ref="A1814" r:id="rId7" display="tel:03040199024" xr:uid="{00000000-0004-0000-0300-000006000000}"/>
    <hyperlink ref="A1811" r:id="rId8" display="tel:03040202004" xr:uid="{00000000-0004-0000-0300-000007000000}"/>
    <hyperlink ref="A1812" r:id="rId9" display="tel:03040206002" xr:uid="{00000000-0004-0000-0300-000008000000}"/>
    <hyperlink ref="A1799" r:id="rId10" display="tel:03040199028" xr:uid="{00000000-0004-0000-0300-000009000000}"/>
    <hyperlink ref="A1796" r:id="rId11" display="tel:03030103004" xr:uid="{00000000-0004-0000-0300-00000A000000}"/>
    <hyperlink ref="A1716" r:id="rId12" display="tel:03030112003" xr:uid="{00000000-0004-0000-0300-00000B000000}"/>
    <hyperlink ref="A1465" r:id="rId13" display="tel:03030104008" xr:uid="{00000000-0004-0000-0300-00000C000000}"/>
    <hyperlink ref="A1512" r:id="rId14" display="tel:03040199033" xr:uid="{00000000-0004-0000-0300-00000D000000}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Release Brief</vt:lpstr>
      <vt:lpstr>Total</vt:lpstr>
      <vt:lpstr>GBD_Asia</vt:lpstr>
      <vt:lpstr>Deletions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Stephen Crook</dc:creator>
  <cp:keywords/>
  <dc:description/>
  <cp:lastModifiedBy>user</cp:lastModifiedBy>
  <cp:revision/>
  <dcterms:created xsi:type="dcterms:W3CDTF">2013-01-02T13:39:32Z</dcterms:created>
  <dcterms:modified xsi:type="dcterms:W3CDTF">2020-03-23T10:22:49Z</dcterms:modified>
  <cp:category/>
  <cp:contentStatus/>
</cp:coreProperties>
</file>